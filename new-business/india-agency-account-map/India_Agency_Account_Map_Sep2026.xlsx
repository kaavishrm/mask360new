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Target list" sheetId="2" state="visible" r:id="rId4"/>
    <sheet name="In play now" sheetId="3" state="visible" r:id="rId5"/>
    <sheet name="Agency roster" sheetId="4" state="visible" r:id="rId6"/>
    <sheet name="Agency turmoil 2025-26" sheetId="5" state="visible" r:id="rId7"/>
    <sheet name="Category by group" sheetId="6" state="visible" r:id="rId8"/>
    <sheet name="All relationships" sheetId="7" state="visible" r:id="rId9"/>
  </sheets>
  <definedNames>
    <definedName function="false" hidden="true" localSheetId="3" name="_xlnm._FilterDatabase" vbProcedure="false">'Agency roster'!$A$1:$J$188</definedName>
    <definedName function="false" hidden="true" localSheetId="4" name="_xlnm._FilterDatabase" vbProcedure="false">'Agency turmoil 2025-26'!$A$1:$G$23</definedName>
    <definedName function="false" hidden="true" localSheetId="6" name="_xlnm._FilterDatabase" vbProcedure="false">'All relationships'!$A$1:$R$1227</definedName>
    <definedName function="false" hidden="true" localSheetId="2" name="_xlnm._FilterDatabase" vbProcedure="false">'In play now'!$A$1:$K$126</definedName>
    <definedName function="false" hidden="true" localSheetId="1" name="_xlnm._FilterDatabase" vbProcedure="false">'Target list'!$A$1:$Y$909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<sst xmlns="http://schemas.openxmlformats.org/spreadsheetml/2006/main" count="35639" uniqueCount="6323">
  <si>
    <t xml:space="preserve">India agency account map and poaching target list</t>
  </si>
  <si>
    <t xml:space="preserve">Prepared for Mask360 new business. Research as of 29 Sep 2026.</t>
  </si>
  <si>
    <t xml:space="preserve">What is inside</t>
  </si>
  <si>
    <t xml:space="preserve">Target list</t>
  </si>
  <si>
    <t xml:space="preserve">One row per brand (908 brands), ranked by a 10 point priority score. Shows who holds the account today, what just changed and why now. 63 brands score A (9 or 10) and 177 score B (7 or 8). Yellow columns are yours to fill in.</t>
  </si>
  <si>
    <t xml:space="preserve">In play now</t>
  </si>
  <si>
    <t xml:space="preserve">Pitches, reviews, new marketing leaders and account moves from 2026, newest first. Start here for timing.</t>
  </si>
  <si>
    <t xml:space="preserve">Agency roster</t>
  </si>
  <si>
    <t xml:space="preserve">The answer to 'which agency has what': 187 agencies with their luxury and premium accounts listed first. (L) marks a luxury brand.</t>
  </si>
  <si>
    <t xml:space="preserve">Agency turmoil 2025-26</t>
  </si>
  <si>
    <t xml:space="preserve">Mergers, sales, exits and probes that make an agency's clients poachable, each with a source and the accounts exposed.</t>
  </si>
  <si>
    <t xml:space="preserve">Category by group</t>
  </si>
  <si>
    <t xml:space="preserve">How many current relationships each holding company has in each category. The Unknown or in-house column counts brands with no credited agency.</t>
  </si>
  <si>
    <t xml:space="preserve">All relationships</t>
  </si>
  <si>
    <t xml:space="preserve">The full evidence base: 1226 brand to agency relationships, each with evidence, date, confidence and a source link. Filter by any column.</t>
  </si>
  <si>
    <t xml:space="preserve">How the priority score works</t>
  </si>
  <si>
    <t xml:space="preserve">Score = Fit + Tier + Timing</t>
  </si>
  <si>
    <t xml:space="preserve">Out of 10. A = 9 or 10, B = 7 or 8, C = 6 or less. The score and priority are live formulas: change Timing pts and they update (sort by Score to re-rank).</t>
  </si>
  <si>
    <t xml:space="preserve">Fit pts (0 to 4)</t>
  </si>
  <si>
    <t xml:space="preserve">How close the category is to Mask360's luxury and premium lanes: Luxury hospitality &amp; travel 4; Jewellery &amp; watches 4; Fashion &amp; luxury retail 4; Real estate 4; Beauty &amp; personal care 3; Alcobev 3; Automotive 3; Wellness, fitness &amp; sport 3; BFSI &amp; wealth 2; Premium F&amp;B &amp; QSR 2; Aviation 2; Consumer tech &amp; D2C 1; E-commerce &amp; quick commerce 1; FMCG 1; Telecom &amp; media 1; Healthcare 1; Other 1; Education 0.</t>
  </si>
  <si>
    <t xml:space="preserve">Tier pts (0 to 3)</t>
  </si>
  <si>
    <t xml:space="preserve">Luxury 3, Premium 2, Mass 0. Tier is the research agents' judgement of the brand's positioning.</t>
  </si>
  <si>
    <t xml:space="preserve">Timing pts (0 to 3)</t>
  </si>
  <si>
    <t xml:space="preserve">Pitch or review live = 3. Strong triggers add 2 each: leadership change (at the brand or the incumbent agency), incumbent agency in turmoil (merger, sale, probe), open mandates (channels with no agency). Weak triggers add 1: no agency credited at all, split roster, long tenure, launch or fresh funding, renewal due. Capped at 3. 0 = no trigger found, or the brand moved agency since Mar 2026 and nothing is left open (honeymoon). Blue cells: overwrite them when you know better.</t>
  </si>
  <si>
    <t xml:space="preserve">Why now (triggers)</t>
  </si>
  <si>
    <t xml:space="preserve">Keyword flags read from the poaching signals. Treat them as a prompt to read the signal text, not as a verdict.</t>
  </si>
  <si>
    <t xml:space="preserve">Mask360 relationship</t>
  </si>
  <si>
    <t xml:space="preserve">Brands matching Mask360's current client names (per its skill files) are marked Client and ranked last. L'Oreal group brands are marked as an expansion opportunity rather than a poach. Correct this column if the client list has changed.</t>
  </si>
  <si>
    <t xml:space="preserve">Status and confidence</t>
  </si>
  <si>
    <t xml:space="preserve">Status</t>
  </si>
  <si>
    <t xml:space="preserve">Active = relationship confirmed and current. Won recently = new appointment in the last months. In review = pitch or review reported. Recently lost = the brand moved away (the new agency usually has its own row). Unclear = older or indirect evidence, relationship may have lapsed.</t>
  </si>
  <si>
    <t xml:space="preserve">Confidence</t>
  </si>
  <si>
    <t xml:space="preserve">High = trade press or agency site dated 2024 to 2026 stating the relationship. Medium = older, a campaign credit only, or a news feed link. Low = client logo, inference, or no agency found.</t>
  </si>
  <si>
    <t xml:space="preserve">Unknown or in-house</t>
  </si>
  <si>
    <t xml:space="preserve">Where research found no agency, the brand is still listed. These are often the easiest doors: the work is in-house or with small shops.</t>
  </si>
  <si>
    <t xml:space="preserve">How to use it</t>
  </si>
  <si>
    <t xml:space="preserve">1. Filter</t>
  </si>
  <si>
    <t xml:space="preserve">Target list: filter Priority = A, then your categories. Read Current agency, Why now and Poaching signals.</t>
  </si>
  <si>
    <t xml:space="preserve">2. Check</t>
  </si>
  <si>
    <t xml:space="preserve">Open Source 1 before any outreach. Verify anything marked Low confidence or 'unverified'.</t>
  </si>
  <si>
    <t xml:space="preserve">3. Track</t>
  </si>
  <si>
    <t xml:space="preserve">Fill the yellow columns: Owner, Outreach status (dropdown), Next step, Notes. Example: Owner 'Kaavish', status 'Contacted', next step 'Intro via ex-colleague of new CMO'.</t>
  </si>
  <si>
    <t xml:space="preserve">4. Refresh</t>
  </si>
  <si>
    <t xml:space="preserve">Agency rosters move monthly. Re-check the In play now sheet before each outreach sprint.</t>
  </si>
  <si>
    <t xml:space="preserve">Method and limits</t>
  </si>
  <si>
    <t xml:space="preserve">Sources</t>
  </si>
  <si>
    <t xml:space="preserve">Eleven parallel research streams covered WPP, Publicis, Omnicom (two streams), Dentsu, Havas, Cheil and Hakuhodo, independent creative agencies, independent digital and social agencies, luxury boutiques with PR and events, live pitches and leadership moves, and two brand-first sweeps of premium categories. Main sources were afaqs, Storyboard18, MediaNews4U, Social Samosa, Campaign Brief Asia, Adgully, Manifest, IMPACT, agency websites and award credits.</t>
  </si>
  <si>
    <t xml:space="preserve">Gaps</t>
  </si>
  <si>
    <t xml:space="preserve">The shared web search allowance ran out early, so most research came from reading trade press pages and news feeds directly. exchange4media, bestmediainfo and the SABRE site blocked direct access. Coverage is thinnest for luxury hotels, luxury fashion houses and in-house teams, where agency credits are rarely published.</t>
  </si>
  <si>
    <t xml:space="preserve">Checks</t>
  </si>
  <si>
    <t xml:space="preserve">Every row has evidence text. Rows without a working link are marked Low. A few poaching signals came from the researchers' own knowledge and are tagged 'unverified, check before outreach'.</t>
  </si>
  <si>
    <t xml:space="preserve">Not included</t>
  </si>
  <si>
    <t xml:space="preserve">Media-buying-only mandates, except where the brand is luxury or premium.</t>
  </si>
  <si>
    <t xml:space="preserve">Rank</t>
  </si>
  <si>
    <t xml:space="preserve">Brand</t>
  </si>
  <si>
    <t xml:space="preserve">Priority</t>
  </si>
  <si>
    <t xml:space="preserve">Score (of 10)</t>
  </si>
  <si>
    <t xml:space="preserve">Fit pts</t>
  </si>
  <si>
    <t xml:space="preserve">Tier pts</t>
  </si>
  <si>
    <t xml:space="preserve">Timing pts (edit)</t>
  </si>
  <si>
    <t xml:space="preserve">Category</t>
  </si>
  <si>
    <t xml:space="preserve">Brand tier</t>
  </si>
  <si>
    <t xml:space="preserve">Parent company</t>
  </si>
  <si>
    <t xml:space="preserve">Current agency and mandate</t>
  </si>
  <si>
    <t xml:space="preserve">Held by group</t>
  </si>
  <si>
    <t xml:space="preserve">Recently lost by</t>
  </si>
  <si>
    <t xml:space="preserve">Poaching signals</t>
  </si>
  <si>
    <t xml:space="preserve">Key evidence</t>
  </si>
  <si>
    <t xml:space="preserve">Latest source</t>
  </si>
  <si>
    <t xml:space="preserve">Source 1</t>
  </si>
  <si>
    <t xml:space="preserve">Source 2</t>
  </si>
  <si>
    <t xml:space="preserve">Owner</t>
  </si>
  <si>
    <t xml:space="preserve">Outreach status</t>
  </si>
  <si>
    <t xml:space="preserve">Next step</t>
  </si>
  <si>
    <t xml:space="preserve">Notes</t>
  </si>
  <si>
    <t xml:space="preserve">De Beers Forevermark</t>
  </si>
  <si>
    <t xml:space="preserve">Jewellery &amp; watches</t>
  </si>
  <si>
    <t xml:space="preserve">Luxury</t>
  </si>
  <si>
    <t xml:space="preserve">De Beers Group</t>
  </si>
  <si>
    <t xml:space="preserve">Grey 82.5 (Ogilvy) (Creative, since 2024); Dentsu Creative Isobar (Integrated, since 2025)</t>
  </si>
  <si>
    <t xml:space="preserve">Dentsu, WPP</t>
  </si>
  <si>
    <t xml:space="preserve">Leadership change, Incumbent turmoil, Split roster</t>
  </si>
  <si>
    <t xml:space="preserve">Split mandates: Forevermark creative sits with Dentsu Creative Isobar; unit now appears as Grey 82.5 (WPP consolidation).; Split mandate; 2026 De Beers India campaigns carry no agency credit; 82.5 Communications folded into Grey 82.5 in Jun 2026; team and brand transition; Luxury retail rollout in India needs ongoing social, content and PR; Dentsu India offices searched by tax authorities Sep 2026; COO South Asia retired Aug 2026 and Chief Client Officer exited Nov 2025; De Beers splits work across two networks; PR and luxury events not assigned publicly.</t>
  </si>
  <si>
    <t xml:space="preserve">Won integrated creative mandate after multi-agency pitch (Mumbai); launched 'This One's For Me' with Delhi flagship in Oct 2025.</t>
  </si>
  <si>
    <t xml:space="preserve">2025-04</t>
  </si>
  <si>
    <t xml:space="preserve">High</t>
  </si>
  <si>
    <t xml:space="preserve">https://www.storyboard18.com/brand-marketing/82-5-communications-wins-creative-mandate-for-de-beers-group-44868.htm</t>
  </si>
  <si>
    <t xml:space="preserve">https://www.medianews4u.com/82-5-communications-secures-creative-mandate-for-de-beers/</t>
  </si>
  <si>
    <t xml:space="preserve">Not started</t>
  </si>
  <si>
    <t xml:space="preserve">Four Seasons Mumbai and Bengaluru</t>
  </si>
  <si>
    <t xml:space="preserve">Luxury hospitality &amp; travel</t>
  </si>
  <si>
    <t xml:space="preserve">Four Seasons Hotels</t>
  </si>
  <si>
    <t xml:space="preserve">None credited (in-house or unknown)</t>
  </si>
  <si>
    <t xml:space="preserve">Unknown</t>
  </si>
  <si>
    <t xml:space="preserve">Open mandates, No agency credited</t>
  </si>
  <si>
    <t xml:space="preserve">Likely handled by global brand team plus property PR; property social and F&amp;B content are open doors.</t>
  </si>
  <si>
    <t xml:space="preserve">No India agency mandate or campaign credit found in Indian trade press 2024 to 2026.</t>
  </si>
  <si>
    <t xml:space="preserve">2026-09</t>
  </si>
  <si>
    <t xml:space="preserve">Low</t>
  </si>
  <si>
    <t xml:space="preserve">Hilton India</t>
  </si>
  <si>
    <t xml:space="preserve">Hilton Worldwide</t>
  </si>
  <si>
    <t xml:space="preserve">McCann India (Creative); TBWA\Lintas (Creative)</t>
  </si>
  <si>
    <t xml:space="preserve">Omnicom</t>
  </si>
  <si>
    <t xml:space="preserve">Leadership change, Incumbent turmoil</t>
  </si>
  <si>
    <t xml:space="preserve">Hilton's global marketing leader Mark Weinstein exited in Sep 2026; India wedding and luxury brands need local content beyond the global campaign.; Merged agency still settling; leadership now Govind Pandey (CEO) and Russell Barrett</t>
  </si>
  <si>
    <t xml:space="preserve">McCann India created Hilton's Deepika Padukone film in the 'It Matters Where You Stay' campaign.</t>
  </si>
  <si>
    <t xml:space="preserve">Medium</t>
  </si>
  <si>
    <t xml:space="preserve">https://www.afaqs.com/news/advertising/hilton-wants-indias-hustlers-to-feel-at-home-enough-to-dance-just-ask-deepika-12186053</t>
  </si>
  <si>
    <t xml:space="preserve">https://www.tbwaindia.com/</t>
  </si>
  <si>
    <t xml:space="preserve">Hyatt India</t>
  </si>
  <si>
    <t xml:space="preserve">Hyatt Hotels Corporation</t>
  </si>
  <si>
    <t xml:space="preserve">TBWA\Lintas (Creative); TBWA\Lintas (ex Lintas Live) (Social, since 2024) unconfirmed; Animal (Creative, since 2024) unconfirmed</t>
  </si>
  <si>
    <t xml:space="preserve">Independent, Omnicom</t>
  </si>
  <si>
    <t xml:space="preserve">Merged agency still settling; leadership now Govind Pandey (CEO) and Russell Barrett; Hyatt created a new President India and Southwest Asia role (Vikas Chawla, Mar 2026); Lintas absorbed into TBWA after Omnicom and IPG merger.; Project-based credits suggest no single AOR; new India president may consolidate.</t>
  </si>
  <si>
    <t xml:space="preserve">Lintas Live, a MullenLowe Lintas division, conceptualised the 'Hyatt Celebrates You' launch of Hyatt India's official Instagram with Vaani Kapoor.</t>
  </si>
  <si>
    <t xml:space="preserve">https://www.afaqs.com/news/advertising/hyatt-india-launches-official-instagram-page-with-vaani-kapoor-8449076</t>
  </si>
  <si>
    <t xml:space="preserve">https://www.afaqs.com/news/advertising/hyatt-india-launches-new-fb-campaign-to-highlight-its-culinary-legacy-7777415</t>
  </si>
  <si>
    <t xml:space="preserve">M3M India</t>
  </si>
  <si>
    <t xml:space="preserve">Real estate</t>
  </si>
  <si>
    <t xml:space="preserve">M3M Group</t>
  </si>
  <si>
    <t xml:space="preserve">Leadership change, Fresh budget or launch, No agency credited</t>
  </si>
  <si>
    <t xml:space="preserve">New marketing head with agency background; aggressive Gurugram luxury launches and sports properties (pickleball franchise).</t>
  </si>
  <si>
    <t xml:space="preserve">No agency credit found; M3M appointed Nitin Singh, ex DDB Mudra, as Head of Marketing in Jan 2026.</t>
  </si>
  <si>
    <t xml:space="preserve">2026-01</t>
  </si>
  <si>
    <t xml:space="preserve">https://www.medianews4u.com/m3m-appoints-nitin-singh-as-head-of-marketing/</t>
  </si>
  <si>
    <t xml:space="preserve">Oberoi Realty</t>
  </si>
  <si>
    <t xml:space="preserve">Madison Loop (ex Madison BMB) (Integrated, since 2023)</t>
  </si>
  <si>
    <t xml:space="preserve">Independent</t>
  </si>
  <si>
    <t xml:space="preserve">Incumbent about 3 years; typical review window.; Three year incumbent on a luxury realty account; Madison BMB CEO Raj Nair exited in the merger; Shift to storytelling-led brand films; Ritz-Carlton serviced residences at Three Sixty West show appetite for ultra luxury content.</t>
  </si>
  <si>
    <t xml:space="preserve">Madison Loop won Oberoi Realty's integrated creative, digital, social and performance mandate after a competitive pitch.</t>
  </si>
  <si>
    <t xml:space="preserve">2026-06</t>
  </si>
  <si>
    <t xml:space="preserve">https://www.afaqs.com/news/advertising/madison-bmb-integrates-with-madison-loop</t>
  </si>
  <si>
    <t xml:space="preserve">https://www.afaqs.com/news/advertising/madison-loop-wins-the-integrated-account-of-oberoi-realty</t>
  </si>
  <si>
    <t xml:space="preserve">Rivaah by Tanishq</t>
  </si>
  <si>
    <t xml:space="preserve">Titan Company</t>
  </si>
  <si>
    <t xml:space="preserve">TBWA\Lintas (Creative); TBWA\Lintas (Integrated)</t>
  </si>
  <si>
    <t xml:space="preserve">Long-tenured Lintas relationship now running as TBWA\Lintas after network merger; integration period.; Bridal and destination-wedding content is specialist territory; MullenLowe retired; Lintas rebadged TBWA\Lintas Jan 2026; co-CEO Prateek Bharadwaj exit reported Feb 2026</t>
  </si>
  <si>
    <t xml:space="preserve">TBWA\Lintas conceptualised Rivaah by Tanishq's Sep 2026 wedding campaign under CMO Pelki Tshering.</t>
  </si>
  <si>
    <t xml:space="preserve">https://www.afaqs.com/news/advertising/rivaah-by-tanishq-brings-many-stories-to-one-wedding-12540691</t>
  </si>
  <si>
    <t xml:space="preserve">Sobha</t>
  </si>
  <si>
    <t xml:space="preserve">Sobha Ltd</t>
  </si>
  <si>
    <t xml:space="preserve">New brand head within the last year typically reviews agencies; Sobha's design-led luxury positioning fits a luxury boutique.</t>
  </si>
  <si>
    <t xml:space="preserve">No agency credit found; Ashish Bajaj joined to lead brand and communications in Oct 2025.</t>
  </si>
  <si>
    <t xml:space="preserve">2025-10</t>
  </si>
  <si>
    <t xml:space="preserve">https://www.afaqs.com/people-spotting/ashish-bajaj-to-lead-brand-and-communications-at-sobha-limited-10563656</t>
  </si>
  <si>
    <t xml:space="preserve">The Leela Palaces, Hotels and Resorts</t>
  </si>
  <si>
    <t xml:space="preserve">Schloss Bangalore (Brookfield)</t>
  </si>
  <si>
    <t xml:space="preserve">Leadership change, Incumbent turmoil, Fresh budget or launch, No agency credited</t>
  </si>
  <si>
    <t xml:space="preserve">CMO churn (Shweta Jain exit May 2025, Anjali Mehra now leading marketing); record FY26 results and expansion push (Apr 2026); 40-year brand storytelling; prime luxury poach target.</t>
  </si>
  <si>
    <t xml:space="preserve">Leela's social campaigns (Padmanabh Singh Nov 2024, Gauravi Kumari Dec 2025) carried no agency credit; CMO Shweta Jain left in May 2025.</t>
  </si>
  <si>
    <t xml:space="preserve">2025-06</t>
  </si>
  <si>
    <t xml:space="preserve">https://www.socialsamosa.com/industry-updates/shweta-jain-steps-down-cmo-sales-officer-the-leela-palaces-9356489</t>
  </si>
  <si>
    <t xml:space="preserve">BMW India</t>
  </si>
  <si>
    <t xml:space="preserve">Automotive</t>
  </si>
  <si>
    <t xml:space="preserve">BMW Group</t>
  </si>
  <si>
    <t xml:space="preserve">Contract Advertising (VML) (Integrated, since 2026); Lodestar UM (Omnicom Media) (Media, since 2022); Interactive Avenues (Omnicom Media) (Digital); PMG India (Hakuhodo) (Experiential)</t>
  </si>
  <si>
    <t xml:space="preserve">Hakuhodo, Omnicom, WPP</t>
  </si>
  <si>
    <t xml:space="preserve">Rediffusion (Integrated)</t>
  </si>
  <si>
    <t xml:space="preserve">New incumbent, low near-term poachability; but social, content, experiential and dealer content can be carved out.; Account moved 2026-01 from Rediffusion; marketing director Vitesh Barar; WPP creative restructuring ongoing; Newly won in pitch; VML India creative head who oversaw Contract (Kalpesh Patankar) exited Aug 2026; Fresh pitch Jan 2026; MINI digital split out to SW Network; WPP network restructuring.; IPG Mediabrands retired into Omnicom Media post merger; creative just moved, media could follow; IPG Mediabrands folded into Omnicom Media; IA creative team integration under way; luxury auto; Experiential only; content and social separate; Brand just ran a review; signals willingness to change partners.; Account moved 2026-01 after about 4 years</t>
  </si>
  <si>
    <t xml:space="preserve">BMW India awarded integrated creative mandate (mainline plus digital) to VML's Contract Advertising after a competitive pitch, replacing Rediffusion.</t>
  </si>
  <si>
    <t xml:space="preserve">2026-08</t>
  </si>
  <si>
    <t xml:space="preserve">https://www.storyboard18.com/agency-news/exclusive-bmw-india-appoints-vmls-contract-advertising-india-as-creative-agency-87842.htm</t>
  </si>
  <si>
    <t xml:space="preserve">https://www.adgully.com/post/11327/contract-advertising-india-wins-integrated-creative-mandate-for-bmw-india</t>
  </si>
  <si>
    <t xml:space="preserve">Diageo India Reserve portfolio</t>
  </si>
  <si>
    <t xml:space="preserve">Alcobev</t>
  </si>
  <si>
    <t xml:space="preserve">Diageo India</t>
  </si>
  <si>
    <t xml:space="preserve">The Glitch (VML) (Integrated, since 2018) unconfirmed</t>
  </si>
  <si>
    <t xml:space="preserve">WPP</t>
  </si>
  <si>
    <t xml:space="preserve">Incumbent turmoil, Long tenure</t>
  </si>
  <si>
    <t xml:space="preserve">The Glitch shows no trade press activity after Apr 2024 and theglitch.in no longer resolves; likely absorbed into VML; Black &amp; White work credited to Saatchi &amp; Saatchi India at Storyboard18 Awards 2026</t>
  </si>
  <si>
    <t xml:space="preserve">The Glitch expanded to a 360 degree mandate for Diageo India's premium, luxury and reserve brands in Feb 2020.</t>
  </si>
  <si>
    <t xml:space="preserve">2020-02</t>
  </si>
  <si>
    <t xml:space="preserve">https://www.medianews4u.com/the-glitch-expands-their-integrated-creative-portfolio-with-the-addition-of-diageo-indias-premium-luxury-and-reserve-brands/</t>
  </si>
  <si>
    <t xml:space="preserve">Ducati India</t>
  </si>
  <si>
    <t xml:space="preserve">Ducati (Audi AG)</t>
  </si>
  <si>
    <t xml:space="preserve">Burson India (PR, since 2024)</t>
  </si>
  <si>
    <t xml:space="preserve">WPP hired Goldman Sachs in Apr 2026 to explore a sale of Burson; New head of marketing 2026-05</t>
  </si>
  <si>
    <t xml:space="preserve">Ducati India elevated Amit Chauhan to head of marketing.</t>
  </si>
  <si>
    <t xml:space="preserve">2026-05</t>
  </si>
  <si>
    <t xml:space="preserve">https://www.medianews4u.com/ducati-india-appoints-burson-as-strategic-communications-partner/</t>
  </si>
  <si>
    <t xml:space="preserve">https://www.afaqs.com/people-spotting/ducati-india-elevates-amit-chauhan-to-head-of-marketing-11805878</t>
  </si>
  <si>
    <t xml:space="preserve">Kama Ayurveda</t>
  </si>
  <si>
    <t xml:space="preserve">Beauty &amp; personal care</t>
  </si>
  <si>
    <t xml:space="preserve">Puig (majority)</t>
  </si>
  <si>
    <t xml:space="preserve">Leadership change, No agency credited</t>
  </si>
  <si>
    <t xml:space="preserve">Former marketing head moved to Heads Up For Tails (May 2026)</t>
  </si>
  <si>
    <t xml:space="preserve">Medianews4u search for Kama Ayurveda returned no agency credit.</t>
  </si>
  <si>
    <t xml:space="preserve">Mercedes-Benz India</t>
  </si>
  <si>
    <t xml:space="preserve">Mercedes-Benz Group</t>
  </si>
  <si>
    <t xml:space="preserve">Adfactors PR (PR, since 2025); BBDO India (Integrated); PMG India (Hakuhodo) (Experiential); BBDO India (Creative); Social Beat (Cheil) (Social) unconfirmed</t>
  </si>
  <si>
    <t xml:space="preserve">Cheil, Hakuhodo, Independent, Omnicom</t>
  </si>
  <si>
    <t xml:space="preserve">New head of marketing Nandita Godbole elevated Jul 2026 (afaqs); creative, social and experiential partners not publicly mapped.; Dedicated Team X unit; luxury social, content and experiential could be carved out; BBDO India CEO Suraja Kishore exited Apr 2025; Jitender Dabas named BBDO Group CEO Feb 2026 as Mudra and Ulka folded in; Experiential only; social, content and PR are separate opportunities; New head of marketing Nandita Godbole (Jul 2026, succeeding Amrit Baid); marketing budget kept flat despite record sales; festive Dream Days campaign carried no agency credit.; New head of marketing from 2026-09 with AI and data focus; rival BMW moved creative 2026-01; New sports property 2026-07 needing content and experiential support; Social Beat was acquired by Cheil SWA Group (Nov 2025); post-acquisition integration and senior exits (AVP Dhruhi Sethi left Jan 2026).</t>
  </si>
  <si>
    <t xml:space="preserve">Team X BBDO India made the Sep 2025 'Dream Days' festive campaign and the Sep 2026 '140 Years. 140 Places.' India leg.</t>
  </si>
  <si>
    <t xml:space="preserve">https://www.adgully.com/post/611/mercedes-benz-india-awards-pr-mandate-to-adfactors-pr</t>
  </si>
  <si>
    <t xml:space="preserve">https://www.afaqs.com/people-spotting/mercedes-benz-india-elevates-nandita-godbole-as-head-of-marketing-12159853</t>
  </si>
  <si>
    <t xml:space="preserve">MINI India</t>
  </si>
  <si>
    <t xml:space="preserve">SW Network (Sociowash) (Digital, since 2026); VML India (Integrated)</t>
  </si>
  <si>
    <t xml:space="preserve">Independent, WPP</t>
  </si>
  <si>
    <t xml:space="preserve">Leadership change, Split roster, Long tenure</t>
  </si>
  <si>
    <t xml:space="preserve">Recently awarded; lifestyle content and influencer layers still open.; Appointed 2026-01 with no pitch disclosed; sister brand BMW moved creative the same month; BMW India mainline moved to Contract (WPP) in Jan 2026; MINI digital sits separately, split mandates; BMW India moved integrated communications to Contract Advertising the same week (Jan 2026), group roster in flux.; Split mandate inside BMW Group India (BMW creative with Contract); PR and experiential not assigned publicly.; VML India Group CCO Kalpesh Patankar exited Aug 2026 (to Leo Gulf) and CSO Pinaki Bhattacharya exited early 2026 after 16 years</t>
  </si>
  <si>
    <t xml:space="preserve">SW Network appointed digital and creative agency for MINI India covering strategy, campaigns and lifestyle content, handled from Delhi.</t>
  </si>
  <si>
    <t xml:space="preserve">https://www.storyboard18.com/agency-news/sw-network-wins-full-digital-mandate-for-mini-india-87868.htm</t>
  </si>
  <si>
    <t xml:space="preserve">https://www.afaqs.com/news/newbizwins/sw-network-wins-digital-creative-mandate-for-mini-india-11012093</t>
  </si>
  <si>
    <t xml:space="preserve">Porsche India</t>
  </si>
  <si>
    <t xml:space="preserve">Porsche AG</t>
  </si>
  <si>
    <t xml:space="preserve">AdGlobal360 (Hakuhodo) (Digital); PMG India (Hakuhodo) (Experiential)</t>
  </si>
  <si>
    <t xml:space="preserve">Hakuhodo</t>
  </si>
  <si>
    <t xml:space="preserve">Leadership change, Split roster, Fresh budget or launch</t>
  </si>
  <si>
    <t xml:space="preserve">Split: PMG India handles Porsche experiential; New brand director within the last six months; Porsche globally cutting costs, so efficient local content partners appeal.</t>
  </si>
  <si>
    <t xml:space="preserve">AdGlobal360 won cross-channel marketing award for Porsche at e4m Automotive Marketing Awards 2026.</t>
  </si>
  <si>
    <t xml:space="preserve">https://www.hakuhodo-global.com/news/hakuhodo-india-network-secures-16-prestigious-awards-at-e4m-automotive-marketing-awards-2026.html</t>
  </si>
  <si>
    <t xml:space="preserve">https://www.afaqs.com/people-spotting/škoda-india-appoints-ashutosh-dixit-as-brand-director-of-porsche-india-11802850</t>
  </si>
  <si>
    <t xml:space="preserve">Sazerac India (Paul John, Buffalo Trace)</t>
  </si>
  <si>
    <t xml:space="preserve">Sazerac</t>
  </si>
  <si>
    <t xml:space="preserve">New MD 2026-09 from Bimbo and PepsiCo</t>
  </si>
  <si>
    <t xml:space="preserve">Kunal Sharma joined Sazerac as MD India, overseeing Paul John, Buffalo Trace, Weller and Fireball.</t>
  </si>
  <si>
    <t xml:space="preserve">https://www.storyboard18.com/brand-makers/kunal-sharma-named-sazerac-india-managing-director-ws-l-110645.htm</t>
  </si>
  <si>
    <t xml:space="preserve">DLF</t>
  </si>
  <si>
    <t xml:space="preserve">DLF Ltd</t>
  </si>
  <si>
    <t xml:space="preserve">Fresh budget or launch, No agency credited</t>
  </si>
  <si>
    <t xml:space="preserve">Ultra luxury Gurugram launches sell on project marketing; luxury launch films and HNI content are pitchable per project; no visible incumbent.</t>
  </si>
  <si>
    <t xml:space="preserve">No creative or social agency credit found for DLF homes 2024 to 2026; DLF Malls' Summer Up campaign (May 2026) carried no agency credit; last public digital mandate was Envigo in 2015.</t>
  </si>
  <si>
    <t xml:space="preserve">https://www.campaignindia.in/article/dlf-malls-launches-phygital-summer-up-campaign/4pvgt96ejphfhssc00m9ec3vmp</t>
  </si>
  <si>
    <t xml:space="preserve">Elan Group</t>
  </si>
  <si>
    <t xml:space="preserve">Big celebrity bet without visible agency; luxury Gurugram launches.</t>
  </si>
  <si>
    <t xml:space="preserve">No agency credit found; Elan signed Shah Rukh Khan as brand ambassador (Feb 2025) and hired an AGM Brand Marketing (Jul 2025).</t>
  </si>
  <si>
    <t xml:space="preserve">2025-02</t>
  </si>
  <si>
    <t xml:space="preserve">https://www.afaqs.com/news/mktg/elan-group-onboards-shah-rukh-khan-as-brand-ambassador-8750776</t>
  </si>
  <si>
    <t xml:space="preserve">Ethos Watches</t>
  </si>
  <si>
    <t xml:space="preserve">Ethos Ltd</t>
  </si>
  <si>
    <t xml:space="preserve">Listed via 2024 IPO; expanding luxury watch retail; no visible agency</t>
  </si>
  <si>
    <t xml:space="preserve">Searched medianews4u for Ethos Watches; no agency appointment or campaign credit surfaced.</t>
  </si>
  <si>
    <t xml:space="preserve">Experion Developers</t>
  </si>
  <si>
    <t xml:space="preserve">Experion Group</t>
  </si>
  <si>
    <t xml:space="preserve">Leadership reshuffle; luxury Gurugram launches.</t>
  </si>
  <si>
    <t xml:space="preserve">No agency credit found; hired a VP Communications (Jan 2025) and named a deputy CEO.</t>
  </si>
  <si>
    <t xml:space="preserve">2025-01</t>
  </si>
  <si>
    <t xml:space="preserve">https://www.afaqs.com/people-spotting/himanshu-raj-joins-juniper-green-energy-experion-developers-as-vp-communications-8598890</t>
  </si>
  <si>
    <t xml:space="preserve">Galeries Lafayette India</t>
  </si>
  <si>
    <t xml:space="preserve">Fashion &amp; luxury retail</t>
  </si>
  <si>
    <t xml:space="preserve">Galeries Lafayette</t>
  </si>
  <si>
    <t xml:space="preserve">New brand marketing head 2026-08 ahead of India build out; agencies not disclosed</t>
  </si>
  <si>
    <t xml:space="preserve">Noopur Khandekar, ex SVP at Tilt Brand Solutions, joined as head of brand marketing for Galeries Lafayette India.</t>
  </si>
  <si>
    <t xml:space="preserve">https://www.afaqs.com/people-spotting/noopur-khandekar-joins-galeries-lafayette-india-as-brand-marketing-head-12391643</t>
  </si>
  <si>
    <t xml:space="preserve">ITC Hotels</t>
  </si>
  <si>
    <t xml:space="preserve">ITC Hotels Ltd</t>
  </si>
  <si>
    <t xml:space="preserve">Actimedia PR (PR, since 2021) unconfirmed</t>
  </si>
  <si>
    <t xml:space="preserve">Incumbent turmoil</t>
  </si>
  <si>
    <t xml:space="preserve">New F&amp;B marketing head 2026-08; Five year old PR relationship; ITC Hotels demerged and listed, acquiring Zuri Kumarakom and GHK (2026), new F&amp;B marketing head (Aug 2026).; Newly independent listed company building its own brand voice; 'Responsible Luxury' platform, new acquisitions and Mementos luxury tier need premium content.</t>
  </si>
  <si>
    <t xml:space="preserve">ITC Hotels appointed Rajiv Singh as head of food and beverages marketing.</t>
  </si>
  <si>
    <t xml:space="preserve">https://www.afaqs.com/people-spotting/itc-hotels-appoints-rajiv-singh-as-head-food-beverages-marketing-12250848</t>
  </si>
  <si>
    <t xml:space="preserve">https://www.exchange4media.com/pr-and-corporate-communication-news/itc-hotels-ropes-in-actimedia-as-pr-and-communications-partner-113939.html</t>
  </si>
  <si>
    <t xml:space="preserve">Krishna GVK Hotels (ex Taj GVK)</t>
  </si>
  <si>
    <t xml:space="preserve">GVK Group</t>
  </si>
  <si>
    <t xml:space="preserve">Full rebrand and identity launch across Hyderabad and Chennai hotels: new brand, new agency need.</t>
  </si>
  <si>
    <t xml:space="preserve">Taj GVK Hotels is to become Krishna GVK Hotels, exiting the Taj name (Jul 2026).</t>
  </si>
  <si>
    <t xml:space="preserve">2026-07</t>
  </si>
  <si>
    <t xml:space="preserve">https://www.storyboard18.com/brand-marketing/taj-gvk-hotels-to-become-krishna-gvk-hotels-taj-gvk-hotels-to-become-krishna-gvk-hotels-ws-l-106223.htm</t>
  </si>
  <si>
    <t xml:space="preserve">Manish Malhotra</t>
  </si>
  <si>
    <t xml:space="preserve">Manish Malhotra (Reliance Brands stake)</t>
  </si>
  <si>
    <t xml:space="preserve">Reliance Brands-backed expansion; in-house content</t>
  </si>
  <si>
    <t xml:space="preserve">No external agency credit surfaced for Manish Malhotra.</t>
  </si>
  <si>
    <t xml:space="preserve">Reliance Brands (luxury franchise portfolio)</t>
  </si>
  <si>
    <t xml:space="preserve">Reliance Retail</t>
  </si>
  <si>
    <t xml:space="preserve">80+ franchise brands; local launch and PR briefs brand by brand</t>
  </si>
  <si>
    <t xml:space="preserve">No Reliance Brands agency appointment surfaced; international franchises typically use global brand assets.</t>
  </si>
  <si>
    <t xml:space="preserve">The Leela Palace Jaipur</t>
  </si>
  <si>
    <t xml:space="preserve">The Leela (Schloss Bangalore)</t>
  </si>
  <si>
    <t xml:space="preserve">Quirk Head (Digital) unconfirmed</t>
  </si>
  <si>
    <t xml:space="preserve">Open mandates</t>
  </si>
  <si>
    <t xml:space="preserve">Property-level digital; Leela brand campaigns led by CMSO Shweta Jain with no agency credited (afaqs Nov 2024).</t>
  </si>
  <si>
    <t xml:space="preserve">Quirk Head website lists The Leela Palace Jaipur among its luxury hospitality clients.</t>
  </si>
  <si>
    <t xml:space="preserve">https://quirkhead.ae/</t>
  </si>
  <si>
    <t xml:space="preserve">Tribeca Developers (Trump Towers India)</t>
  </si>
  <si>
    <t xml:space="preserve">Tribeca Developers</t>
  </si>
  <si>
    <t xml:space="preserve">Ultra luxury branded residences launched city by city; launch content per project.</t>
  </si>
  <si>
    <t xml:space="preserve">No agency relationship found in Indian trade press for Tribeca or Trump Towers India.</t>
  </si>
  <si>
    <t xml:space="preserve">Vianaar</t>
  </si>
  <si>
    <t xml:space="preserve">PROHED (Performance, since 2026)</t>
  </si>
  <si>
    <t xml:space="preserve">Performance only 2026-03; brand creative and content not disclosed; Performance only; brand film, social and content for a design-led luxury developer unassigned publicly.</t>
  </si>
  <si>
    <t xml:space="preserve">PROHED won the performance marketing mandate for Vianaar.</t>
  </si>
  <si>
    <t xml:space="preserve">2026-03</t>
  </si>
  <si>
    <t xml:space="preserve">https://www.afaqs.com/news/newbizwins/prohed-bags-performance-marketing-mandate-for-vianaar-11220895</t>
  </si>
  <si>
    <t xml:space="preserve">Whiteland Corporation</t>
  </si>
  <si>
    <t xml:space="preserve">Gurugram luxury launches with no visible agency support.</t>
  </si>
  <si>
    <t xml:space="preserve">No agency relationship found in Indian trade press.</t>
  </si>
  <si>
    <t xml:space="preserve">Adani Realty</t>
  </si>
  <si>
    <t xml:space="preserve">Premium</t>
  </si>
  <si>
    <t xml:space="preserve">Adani Group</t>
  </si>
  <si>
    <t xml:space="preserve">22feet Tribal Worldwide (Creative); Mirum India (VML) (Digital, since 2023) unconfirmed</t>
  </si>
  <si>
    <t xml:space="preserve">Omnicom, WPP</t>
  </si>
  <si>
    <t xml:space="preserve">Incumbent turmoil, Split roster, Fresh budget or launch</t>
  </si>
  <si>
    <t xml:space="preserve">Adani uses multiple agencies; Kinnect and 22feet leadership merged under Chandni Shah; unit says it will take only five new clients in 2026; Project scope; no recent credit visible; Adani Group put a Rs 500 to 600 crore media mandate up for review (Dec 2025); NCR expansion team newly built.</t>
  </si>
  <si>
    <t xml:space="preserve">Adani Realty and 22feet India released a Ganesh festival film on Bappa's homecoming in Sep 2026.</t>
  </si>
  <si>
    <t xml:space="preserve">https://campaignbriefasia.com/2026/09/23/adani-realty-and-22feet-india-celebrate-the-journey-of-bappas-homecoming/</t>
  </si>
  <si>
    <t xml:space="preserve">https://www.medianews4u.com/adani-realty-collaborates-with-mirum-india-for-its-vr-offering/</t>
  </si>
  <si>
    <t xml:space="preserve">Arvind SmartSpaces</t>
  </si>
  <si>
    <t xml:space="preserve">Arvind Group</t>
  </si>
  <si>
    <t xml:space="preserve">New head of marketing 2026-09</t>
  </si>
  <si>
    <t xml:space="preserve">Arvind SmartSpaces appointed Ankit Dave as head of marketing.</t>
  </si>
  <si>
    <t xml:space="preserve">https://www.afaqs.com/people-spotting/arvind-smartspaces-appoints-ankit-dave-as-head-of-marketing-12583232</t>
  </si>
  <si>
    <t xml:space="preserve">BIBA</t>
  </si>
  <si>
    <t xml:space="preserve">Biba Apparels</t>
  </si>
  <si>
    <t xml:space="preserve">Famous Innovations (Creative); Dentsu Creative India (Creative, since 2022) unconfirmed</t>
  </si>
  <si>
    <t xml:space="preserve">Dentsu, Independent</t>
  </si>
  <si>
    <t xml:space="preserve">BBH India (ex Publicis India) (Creative)</t>
  </si>
  <si>
    <t xml:space="preserve">Taproot brand retired in 2022 merger; later BIBA campaign credited to iProspect; Moved to Taproot Dentsu</t>
  </si>
  <si>
    <t xml:space="preserve">Biba is listed among Famous Innovations' existing clients.</t>
  </si>
  <si>
    <t xml:space="preserve">2026-04</t>
  </si>
  <si>
    <t xml:space="preserve">https://www.afaqs.com/news/advertising/famous-innovations-wins-5-major-mandates-in-h2-strengthens-geographical-expansion-11727022</t>
  </si>
  <si>
    <t xml:space="preserve">https://www.medianews4u.com/taproot-dentsu-wins-creative-mandate-for-biba/</t>
  </si>
  <si>
    <t xml:space="preserve">Brigade Group</t>
  </si>
  <si>
    <t xml:space="preserve">Brigade Enterprises</t>
  </si>
  <si>
    <t xml:space="preserve">Webenza (Digital) unconfirmed; Social Beat (Cheil) (Performance) unconfirmed</t>
  </si>
  <si>
    <t xml:space="preserve">Cheil, Independent</t>
  </si>
  <si>
    <t xml:space="preserve">Brigade also appears on Social Beat's work page; split or rotating roster.; Bengaluru luxury, office and hospitality portfolio; no visible incumbent in trade press.; Social Beat was acquired by Cheil SWA Group (Nov 2025); post-acquisition integration and senior exits (AVP Dhruhi Sethi left Jan 2026).</t>
  </si>
  <si>
    <t xml:space="preserve">Webenza's homepage features a Brigade Group case study and logo.</t>
  </si>
  <si>
    <t xml:space="preserve">https://www.webenza.com/</t>
  </si>
  <si>
    <t xml:space="preserve">https://www.socialbeat.in/work/</t>
  </si>
  <si>
    <t xml:space="preserve">Club Mahindra (Club M)</t>
  </si>
  <si>
    <t xml:space="preserve">Mahindra Holidays &amp; Resorts India</t>
  </si>
  <si>
    <t xml:space="preserve">Leadership change, Incumbent turmoil, No agency credited</t>
  </si>
  <si>
    <t xml:space="preserve">Rebrand plus CMO exit plus new group CEO for Real Estate and Hospitality (Aug 2026) plus adex cut 26% in FY25: classic moment for a new agency.</t>
  </si>
  <si>
    <t xml:space="preserve">No agency credit found; CMO Pratik Mazumder quit in Jun 2025 and the brand is rebranding to Club M with a Rs 1,000 crore leisure hospitality push.</t>
  </si>
  <si>
    <t xml:space="preserve">2025-11</t>
  </si>
  <si>
    <t xml:space="preserve">https://www.storyboard18.com/brand-marketing/club-mahindra-to-rebrand-as-club-m-enters-leisure-hospitality-with-rs-1000-crore-investment-84498.htm</t>
  </si>
  <si>
    <t xml:space="preserve">Enamor</t>
  </si>
  <si>
    <t xml:space="preserve">Gokaldas Intimatewear</t>
  </si>
  <si>
    <t xml:space="preserve">Tilt Brand Solutions (Integrated, since 2025); The Glitch (VML) (Integrated, since 2022) unconfirmed</t>
  </si>
  <si>
    <t xml:space="preserve">BBH India (ex Publicis India) (Creative); Propagate India (Publicis) (Digital)</t>
  </si>
  <si>
    <t xml:space="preserve">CBO Hari Krishnan exited Tilt in Oct 2025, servicing leadership changed; Tilt CBO Hari Krishnan exited Oct 2025; Tilt added Santoor AOR Apr 2026 (bandwidth).; The Glitch shows no trade press activity after Apr 2024 and theglitch.in no longer resolves; likely absorbed into VML; Moved to Tilt Brand Solutions; brand has changed agencies three times since 2022</t>
  </si>
  <si>
    <t xml:space="preserve">Enamor appointed Tilt Brand Solutions as its brand and communications AOR.</t>
  </si>
  <si>
    <t xml:space="preserve">2025-03</t>
  </si>
  <si>
    <t xml:space="preserve">https://www.afaqs.com/news/newbizwins/enamor-appoints-tilt-brand-solutions-as-its-brand-communications-aor-8888963</t>
  </si>
  <si>
    <t xml:space="preserve">https://www.medianews4u.com/enamor-names-tilt-brand-solutions-as-brand-communications-aor/</t>
  </si>
  <si>
    <t xml:space="preserve">Ethnix by Raymond</t>
  </si>
  <si>
    <t xml:space="preserve">Raymond Lifestyle Ltd</t>
  </si>
  <si>
    <t xml:space="preserve">Mudra (ex DDB Mudra, BBDO Group) (Creative, since 2022) unconfirmed</t>
  </si>
  <si>
    <t xml:space="preserve">Incumbent turmoil, Split roster</t>
  </si>
  <si>
    <t xml:space="preserve">No recent credit; wedding-wear competition with Manyavar and Tasva; Premium ethnic wear sub-brand; DDB brand retired Jan 2026 and DDB Mudra split across McCann, BBDO Group (Mudra) and TBWA\Lintas; destination of this account not announced</t>
  </si>
  <si>
    <t xml:space="preserve">DDB Mudra Group created Ethnix by Raymond's family-themed campaign (Nov 2022).</t>
  </si>
  <si>
    <t xml:space="preserve">2022-11</t>
  </si>
  <si>
    <t xml:space="preserve">https://www.medianews4u.com/ethnix-by-raymond-celebrates-family-and-fashion-in-its-latest-campaign/</t>
  </si>
  <si>
    <t xml:space="preserve">https://www.afaqs.com/news/advertising/ddb-mudra-wins-raymonds-integrated-aor-mandate</t>
  </si>
  <si>
    <t xml:space="preserve">Foot Locker India</t>
  </si>
  <si>
    <t xml:space="preserve">Metro Brands</t>
  </si>
  <si>
    <t xml:space="preserve">Scribbld (Social, since 2025); SW Network (Sociowash) (Creative, since 2025); SW Network (Sociowash) (Integrated, since 2025)</t>
  </si>
  <si>
    <t xml:space="preserve">Metro Brands gave Foot Locker mainline creative to SW Network two months later, possible consolidation risk; Split with SW Network, which took Foot Locker mainline creative in Nov 2025.; SW Network won Foot Locker mandates two months later; overlap or churn.; Scribbld holds Foot Locker digital and social since Sep 2025, split mandate; Scribbld had Foot Locker digital and social from Sep 2025; Metro Brands reshuffles quickly.</t>
  </si>
  <si>
    <t xml:space="preserve">SW Network won mainline creative duties for Foot Locker and digital creative for FILA from Metro Brands.</t>
  </si>
  <si>
    <t xml:space="preserve">https://www.afaqs.com/news/newbizwins/scribbld-wins-digital-and-social-media-mandate-for-foot-locker-india-10279212</t>
  </si>
  <si>
    <t xml:space="preserve">https://www.medianews4u.com/scribbld-wins-digital-and-social-media-mandate-for-foot-locker-india/</t>
  </si>
  <si>
    <t xml:space="preserve">Godrej Properties</t>
  </si>
  <si>
    <t xml:space="preserve">Godrej Group</t>
  </si>
  <si>
    <t xml:space="preserve">Ogilvy India (Digital, since 2021) unconfirmed; Madison Loop (ex Madison BMB) (Integrated) unconfirmed; Gozoop (now YAAP) (Digital, since 2023) unconfirmed</t>
  </si>
  <si>
    <t xml:space="preserve">Leadership change, Incumbent turmoil, Fresh budget or launch, Split roster</t>
  </si>
  <si>
    <t xml:space="preserve">No visible Ogilvy work since 2021; real estate digital scope may be open; Gozoop merged into YAAP in 2026; ORM-only scope leaves creative and social open.; Targeting Rs 40,000 crore of launches in FY26 across new cities; experiential and launch content briefs per project; MD and CEO Gaurav Pandey reappointed (Aug 2025).</t>
  </si>
  <si>
    <t xml:space="preserve">Gozoop Hawk bagged the digital customer service (ORM) mandate for Godrej Properties.</t>
  </si>
  <si>
    <t xml:space="preserve">https://www.medianews4u.com/godrej-properties-launches-its-first-digital-brand-campaign/</t>
  </si>
  <si>
    <t xml:space="preserve">IndiGo</t>
  </si>
  <si>
    <t xml:space="preserve">InterGlobe Aviation</t>
  </si>
  <si>
    <t xml:space="preserve">Nash8 (Digital)</t>
  </si>
  <si>
    <t xml:space="preserve">Leadership change, Fresh budget or launch</t>
  </si>
  <si>
    <t xml:space="preserve">Co-brand work only; main brand creative unattributed.; New content and creative head 2026-09; New CEO Willie Walsh (Apr 2026), new VP Marketing and Digital Deepti Sampat (Jan 2026) and global expansion push (Jun 2026): fresh leadership, in-house leaning.</t>
  </si>
  <si>
    <t xml:space="preserve">IndiGo appointed Mayank Kumar as head of content and creative, marketing.</t>
  </si>
  <si>
    <t xml:space="preserve">https://www.afaqs.com/people-spotting/indigo-appoints-mayank-kumar-as-head-of-content-creative-marketing-12514196</t>
  </si>
  <si>
    <t xml:space="preserve">https://www.campaignindia.in/article/pixel-perfect-how-nash8-turned-indigo-axis-bank-credit-card-launch-into-a-game-worth-playing/4p09sj3s31zrztgj67esjzmwdj</t>
  </si>
  <si>
    <t xml:space="preserve">K Raheja Corp</t>
  </si>
  <si>
    <t xml:space="preserve">K Raheja Group</t>
  </si>
  <si>
    <t xml:space="preserve">New CEO 2026-07; New CEO; group spans luxury residences, Chalet Hotels (Burson PR) and Inorbit malls.</t>
  </si>
  <si>
    <t xml:space="preserve">K Raheja Group appointed Vijayta Nikhil Raheja as CEO.</t>
  </si>
  <si>
    <t xml:space="preserve">https://www.afaqs.com/people-spotting/k-raheja-group-appoints-vijayta-nikhil-raheja-as-ceo-12208087</t>
  </si>
  <si>
    <t xml:space="preserve">Kalpataru</t>
  </si>
  <si>
    <t xml:space="preserve">Kalpataru Ltd</t>
  </si>
  <si>
    <t xml:space="preserve">Social Beat (Cheil) (Digital)</t>
  </si>
  <si>
    <t xml:space="preserve">Cheil</t>
  </si>
  <si>
    <t xml:space="preserve">Leadership change, Incumbent turmoil, Open mandates</t>
  </si>
  <si>
    <t xml:space="preserve">Digital-led execution; brand creative unassigned publicly.; Social Beat was acquired by Cheil SWA Group (Nov 2025); post-acquisition integration and senior exits (AVP Dhruhi Sethi left Jan 2026).</t>
  </si>
  <si>
    <t xml:space="preserve">Social Beat executed a programmatic DOOH campaign for Kalpataru targeting NRIs at Mumbai airport.</t>
  </si>
  <si>
    <t xml:space="preserve">https://www.afaqs.com/news/ooh/social-beat-executes-pdooh-campaign-for-kalpataru-at-mumbai-airport-11806525</t>
  </si>
  <si>
    <t xml:space="preserve">Khazana Jewellery</t>
  </si>
  <si>
    <t xml:space="preserve">Social Beat (Cheil) (Digital, since 2024)</t>
  </si>
  <si>
    <t xml:space="preserve">Social Beat was acquired by Cheil SWA Group (Nov 2025); post-acquisition integration and senior exits (AVP Dhruhi Sethi left Jan 2026).</t>
  </si>
  <si>
    <t xml:space="preserve">Khazana Jewellery chose Social Beat for creative campaigns, Google and Meta, and collection video content.</t>
  </si>
  <si>
    <t xml:space="preserve">2024-01</t>
  </si>
  <si>
    <t xml:space="preserve">https://www.afaqs.com/news/advertising/khazana-jewellery-chooses-social-beat-for-digital-mandate</t>
  </si>
  <si>
    <t xml:space="preserve">Limelight Lab Grown Diamonds</t>
  </si>
  <si>
    <t xml:space="preserve">Limelight Diamonds</t>
  </si>
  <si>
    <t xml:space="preserve">INR 250 Cr fundraise; new CMO Rupali Shrivastava (May 2025); Shilpa Shetty investor and ambassador</t>
  </si>
  <si>
    <t xml:space="preserve">Limelight announced vertical integration and an INR 250 Cr fundraise (Dec 2025); no agency named.</t>
  </si>
  <si>
    <t xml:space="preserve">2025-12</t>
  </si>
  <si>
    <t xml:space="preserve">https://www.medianews4u.com/limelight-lab-grown-diamonds-announces-vertical-integration-inr-250-cr-fundraise-to-accelerate-growth/</t>
  </si>
  <si>
    <t xml:space="preserve">MakeMyTrip</t>
  </si>
  <si>
    <t xml:space="preserve">MakeMyTrip Ltd</t>
  </si>
  <si>
    <t xml:space="preserve">Moonshot (Creative); TBWA\Lintas (Creative); Dentsu Creative Webchutney (Digital, since 2022) unconfirmed</t>
  </si>
  <si>
    <t xml:space="preserve">Dentsu, Independent, Omnicom</t>
  </si>
  <si>
    <t xml:space="preserve">Merged agency still settling; leadership now Govind Pandey (CEO) and Russell Barrett; Four-year-old mandate, no recent public credits found; Abhinav Narula elevated to SVP Marketing (May 2026); India IPO filing and creator programme with Meta; performance-first culture.</t>
  </si>
  <si>
    <t xml:space="preserve">Moonshot won an IndIAA 2025 award for MakeMyTrip work.</t>
  </si>
  <si>
    <t xml:space="preserve">https://www.manifest-media.in/advertising/081025/indiaa-awards-2025-moonshot-and-ogilvy-dominate-with-four-wins-each.html</t>
  </si>
  <si>
    <t xml:space="preserve">https://www.dentsu.com/in/en/our-news/dentsu-webchutney-wins-digital-mandate-for-make-my-trip</t>
  </si>
  <si>
    <t xml:space="preserve">Malabar Gold &amp; Diamonds</t>
  </si>
  <si>
    <t xml:space="preserve">Malabar Group</t>
  </si>
  <si>
    <t xml:space="preserve">Mudra (ex DDB Mudra, BBDO Group) (Creative)</t>
  </si>
  <si>
    <t xml:space="preserve">New Head of Marketing Prajith VM (Aug 2025); MS Dhoni signed Jul 2026; ZOUL, Nuwa, Nayraa launches 2026 without agency credit; India plus GCC</t>
  </si>
  <si>
    <t xml:space="preserve">DDB Mudra conceptualised Malabar's 'Solitaire One' campaign with Alia Bhatt (Jan 2025).</t>
  </si>
  <si>
    <t xml:space="preserve">https://www.exchange4media.com/advertising-news/malabar-gold-diamonds-campaign-with-alia-bhatt-celebrates-the-charm-of-solitaires-140391.html</t>
  </si>
  <si>
    <t xml:space="preserve">Manyavar</t>
  </si>
  <si>
    <t xml:space="preserve">Vedant Fashions</t>
  </si>
  <si>
    <t xml:space="preserve">McCann India (Creative); Mirum India (VML) (Digital, since 2023) unconfirmed; WPP Media (Media, since 2024) unconfirmed</t>
  </si>
  <si>
    <t xml:space="preserve">Leadership change, Fresh budget or launch, Split roster</t>
  </si>
  <si>
    <t xml:space="preserve">Work led by Prasoon Joshi, now Chairman of Omnicom Advertising India and off day-to-day; Chief Marketing and Digital Officer Anand Narang since Sep 2023; creative partner not visible; Mirum India MD and co founder Mihir Karkare stepped down Jan 2025; South India expansion</t>
  </si>
  <si>
    <t xml:space="preserve">McCann Worldgroup India created 'Aap Kab Ban Rahe Hain Manyavar?' groom campaign.</t>
  </si>
  <si>
    <t xml:space="preserve">2024-10</t>
  </si>
  <si>
    <t xml:space="preserve">https://www.medianews4u.com/manyavar-awards-digital-transformation-mandate-to-mirum-india-and-wt-commerce/</t>
  </si>
  <si>
    <t xml:space="preserve">https://www.medianews4u.com/manyavar-enters-south-india-with-ram-charan-as-brands-face-in-ooh-campaign-conceptualized-by-groupm-ooh-solutions/</t>
  </si>
  <si>
    <t xml:space="preserve">Mia by Tanishq</t>
  </si>
  <si>
    <t xml:space="preserve">Digital Refresh Networks (Digital, since 2021) unconfirmed; Famous Innovations (Creative) unconfirmed; Schbang (Creative) unconfirmed; Schbang (Social) unconfirmed</t>
  </si>
  <si>
    <t xml:space="preserve">New marketing lead 2026-07; Five years old; Schbang also credits a Mia range launch, suggesting a shifting roster.; New Marketing Lead Sneha Kanukolanu joined Jul 2026; Aug 2026 Rakhi film carried no agency credit; Aneet Padda new ambassador; Digital Refresh Networks also won Mia's digital mandate (2021); roster appears project-based.; Mia hired a new marketing lead, Sneha Kanukolanu, in Jul 2026 (afaqs).</t>
  </si>
  <si>
    <t xml:space="preserve">Sneha Kanukolanu joined Mia by Tanishq as marketing lead.</t>
  </si>
  <si>
    <t xml:space="preserve">https://www.afaqs.com/people-spotting/sneha-kanukolanu-joins-mia-by-tanishq-as-marketing-lead-12158434</t>
  </si>
  <si>
    <t xml:space="preserve">https://www.medianews4u.com/digital-refresh-networks-bags-the-digital-mandate-for-mia-by-tanishq-motherhood-ivf-and-ikounsellor/</t>
  </si>
  <si>
    <t xml:space="preserve">Myntra</t>
  </si>
  <si>
    <t xml:space="preserve">Myntra Designs (Flipkart)</t>
  </si>
  <si>
    <t xml:space="preserve">SW Network (Sociowash) (Experiential, since 2026); Braindad (Creative); Tilt Brand Solutions (Creative); McCann India (Creative); Mudra (ex DDB Mudra, BBDO Group) (Creative) unconfirmed</t>
  </si>
  <si>
    <t xml:space="preserve">Pitch or review live, Leadership change, Incumbent turmoil, Split roster</t>
  </si>
  <si>
    <t xml:space="preserve">Myntra splits work between Tilt, Braindad and SW Network; Myntra also hands influencer programmes to SW Network's Youthbeat, split roster; Post-merger agency transition; Myntra pushing premium fashion and beauty; Myntra called a creative pitch for EORS in Apr 2026; Tilt Brand Solutions made the Mar 2026 birthday campaign; marketing leader Sunder Balasubramanian exited Sep 2026; CMO exit Sep 2026 could trigger review; CMO exit 2026-09; former CEO Nandita Sinha moved to Swiggy Instamart 2026-07; new CMO likely to review roster</t>
  </si>
  <si>
    <t xml:space="preserve">Tilt created Myntra's multi star campaigns including the Alia Bhatt and Ranbir Kapoor BFF film (Sep 2026).</t>
  </si>
  <si>
    <t xml:space="preserve">https://www.medianews4u.com/myntra-launches-high-energy-m-now-campaign-featuring-sumukhi-suresh-vihaan-samat-sakshi-shivdasani-ayesha-kanga/</t>
  </si>
  <si>
    <t xml:space="preserve">https://campaignbriefasia.com/2025/06/25/ddb-mudra-india-and-myntra-unveil-m-now-campaign-spotlighting-instant-style-solutions/</t>
  </si>
  <si>
    <t xml:space="preserve">Nykaa Fashion</t>
  </si>
  <si>
    <t xml:space="preserve">FSN E-Commerce (Nykaa)</t>
  </si>
  <si>
    <t xml:space="preserve">CEO Nihir Parikh exited Dec 2024; new faces Ishaan Khatter and Shanaya Kapoor</t>
  </si>
  <si>
    <t xml:space="preserve">Nykaa Fashion's campaigns and new faces (Jun 2025) are announced without agency credits.</t>
  </si>
  <si>
    <t xml:space="preserve">https://www.medianews4u.com/nykaa-fashion-names-ishaan-khatter-shanaya-kapoor-as-new-faces-of-the-brand/</t>
  </si>
  <si>
    <t xml:space="preserve">Origen Realty</t>
  </si>
  <si>
    <t xml:space="preserve">New CMO Poulomi Ray joined 2026-04</t>
  </si>
  <si>
    <t xml:space="preserve">Origen Realty appointed Poulomi Ray as chief marketing officer.</t>
  </si>
  <si>
    <t xml:space="preserve">https://www.afaqs.com/people-spotting/origen-realty-appoints-poulomi-ray-as-chief-marketing-officer-11737049</t>
  </si>
  <si>
    <t xml:space="preserve">Pothys</t>
  </si>
  <si>
    <t xml:space="preserve">Social Beat (Cheil) (Content, since 2025)</t>
  </si>
  <si>
    <t xml:space="preserve">Social Beat secured the SEO and content mandate for Pothys.</t>
  </si>
  <si>
    <t xml:space="preserve">2025-05</t>
  </si>
  <si>
    <t xml:space="preserve">https://www.medianews4u.com/social-beat-secures-seo-and-content-mandate-for-pothys/</t>
  </si>
  <si>
    <t xml:space="preserve">Provident Housing (Puravankara)</t>
  </si>
  <si>
    <t xml:space="preserve">Puravankara Ltd</t>
  </si>
  <si>
    <t xml:space="preserve">Ulka (BBDO Group) (Creative, since 2024)</t>
  </si>
  <si>
    <t xml:space="preserve">Incumbent turmoil, Open mandates</t>
  </si>
  <si>
    <t xml:space="preserve">FCB now part of Omnicom post IPG merger; Puravankara flagship luxury brand appears unassigned.; Two-year incumbent now inside BBDO Group; sister premium brand Purva a separate opening</t>
  </si>
  <si>
    <t xml:space="preserve">FCB Ulka's Bengaluru office won the creative mandate for Provident Housing, Puravankara's mid-premium brand.</t>
  </si>
  <si>
    <t xml:space="preserve">2024-06</t>
  </si>
  <si>
    <t xml:space="preserve">https://www.socialsamosa.com/industry-updates/fcb-ulka-creative-mandate-provident-housing-4755687</t>
  </si>
  <si>
    <t xml:space="preserve">https://www.medianews4u.com/fcb-ulka-bags-creative-mandate-for-provident-housing/</t>
  </si>
  <si>
    <t xml:space="preserve">Radisson Hotel Group India</t>
  </si>
  <si>
    <t xml:space="preserve">Radisson Hotel Group</t>
  </si>
  <si>
    <t xml:space="preserve">Leadership change, Fresh budget or launch, Open mandates, No agency credited</t>
  </si>
  <si>
    <t xml:space="preserve">Targeting 160 hotels in India by 2026; new marketing lead; many openings need launch content.</t>
  </si>
  <si>
    <t xml:space="preserve">No agency credit found; Radisson appointed a new Director Area Marketing and Communications South Asia in Jan 2026.</t>
  </si>
  <si>
    <t xml:space="preserve">https://www.storyboard18.com/brand-marketing/radisson-targets-160-hotels-19500-rooms-in-india-by-2026-amid-expansion-push-97096.htm</t>
  </si>
  <si>
    <t xml:space="preserve">Raymond</t>
  </si>
  <si>
    <t xml:space="preserve">Omnicom (unit not named) (Creative); Mudra (ex DDB Mudra, BBDO Group) (Creative, since 2022) unconfirmed; Madison Loop (ex Madison BMB) (Integrated) unconfirmed</t>
  </si>
  <si>
    <t xml:space="preserve">Raymond Lifestyle demerged and listed 2024; CEO Satyaki Ghosh; AOR nearly four years old (pitch cycle due); DDB brand retired Jan 2026 and DDB Mudra split across McCann, BBDO Group (Mudra) and TBWA\Lintas; destination of this account not announced</t>
  </si>
  <si>
    <t xml:space="preserve">Medianews4u credits Omnicom with conceptualising Raymond's 'The Complete Man' fatherhood campaign (Feb 2026).</t>
  </si>
  <si>
    <t xml:space="preserve">2026-02</t>
  </si>
  <si>
    <t xml:space="preserve">Raymond Lifestyle</t>
  </si>
  <si>
    <t xml:space="preserve">New CEO 2026-01 and new omnichannel media head 2026-09</t>
  </si>
  <si>
    <t xml:space="preserve">Vineet Shah joined Raymond Lifestyle as head of omnichannel media; Satyaki Ghosh became CEO in 2026-01.</t>
  </si>
  <si>
    <t xml:space="preserve">https://www.afaqs.com/people-spotting/vineet-shah-joins-raymond-lifestyle-as-head-omnichannel-media-12573726</t>
  </si>
  <si>
    <t xml:space="preserve">Tanishq</t>
  </si>
  <si>
    <t xml:space="preserve">Titan Company (Tata Group)</t>
  </si>
  <si>
    <t xml:space="preserve">Grey 82.5 (Ogilvy) (Creative); TBWA\Lintas (Creative); HiveMinds (Madison) (Performance, since 2026); Dentsu Creative Webchutney (Digital, since 2021) unconfirmed; Talented (Creative) unconfirmed</t>
  </si>
  <si>
    <t xml:space="preserve">Dentsu, Independent, Omnicom, WPP</t>
  </si>
  <si>
    <t xml:space="preserve">Leadership change, Incumbent turmoil, Split roster, Long tenure, Fresh budget or launch</t>
  </si>
  <si>
    <t xml:space="preserve">Split mandate: Lowe Lintas makes Tanishq's main festive and diamond campaigns; Grey India merged into Grey 82.5 in Jun 2026 under 82.5 leadership; ex Grey India CCO Harsh Kapadia joined Code and Theory Jul 2026; Decades-long incumbent; heavy 2026 launch slate (gemstones, natural diamonds, gold exchange); CMO Pelki Tshering testing new formats like ChatGPT Ads; Decades-long Lintas incumbency (fatigue); MullenLowe retired; Lintas rebadged TBWA\Lintas Jan 2026; co-CEO Prateek Bharadwaj exit reported Feb 2026; Digital split from creative; experimentation budget; Digital incumbent 5 years with no recent visible credit; Five-plus year incumbent, no 2025-26 credits found; fatigue risk; Dentsu India offices searched by tax authorities Sep 2026; COO South Asia retired Aug 2026 and Chief Client Officer exited Nov 2025; Tanishq's lead brand work sits with Lowe Lintas (IndIAA 2025 Tanishq Rivaah), Talented is project based</t>
  </si>
  <si>
    <t xml:space="preserve">TBWA\Lintas conceptualised the Rivaah by Tanishq film 'One Wedding. Many Stories.' (Sep 2026), continuing Lintas-made Tanishq festive work such as Mriganka and Nav-Raani.</t>
  </si>
  <si>
    <t xml:space="preserve">https://www.afaqs.com/news/advertising/tanishq-challenges-empowerment-norms-in-womens-day-campaign-her-choice-8828061</t>
  </si>
  <si>
    <t xml:space="preserve">https://www.medianews4u.com/rivaah-by-tanishq-unveils-one-wedding-many-stories-campaign-celebrating-modern-indian-weddings/</t>
  </si>
  <si>
    <t xml:space="preserve">Tata Realty and Tata Housing</t>
  </si>
  <si>
    <t xml:space="preserve">Tata Sons</t>
  </si>
  <si>
    <t xml:space="preserve">Brand new CEO; CSMO Sarthak Seth; leadership change is the strongest trigger for agency review.</t>
  </si>
  <si>
    <t xml:space="preserve">No agency credit found; Tata Realty and Tata Housing appointed Gaurav Jain as MD and CEO in Sep 2026 after Sanjay Dutt's eight-year tenure.</t>
  </si>
  <si>
    <t xml:space="preserve">https://www.medianews4u.com/tata-realty-and-tata-housing-appoint-gaurav-jain-as-managing-director-and-ceo/</t>
  </si>
  <si>
    <t xml:space="preserve">TCNS (W, Aurelia)</t>
  </si>
  <si>
    <t xml:space="preserve">Aditya Birla Fashion and Retail</t>
  </si>
  <si>
    <t xml:space="preserve">Incumbent turmoil, No agency credited</t>
  </si>
  <si>
    <t xml:space="preserve">Merged into ABFRL; womenswear brands may be re-rostered</t>
  </si>
  <si>
    <t xml:space="preserve">No TCNS agency credit surfaced in medianews4u fashion-mandate sweeps.</t>
  </si>
  <si>
    <t xml:space="preserve">The House of Abhinandan Lodha</t>
  </si>
  <si>
    <t xml:space="preserve">HoABL</t>
  </si>
  <si>
    <t xml:space="preserve">Heavy celebrity spend (Ranbir Kapoor, Kartik Aaryan, Esha Deol for Alibaug villas); new CMO since 2025; luxury villa projects need luxury content.</t>
  </si>
  <si>
    <t xml:space="preserve">Ranbir Kapoor film for The Sarayu in Ayodhya (May 2026) credited no agency; CMO Saurabh Jain joined Apr 2025 from Zydus Wellness.</t>
  </si>
  <si>
    <t xml:space="preserve">https://www.medianews4u.com/the-house-of-abhinandan-lodha-launches-new-campaign-for-the-sarayu-in-ayodhyaji-featuring-ranbir-kapoor/</t>
  </si>
  <si>
    <t xml:space="preserve">Thomas Cook India and SOTC</t>
  </si>
  <si>
    <t xml:space="preserve">Thomas Cook (India) Ltd (Fairfax)</t>
  </si>
  <si>
    <t xml:space="preserve">New MD and CEO Mahesh Iyer (Feb 2025); leaning on AI avatars and regional ambassadors, so content-led pitch could land.</t>
  </si>
  <si>
    <t xml:space="preserve">Kartik Aaryan forex card film (Apr 2025) and AI ambassador TACY (Dec 2025) carried no agency credit.</t>
  </si>
  <si>
    <t xml:space="preserve">https://www.afaqs.com/news/advertising/thomas-cook-india-taps-kartik-aaryan-to-promote-borderless-travel-card-8920861</t>
  </si>
  <si>
    <t xml:space="preserve">VIRGIO</t>
  </si>
  <si>
    <t xml:space="preserve">New CMO 2026-07</t>
  </si>
  <si>
    <t xml:space="preserve">VIRGIO appointed Hansa Nigam as chief marketing officer.</t>
  </si>
  <si>
    <t xml:space="preserve">https://www.afaqs.com/people-spotting/virgio-appoints-hansa-nigam-as-chief-marketing-officer-12138383</t>
  </si>
  <si>
    <t xml:space="preserve">World Gold Council India</t>
  </si>
  <si>
    <t xml:space="preserve">World Gold Council</t>
  </si>
  <si>
    <t xml:space="preserve">BBDO India (Creative)</t>
  </si>
  <si>
    <t xml:space="preserve">Jewellery category fit for luxury specialists; BBDO India CEO Suraja Kishore exited Apr 2025; Jitender Dabas named BBDO Group CEO Feb 2026 as Mudra and Ulka folded in</t>
  </si>
  <si>
    <t xml:space="preserve">BBDO India created 'The Moment Is Gold' for WGC India in Sep 2025, repositioning gold jewellery for Gen Z across TV, OTT and social.</t>
  </si>
  <si>
    <t xml:space="preserve">2025-09</t>
  </si>
  <si>
    <t xml:space="preserve">https://campaignbriefasia.com/2025/09/24/bbdo-india-and-world-gold-council-celebrate-lifes-everyday-moments-with-gold/</t>
  </si>
  <si>
    <t xml:space="preserve">360 ONE Wealth</t>
  </si>
  <si>
    <t xml:space="preserve">BFSI &amp; wealth</t>
  </si>
  <si>
    <t xml:space="preserve">360 ONE WAM</t>
  </si>
  <si>
    <t xml:space="preserve">UHNI wealth manager with low marketing visibility; content, events and thought-leadership are open.</t>
  </si>
  <si>
    <t xml:space="preserve">No agency credit found; only leadership moves surfaced (asset business CEO designate 2024, chief growth and people officer).</t>
  </si>
  <si>
    <t xml:space="preserve">2024-07</t>
  </si>
  <si>
    <t xml:space="preserve">https://www.storyboard18.com/brand-makers/360-one-appoints-raghav-iyengar-as-ceo-designate-of-asset-business-36564.htm</t>
  </si>
  <si>
    <t xml:space="preserve">Spirit of Kashmyr (Radico Khaitan)</t>
  </si>
  <si>
    <t xml:space="preserve">Radico Khaitan</t>
  </si>
  <si>
    <t xml:space="preserve">New luxury launch; creative agency not visible</t>
  </si>
  <si>
    <t xml:space="preserve">Radico's integrated launch for luxury vodka Spirit of Kashmyr (Jul 2025) credits no agency.</t>
  </si>
  <si>
    <t xml:space="preserve">2025-07</t>
  </si>
  <si>
    <t xml:space="preserve">https://www.medianews4u.com/radico-khaitan-doing-an-integrated-campaign-to-celebrate-its-debut-in-the-luxury-vodka-segment-with-the-spirit-of-kashmyr/</t>
  </si>
  <si>
    <t xml:space="preserve">Ambuja Neotia</t>
  </si>
  <si>
    <t xml:space="preserve">Ambuja Neotia Group</t>
  </si>
  <si>
    <t xml:space="preserve">No agency credited</t>
  </si>
  <si>
    <t xml:space="preserve">Kolkata luxury real estate and hospitality group; regional agencies likely.</t>
  </si>
  <si>
    <t xml:space="preserve">Amrapali Jewels</t>
  </si>
  <si>
    <t xml:space="preserve">Amrapali</t>
  </si>
  <si>
    <t xml:space="preserve">Luxury heritage label, likely in-house</t>
  </si>
  <si>
    <t xml:space="preserve">No agency credit surfaced in jewellery-mandate sweeps.</t>
  </si>
  <si>
    <t xml:space="preserve">Anita Dongre (House of Anita Dongre)</t>
  </si>
  <si>
    <t xml:space="preserve">House of Anita Dongre</t>
  </si>
  <si>
    <t xml:space="preserve">VML India (Digital, since 2018) unconfirmed</t>
  </si>
  <si>
    <t xml:space="preserve">Long tenure</t>
  </si>
  <si>
    <t xml:space="preserve">Only visible agency work is 2018; multiple labels (Grassroot, AND, Global Desi)</t>
  </si>
  <si>
    <t xml:space="preserve">VMLY&amp;R India was hired for UX and creative revamp of Anita Dongre's website (Oct 2018); no later agency found.</t>
  </si>
  <si>
    <t xml:space="preserve">2018-10</t>
  </si>
  <si>
    <t xml:space="preserve">https://www.medianews4u.com/vmlyr-india-to-work-on-user-experience-and-creative-revamp-of-anita-dongres-website/</t>
  </si>
  <si>
    <t xml:space="preserve">Antara Senior Living</t>
  </si>
  <si>
    <t xml:space="preserve">Max Group</t>
  </si>
  <si>
    <t xml:space="preserve">Bang in the Middle (Creative, since 2024)</t>
  </si>
  <si>
    <t xml:space="preserve">Fresh budget or launch</t>
  </si>
  <si>
    <t xml:space="preserve">Premium senior living is expanding to new cities; two years in.</t>
  </si>
  <si>
    <t xml:space="preserve">Antara Senior Care appointed Bang in the Middle as communication agency for launches of its senior residences across India.</t>
  </si>
  <si>
    <t xml:space="preserve">https://www.storyboard18.com/agency-news/antara-senior-living-appoints-bang-in-the-middle-as-its-creative-agency-33413.htm</t>
  </si>
  <si>
    <t xml:space="preserve">Balenciaga</t>
  </si>
  <si>
    <t xml:space="preserve">Kering</t>
  </si>
  <si>
    <t xml:space="preserve">Grapes Worldwide (Digital) unconfirmed</t>
  </si>
  <si>
    <t xml:space="preserve">Kering launched a global media review in 2026 amid Gucci slowdown (storyboard18); undated logo, verify India scope.</t>
  </si>
  <si>
    <t xml:space="preserve">Balenciaga appears among Grapes Worldwide client logos.</t>
  </si>
  <si>
    <t xml:space="preserve">https://www.grapesworldwide.com/</t>
  </si>
  <si>
    <t xml:space="preserve">Conscient Infrastructure</t>
  </si>
  <si>
    <t xml:space="preserve">Conscient</t>
  </si>
  <si>
    <t xml:space="preserve">Gurugram luxury developer with low public agency footprint.</t>
  </si>
  <si>
    <t xml:space="preserve">Good Earth</t>
  </si>
  <si>
    <t xml:space="preserve">Good Earth (Anita Lal)</t>
  </si>
  <si>
    <t xml:space="preserve">Design-led luxury house, in-house content; strong boutique fit</t>
  </si>
  <si>
    <t xml:space="preserve">Searched medianews4u for Good Earth; no agency credit surfaced.</t>
  </si>
  <si>
    <t xml:space="preserve">Gucci</t>
  </si>
  <si>
    <t xml:space="preserve">Gucci appears among Grapes Worldwide client logos.</t>
  </si>
  <si>
    <t xml:space="preserve">Hermes India</t>
  </si>
  <si>
    <t xml:space="preserve">Hermes</t>
  </si>
  <si>
    <t xml:space="preserve">Crosshairs Communication (PR, since 2009)</t>
  </si>
  <si>
    <t xml:space="preserve">Incumbent about 17 years; boutique holding a top-tier maison.</t>
  </si>
  <si>
    <t xml:space="preserve">Crosshairs case study says it has managed Hermes PR in India since 2009, incl. launches and international media visits.</t>
  </si>
  <si>
    <t xml:space="preserve">https://crosshairscommunication.com/case-studies/</t>
  </si>
  <si>
    <t xml:space="preserve">Lodha (Macrotech Developers)</t>
  </si>
  <si>
    <t xml:space="preserve">Macrotech Developers Ltd</t>
  </si>
  <si>
    <t xml:space="preserve">Refreshed brand team; ultra luxury Mumbai projects and data centre diversification (Jan 2026) need premium storytelling.</t>
  </si>
  <si>
    <t xml:space="preserve">No agency credit found; Lodha elevated Sneha Shenoy to AVP Brand and Marketing (May 2026) after she led corporate brand and media.</t>
  </si>
  <si>
    <t xml:space="preserve">https://www.socialsamosa.com/industry-updates/lodha-sneha-shenoy-avp-brand-marketing-11871387</t>
  </si>
  <si>
    <t xml:space="preserve">Nexus Select Citywalk</t>
  </si>
  <si>
    <t xml:space="preserve">Nexus Select Trust (Blackstone)</t>
  </si>
  <si>
    <t xml:space="preserve">SW Network (Sociowash) (Integrated)</t>
  </si>
  <si>
    <t xml:space="preserve">Long tenure, Renewal due</t>
  </si>
  <si>
    <t xml:space="preserve">Long tenure luxury mall account, retained in 2025 so next review likely 2027; Annual renewal; five-year incumbent, fatigue risk.; Long-running incumbent; retained in 2025.</t>
  </si>
  <si>
    <t xml:space="preserve">SW Network retained the creative and digital mandate for Nexus Select Citywalk, Delhi.</t>
  </si>
  <si>
    <t xml:space="preserve">https://www.afaqs.com/news/newbizwins/sw-network-retains-creative-and-digital-mandate-for-nexus-select-citywalk-delhi-9316678</t>
  </si>
  <si>
    <t xml:space="preserve">https://www.medianews4u.com/sw-network-retains-creative-and-digital-mandate-for-nexus-select-citywalk-delhi/</t>
  </si>
  <si>
    <t xml:space="preserve">Platinum Guild International</t>
  </si>
  <si>
    <t xml:space="preserve">Famous Innovations (Creative)</t>
  </si>
  <si>
    <t xml:space="preserve">Long running relationship, possible fatigue</t>
  </si>
  <si>
    <t xml:space="preserve">Platinum Guild International is listed among Famous Innovations' existing clients.</t>
  </si>
  <si>
    <t xml:space="preserve">Puravankara (luxury)</t>
  </si>
  <si>
    <t xml:space="preserve">Separate luxury brand line needs a luxury specialist.</t>
  </si>
  <si>
    <t xml:space="preserve">No agency credit found for Puravankara's luxury brand in 2024 to 2026 trade press.</t>
  </si>
  <si>
    <t xml:space="preserve">Sabyasachi</t>
  </si>
  <si>
    <t xml:space="preserve">Sabyasachi Couture (ABFRL 51% stake)</t>
  </si>
  <si>
    <t xml:space="preserve">Luxury house, in-house content; hard but prestigious target</t>
  </si>
  <si>
    <t xml:space="preserve">No external agency credit found; Sabyasachi runs communication in-house.</t>
  </si>
  <si>
    <t xml:space="preserve">Six Senses Fort Barwara</t>
  </si>
  <si>
    <t xml:space="preserve">IHG (Six Senses)</t>
  </si>
  <si>
    <t xml:space="preserve">Destination wedding and wellness hotspot; content and PR likely property-led and pitchable.</t>
  </si>
  <si>
    <t xml:space="preserve">No India agency mandate found for Six Senses Fort Barwara in Indian trade press.</t>
  </si>
  <si>
    <t xml:space="preserve">SUJÁN Luxury</t>
  </si>
  <si>
    <t xml:space="preserve">SUJÁN</t>
  </si>
  <si>
    <t xml:space="preserve">Founder-led ultra luxury brand with global audience; content and film partner is a natural fit.</t>
  </si>
  <si>
    <t xml:space="preserve">No agency relationship found for SUJÁN camps and palaces in Indian trade press.</t>
  </si>
  <si>
    <t xml:space="preserve">Sunita Shekhawat</t>
  </si>
  <si>
    <t xml:space="preserve">Luxury designer jeweller, likely in-house</t>
  </si>
  <si>
    <t xml:space="preserve">Taj Hotels (IHCL)</t>
  </si>
  <si>
    <t xml:space="preserve">Indian Hotels Company Ltd (Tata)</t>
  </si>
  <si>
    <t xml:space="preserve">Rediffusion (Creative, since 2022) unconfirmed; BBH India (Creative) unconfirmed; Crosshairs Communication (PR) unconfirmed</t>
  </si>
  <si>
    <t xml:space="preserve">Independent, Publicis</t>
  </si>
  <si>
    <t xml:space="preserve">Split roster, Fresh budget or launch</t>
  </si>
  <si>
    <t xml:space="preserve">No public agency news since 2022; IHCL split into two verticals under Accelerate 2030 (700 hotels target) and registered a Taj sound mark in Jan 2026, so brand, content and launch briefs keep coming.; Appears project based; IHCL used Rediffusion for 'She Remains the Taj' (2022); prime luxury target; Undated client list that also carries legacy names; verify current status.; Iconic palace with global luxury audience; property content, wedding and experiential storytelling can be pitched as a specialist add-on to IHCL.</t>
  </si>
  <si>
    <t xml:space="preserve">Taj Lands End listed under hospitality on Crosshairs client page.</t>
  </si>
  <si>
    <t xml:space="preserve">https://www.exchange4media.com/advertising-news/rediffusion-collaborates-with-ihcl-for-launch-of-she-remains-the-taj-120348.html</t>
  </si>
  <si>
    <t xml:space="preserve">https://www.medianews4u.com/publicis-groupe-south-asia-appoints-paritosh-srivastava-and-snehasis-bose-to-lead-bbh-india/</t>
  </si>
  <si>
    <t xml:space="preserve">Tata CLiQ Luxury</t>
  </si>
  <si>
    <t xml:space="preserve">Tata Digital</t>
  </si>
  <si>
    <t xml:space="preserve">Frequent sale campaigns; luxury platform with no visible agency</t>
  </si>
  <si>
    <t xml:space="preserve">Tata CLiQ Luxury's Festive Investigation Bureau (Sep 2026) and Twinkle Khanna sale films carry no agency credit.</t>
  </si>
  <si>
    <t xml:space="preserve">https://www.medianews4u.com/tata-cliq-luxury-turns-festive-shopping-into-an-investigation-with-festive-investigation-bureau/</t>
  </si>
  <si>
    <t xml:space="preserve">The Diamond Collective (Natural Diamond Council)</t>
  </si>
  <si>
    <t xml:space="preserve">Natural Diamond Council</t>
  </si>
  <si>
    <t xml:space="preserve">Rebrand and new strategy 2026-09 with new global campaigns; agencies not named</t>
  </si>
  <si>
    <t xml:space="preserve">Natural Diamond Council relaunched as The Diamond Collective under new CEO Amber Pepper, with a Diamond Desire Index launching in India.</t>
  </si>
  <si>
    <t xml:space="preserve">https://www.manifest-media.in/marketing/240926/natural-diamond-council-relaunches-as-the-diamond-collective-with-new.html</t>
  </si>
  <si>
    <t xml:space="preserve">The Oberoi Group (EIH)</t>
  </si>
  <si>
    <t xml:space="preserve">EIH Ltd (Oberoi Group)</t>
  </si>
  <si>
    <t xml:space="preserve">Low public agency footprint makes it hard to read but high prestige; approach via content and film craft.</t>
  </si>
  <si>
    <t xml:space="preserve">No current creative or social agency credit found; only an older Mirum India marketing cloud mandate surfaced for Oberoi Hotels.</t>
  </si>
  <si>
    <t xml:space="preserve">https://www.agencyreporter.com/oberoi-hotels-appoints-mirum-india-for-marketing-cloud-services/</t>
  </si>
  <si>
    <t xml:space="preserve">Tree of Life Resorts</t>
  </si>
  <si>
    <t xml:space="preserve">Tree of Life Resorts &amp; Spas</t>
  </si>
  <si>
    <t xml:space="preserve">Small boutique chain, likely freelance or in-house social; easy entry via retainer.</t>
  </si>
  <si>
    <t xml:space="preserve">No agency relationship found for Tree of Life boutique resorts.</t>
  </si>
  <si>
    <t xml:space="preserve">Adidas India</t>
  </si>
  <si>
    <t xml:space="preserve">Wellness, fitness &amp; sport</t>
  </si>
  <si>
    <t xml:space="preserve">adidas AG</t>
  </si>
  <si>
    <t xml:space="preserve">New Brand Director Atish Negi (Dec 2025); Suhana Khan face; Ranveer Singh Superstar collab (Apr 2026)</t>
  </si>
  <si>
    <t xml:space="preserve">Adidas is listed among Famous Innovations' existing clients.</t>
  </si>
  <si>
    <t xml:space="preserve">https://www.medianews4u.com/atish-negi-appointed-brand-director-at-adidas-india/</t>
  </si>
  <si>
    <t xml:space="preserve">Bacardi India</t>
  </si>
  <si>
    <t xml:space="preserve">Grey 82.5 (Ogilvy) (Creative, since 2024); Grey 82.5 (Ogilvy) (Integrated, since 2024); Homegrown (Content)</t>
  </si>
  <si>
    <t xml:space="preserve">Leadership change, Incumbent turmoil, Split roster, Fresh budget or launch</t>
  </si>
  <si>
    <t xml:space="preserve">New Director Marketing Goodies Narayanan (Dec 2025); Mahesh Kanchan now MD India and SEA (Jul 2026); Breezer Bold launch Sep 2026; Nearly two years in; WPP now brands the unit Grey 82.5 (restructuring).; New Bacardi India marketing director Goodies Narayanan (Dec 2025) and MD Mahesh Kanchan widened to India and SEA (Jul 2026); 82.5 Communications folded into Grey 82.5 in Jun 2026; team and brand transition; Culture and experiential work split from network creative; New MD 2026-07</t>
  </si>
  <si>
    <t xml:space="preserve">Bacardi appointed Mahesh Kanchan as MD for India and Southeast Asia.</t>
  </si>
  <si>
    <t xml:space="preserve">https://www.medianews4u.com/82-5-communications-wins-the-mandate-for-bacardi-indias-brands/</t>
  </si>
  <si>
    <t xml:space="preserve">https://www.afaqs.com/news/advertising/825-communications-secures-creative-duties-for-bacardi-india-brands-8443722</t>
  </si>
  <si>
    <t xml:space="preserve">Bella Vita</t>
  </si>
  <si>
    <t xml:space="preserve">Bella Vita Organic</t>
  </si>
  <si>
    <t xml:space="preserve">Fast-growing fragrance D2C; frequent marketing leadership churn</t>
  </si>
  <si>
    <t xml:space="preserve">Bellavita's Nov 2024 'Deo bachche lagate hai' campaign and Bigg Boss sponsorship listings name no agency.</t>
  </si>
  <si>
    <t xml:space="preserve">2024-11</t>
  </si>
  <si>
    <t xml:space="preserve">https://www.medianews4u.com/bellavitas-campaign-deo-bachche-lagate-hai-aims-to-reposition-perfumes-as-a-luxurious-upgrade-to-deodorants/</t>
  </si>
  <si>
    <t xml:space="preserve">Blenders Pride</t>
  </si>
  <si>
    <t xml:space="preserve">Pernod Ricard India</t>
  </si>
  <si>
    <t xml:space="preserve">New CMO; Fashion Tour IP with FDCI suits luxury content partner</t>
  </si>
  <si>
    <t xml:space="preserve">Blenders Pride Fashion Tour campaign (Dec 2025) credits no agency.</t>
  </si>
  <si>
    <t xml:space="preserve">https://www.medianews4u.com/blenders-pride-fashion-tour-powered-by-fdci-sets-fashions-next-move-with-new-campaign/</t>
  </si>
  <si>
    <t xml:space="preserve">Corona</t>
  </si>
  <si>
    <t xml:space="preserve">AB InBev India</t>
  </si>
  <si>
    <t xml:space="preserve">Publicis Digital Experience (ex Digitas) (Digital) unconfirmed</t>
  </si>
  <si>
    <t xml:space="preserve">Publicis</t>
  </si>
  <si>
    <t xml:space="preserve">Digitas CEO Unny Radhakrishnan exited Sep 2025 and Digitas was merged into PDX Jan 2026</t>
  </si>
  <si>
    <t xml:space="preserve">Digitas India created Corona's sunset view rating system for luxury hotels (Apr 2024).</t>
  </si>
  <si>
    <t xml:space="preserve">2024-04</t>
  </si>
  <si>
    <t xml:space="preserve">https://www.medianews4u.com/coronas-launches-a-campaign-around-sunset-views/</t>
  </si>
  <si>
    <t xml:space="preserve">Dewar's</t>
  </si>
  <si>
    <t xml:space="preserve">BBDO India (Creative, since 2020) unconfirmed</t>
  </si>
  <si>
    <t xml:space="preserve">Six-year-old mandate with no recent credits; BBDO India CEO Suraja Kishore exited Apr 2025; Jitender Dabas named BBDO Group CEO Feb 2026 as Mudra and Ulka folded in</t>
  </si>
  <si>
    <t xml:space="preserve">Bacardi appointed BBDO India to handle strategy and creative for Dewar's in Jul 2020.</t>
  </si>
  <si>
    <t xml:space="preserve">2020-07</t>
  </si>
  <si>
    <t xml:space="preserve">https://news.google.com/rss/search?q=%22BBDO+India%22+mandate&amp;hl=en-IN&amp;gl=IN&amp;ceid=IN:en</t>
  </si>
  <si>
    <t xml:space="preserve">Eicher Motors</t>
  </si>
  <si>
    <t xml:space="preserve">TBWA\Lintas (Creative) unconfirmed</t>
  </si>
  <si>
    <t xml:space="preserve">Account lead exited Apr 2025; TBWA India merged into TBWA\Lintas Jan 2026; co-lead Prateek Bharadwaj reported exiting Feb 2026</t>
  </si>
  <si>
    <t xml:space="preserve">afaqs says exiting TBWA\India executive director Ranjeev Vij handled Eicher Motors among his key clients.</t>
  </si>
  <si>
    <t xml:space="preserve">https://www.afaqs.com/people-spotting/ranjeev-vij-moves-on-from-tbwaindia-9009481</t>
  </si>
  <si>
    <t xml:space="preserve">Gillette</t>
  </si>
  <si>
    <t xml:space="preserve">Procter &amp; Gamble India</t>
  </si>
  <si>
    <t xml:space="preserve">BBDO India CEO Suraja Kishore exited Apr 2025; Jitender Dabas named BBDO Group CEO Feb 2026 as Mudra and Ulka folded in</t>
  </si>
  <si>
    <t xml:space="preserve">Social Samosa lists Gillette among BBDO India's key brands (Dec 2025).</t>
  </si>
  <si>
    <t xml:space="preserve">https://www.socialsamosa.com/samosa-snippets/bbdo-tbwa-mccann-bring-omnicom-reshaped-empire-10841609</t>
  </si>
  <si>
    <t xml:space="preserve">Honasa emerging brands (The Derma Co, Aqualogica, Dr. Sheth's, BBlunt)</t>
  </si>
  <si>
    <t xml:space="preserve">Honasa Consumer</t>
  </si>
  <si>
    <t xml:space="preserve">New leadership for emerging brands; category expansion</t>
  </si>
  <si>
    <t xml:space="preserve">Honasa named a new Business Head for emerging brands (May 2026); no agency named.</t>
  </si>
  <si>
    <t xml:space="preserve">https://www.medianews4u.com/honasa-consumer-names-saahil-nayar-as-business-head-senior-vice-president-to-lead-emerging-brands/</t>
  </si>
  <si>
    <t xml:space="preserve">Jawa Motorcycles</t>
  </si>
  <si>
    <t xml:space="preserve">Classic Legends</t>
  </si>
  <si>
    <t xml:space="preserve">TBWA\Lintas (Creative, since 2024)</t>
  </si>
  <si>
    <t xml:space="preserve">Heritage premium bikes (Yezdi, BSA siblings); MullenLowe retired; Lintas rebadged TBWA\Lintas Jan 2026; co-CEO Prateek Bharadwaj exit reported Feb 2026</t>
  </si>
  <si>
    <t xml:space="preserve">Classic Legends appointed Lowe Lintas as creative AOR for Jawa.</t>
  </si>
  <si>
    <t xml:space="preserve">2024-02</t>
  </si>
  <si>
    <t xml:space="preserve">https://www.medianews4u.com/lowe-lintas-wins-jawa-motorcycles-creative-mandate/</t>
  </si>
  <si>
    <t xml:space="preserve">JSW MG Motor India</t>
  </si>
  <si>
    <t xml:space="preserve">Grey 82.5 (Ogilvy) (Creative, since 2024) unconfirmed; Cheil X (Creative) unconfirmed; Punctuate Productions (Content) unconfirmed; Value 360 Communications (PR) unconfirmed</t>
  </si>
  <si>
    <t xml:space="preserve">Cheil, Independent, WPP</t>
  </si>
  <si>
    <t xml:space="preserve">Split mandate with Cheil X; new MD Anurag Mehrotra from Feb 2025; 82.5 Communications folded into Grey 82.5 in Jun 2026; team and brand transition; New chairman 2026-08; JSW also in talks for Volkswagen India; JSW to become largest shareholder (May 2026) and Parth Jindal named chairman (Aug 2026): ownership shift likely triggers agency realignment; MG Select luxury line needs premium creative.; Cheil X CEO Jitender Dabas left for BBDO India in 2026; no 2025-26 MG credit found; Fragmented roster across festive and EV work.; Undated client mention; mandate scope not stated.</t>
  </si>
  <si>
    <t xml:space="preserve">JSW MG Motor India appointed Parth Jindal as chairman.</t>
  </si>
  <si>
    <t xml:space="preserve">https://www.medianews4u.com/82-5-communications-india-secures-the-creative-mandate-for-jsw-mg-motor-india/</t>
  </si>
  <si>
    <t xml:space="preserve">https://www.afaqs.com/people-spotting/jsw-mg-motor-india-appoints-parth-jindal-as-chairman-12458026</t>
  </si>
  <si>
    <t xml:space="preserve">Juicy Chemistry</t>
  </si>
  <si>
    <t xml:space="preserve">Social Beat (Cheil) (Digital, since 2024) unconfirmed</t>
  </si>
  <si>
    <t xml:space="preserve">Social Beat secured the digital mandate for organic skincare brand Juicy Chemistry.</t>
  </si>
  <si>
    <t xml:space="preserve">https://www.afaqs.com/news/digital/social-beat-secures-digital-mandate-for-juicy-chemistry</t>
  </si>
  <si>
    <t xml:space="preserve">LoveChild by Masaba</t>
  </si>
  <si>
    <t xml:space="preserve">New marketing lead 2026-05</t>
  </si>
  <si>
    <t xml:space="preserve">LoveChild by Masaba appointed Joel Thottan as marketing lead.</t>
  </si>
  <si>
    <t xml:space="preserve">https://www.afaqs.com/people-spotting/lovechild-by-masaba-appoints-joel-thottan-as-marketing-lead-11834518</t>
  </si>
  <si>
    <t xml:space="preserve">Mahindra Thar ROXX</t>
  </si>
  <si>
    <t xml:space="preserve">Mahindra &amp; Mahindra</t>
  </si>
  <si>
    <t xml:space="preserve">The Womb (Creative); FCB Neo (absorbed into McCann) (Experiential) unconfirmed</t>
  </si>
  <si>
    <t xml:space="preserve">Mahindra Auto splits work across several agencies; Womb ownership change pending; Mahindra runs different agencies per nameplate; Mahindra Group hired a new Group Chief Strategy Officer (Aug 2026).; Mahindra EV work now credited to McCann; FCB units retired</t>
  </si>
  <si>
    <t xml:space="preserve">afaqs covered The Womb's Thar Roxx campaign courting women in Aug 2026.</t>
  </si>
  <si>
    <t xml:space="preserve">https://www.afaqs.com/news/advertising/why-mahindras-thar-roxx-is-courting-womenwithout-letting-go-of-its-core-identity-12229682</t>
  </si>
  <si>
    <t xml:space="preserve">https://www.medianews4u.com/mumbais-potholes-become-mahindras-playground-in-bold-thar-test-drive-campaign/</t>
  </si>
  <si>
    <t xml:space="preserve">Minimalist</t>
  </si>
  <si>
    <t xml:space="preserve">Hindustan Unilever</t>
  </si>
  <si>
    <t xml:space="preserve">Acquired by HUL in 2025, roster may be reset [unverified, check before outreach]</t>
  </si>
  <si>
    <t xml:space="preserve">Medianews4u search for Minimalist found no agency credit.</t>
  </si>
  <si>
    <t xml:space="preserve">OZiva</t>
  </si>
  <si>
    <t xml:space="preserve">New CEO 2026-06 and new CGO 2026-08 under HUL ownership</t>
  </si>
  <si>
    <t xml:space="preserve">OZiva appointed Abhishek Agrawal as chief growth officer after HUL named Koteshwar LN CEO in 2026-06.</t>
  </si>
  <si>
    <t xml:space="preserve">https://www.afaqs.com/people-spotting/oziva-appoints-abhishek-agrawal-as-chief-growth-officer-12443459</t>
  </si>
  <si>
    <t xml:space="preserve">Pernod Ricard</t>
  </si>
  <si>
    <t xml:space="preserve">Wavemaker (WPP Media) (Media)</t>
  </si>
  <si>
    <t xml:space="preserve">Pitch or review live, Leadership change</t>
  </si>
  <si>
    <t xml:space="preserve">New CMO Debasree Dasgupta 2025-09; creative pitch reported by e4m; Imperial Blue sold to Tilaknagar; New Media Manager hired Jan 2026</t>
  </si>
  <si>
    <t xml:space="preserve">Wavemaker India retained Pernod Ricard India's media mandate (Jun 2023).</t>
  </si>
  <si>
    <t xml:space="preserve">https://www.medianews4u.com/wavemaker-india-retains-media-mandate-for-pernod-ricard-india/</t>
  </si>
  <si>
    <t xml:space="preserve">https://www.medianews4u.com/pernod-ricard-india-appoints-debasree-dasgupta-as-cmo-and-global-business-development-head/</t>
  </si>
  <si>
    <t xml:space="preserve">Reliance Foundation</t>
  </si>
  <si>
    <t xml:space="preserve">Reliance Industries</t>
  </si>
  <si>
    <t xml:space="preserve">TBWA\Lintas (Creative)</t>
  </si>
  <si>
    <t xml:space="preserve">TBWA India merged into TBWA\Lintas Jan 2026; co-lead Prateek Bharadwaj reported exiting Feb 2026</t>
  </si>
  <si>
    <t xml:space="preserve">TBWA\Lintas India's Sep 2026 Reliance Foundation film puts opportunity before victory for young athletes.</t>
  </si>
  <si>
    <t xml:space="preserve">https://campaignbriefasia.com/2026/09/25/reliance-foundation-puts-opportunity-before-victory-in-new-tbwalintas-india-campaign/</t>
  </si>
  <si>
    <t xml:space="preserve">Royal Challenge</t>
  </si>
  <si>
    <t xml:space="preserve">Diageo India (United Spirits)</t>
  </si>
  <si>
    <t xml:space="preserve">Mudra (ex DDB Mudra, BBDO Group) (Creative) unconfirmed</t>
  </si>
  <si>
    <t xml:space="preserve">FSSAI challenged Royal Challenge's American oak maturation claim Aug 2026 (reputation and PR need); DDB brand retired Jan 2026 and DDB Mudra split across McCann, BBDO Group (Mudra) and TBWA\Lintas; destination of this account not announced; Diageo put RCB up for sale (Nov 2025), brand-association rethink</t>
  </si>
  <si>
    <t xml:space="preserve">Royal Challenge is listed among DDB Mudra Group clients on The Work 2024 hot list.</t>
  </si>
  <si>
    <t xml:space="preserve">https://campaignbriefasia.com/2024/08/05/the-work-2024-hot-list-3-ddb-mudra-group-india/</t>
  </si>
  <si>
    <t xml:space="preserve">https://www.medianews4u.com/royal-challenge-packaged-drinking-water-launches-main-nahi-toh-kaun-be-campaign-reinforces-choose-bold-philosophy/</t>
  </si>
  <si>
    <t xml:space="preserve">Royal Stag</t>
  </si>
  <si>
    <t xml:space="preserve">FCB Neo (absorbed into McCann) (Creative); FCB Neo (absorbed into McCann) (Content) unconfirmed</t>
  </si>
  <si>
    <t xml:space="preserve">New CMO Debasree Dasgupta (Sep 2025); IPG to Omnicom merger integration; FCB brand retired in 2026; FCB India clients and talent absorbed into McCann India, handover risk</t>
  </si>
  <si>
    <t xml:space="preserve">FCB Neo conceptualised Royal Stag's #RSCode cricket campaign (Mar 2026) and Barrel Select Shorts film (Jun 2025).</t>
  </si>
  <si>
    <t xml:space="preserve">https://www.medianews4u.com/royal-stag-launches-rscode-campaign-blending-cricket-data-and-ai-to-help-fans-decode-success/</t>
  </si>
  <si>
    <t xml:space="preserve">https://www.medianews4u.com/royal-stag-barrel-select-shorts-launches-for-the-select-ones-campaign-featuring-rajkummar-rao-and-patralekha/</t>
  </si>
  <si>
    <t xml:space="preserve">Skoda Auto India</t>
  </si>
  <si>
    <t xml:space="preserve">Skoda Auto Volkswagen India</t>
  </si>
  <si>
    <t xml:space="preserve">BBH India (Integrated, since 2012); BBH India (Creative, since 2026); VML India (Creative, since 2023) unconfirmed</t>
  </si>
  <si>
    <t xml:space="preserve">Publicis, WPP</t>
  </si>
  <si>
    <t xml:space="preserve">Incumbent turmoil, Long tenure, Fresh budget or launch</t>
  </si>
  <si>
    <t xml:space="preserve">14-year incumbent (fatigue risk); Kylaq 2025 launch was run by Publicis India, now folded into BBH; Sales and marketing head Jan Bures leaves for VW AG in Sep 2026; MD Piyush Arora adds sales and marketing role.; No recent VML credit visible; VML leadership churn; Ownership change in talks 2026-07; roster reset likely if deal closes</t>
  </si>
  <si>
    <t xml:space="preserve">BBH India launched 'For the Restless' for the Kylaq Sportline (Sep 2026); afaqs notes BBH has handled Skoda since 2012 via the bespoke 'Team Drive' unit.</t>
  </si>
  <si>
    <t xml:space="preserve">https://www.medianews4u.com/skoda-auto-india-and-bbh-india-launch-for-the-restless-campaign-for-new-kylaq-sportline/</t>
  </si>
  <si>
    <t xml:space="preserve">https://www.medianews4u.com/wunderman-thompson-india-bags-strategy-and-creative-mandate-for-skoda/</t>
  </si>
  <si>
    <t xml:space="preserve">Tata Motors Passenger Vehicles (incl. Tata.ev)</t>
  </si>
  <si>
    <t xml:space="preserve">Tata Motors</t>
  </si>
  <si>
    <t xml:space="preserve">Omnicom Media India (Media, since 2024)</t>
  </si>
  <si>
    <t xml:space="preserve">Incumbent turmoil, Fresh budget or launch</t>
  </si>
  <si>
    <t xml:space="preserve">Fragmented roster across ICE, EV and outdoor; new launches (Sierra, Harrier EV) create content briefs.; New SUV marketing head 2026-06; Rebrand plus post demerger identity plus EV share battle: high-value moment for new creative and content partners.</t>
  </si>
  <si>
    <t xml:space="preserve">Tata Motors appointed Ejaz Takey as head of SUV marketing.</t>
  </si>
  <si>
    <t xml:space="preserve">https://www.storyboard18.com/brand-makers/tata-motors-pvs-media-pitch-concludes-auto-major-retains-existing-agencies-48051.htm</t>
  </si>
  <si>
    <t xml:space="preserve">https://www.afaqs.com/people-spotting/tata-motors-appoints-ejaz-takey-as-head-of-suv-marketing-11999514</t>
  </si>
  <si>
    <t xml:space="preserve">Tuborg</t>
  </si>
  <si>
    <t xml:space="preserve">Carlsberg India</t>
  </si>
  <si>
    <t xml:space="preserve">TBWA\Lintas (Integrated, since 2025)</t>
  </si>
  <si>
    <t xml:space="preserve">Won pre-merger; MullenLowe retired; Lintas rebadged TBWA\Lintas Jan 2026; co-CEO Prateek Bharadwaj exit reported Feb 2026</t>
  </si>
  <si>
    <t xml:space="preserve">Lowe Lintas Gurgaon won Tuborg creative strategy and integrated communication after a multi-agency pitch.</t>
  </si>
  <si>
    <t xml:space="preserve">https://www.storyboard18.com/advertising/lowe-lintas-bags-the-creative-mandate-of-tuborg-75196.htm</t>
  </si>
  <si>
    <t xml:space="preserve">Volkswagen</t>
  </si>
  <si>
    <t xml:space="preserve">Skoda Auto Volkswagen India (Volkswagen Group)</t>
  </si>
  <si>
    <t xml:space="preserve">22feet Tribal Worldwide (Digital); Bernbach (Omnicom, VW unit) (Integrated, since 2025); Bernbach (Omnicom, VW unit) (Creative, since 2026)</t>
  </si>
  <si>
    <t xml:space="preserve">Digital may be absorbed into the Bernbach unit; Globally aligned so hard to poach outright; local social, content and experiential projects are the opening; India coverage inferred from global model; VW in talks with JSW for India investment (Jul 2026) which could reset local marketing.; Long incumbency ended by merger; now a bespoke global unit</t>
  </si>
  <si>
    <t xml:space="preserve">Omnicom launched Bernbach as VW's unified agency covering creative, precision marketing and media, replacing DDB.</t>
  </si>
  <si>
    <t xml:space="preserve">https://campaignbriefasia.com/2025/11/17/volkswagen-india-takes-drivers-back-to-the-moment-their-love-for-cars-was-born/</t>
  </si>
  <si>
    <t xml:space="preserve">https://www.storyboard18.com/how-it-works/volkswagen-colgate-palmolive-apple-the-return-of-the-agency-within-an-agency-96076.htm</t>
  </si>
  <si>
    <t xml:space="preserve">Agoda</t>
  </si>
  <si>
    <t xml:space="preserve">Booking Holdings</t>
  </si>
  <si>
    <t xml:space="preserve">22feet Tribal Worldwide (Creative); Blink Digital (Creative) unconfirmed</t>
  </si>
  <si>
    <t xml:space="preserve">Kinnect and 22feet leadership merged under Chandni Shah; unit says it will take only five new clients in 2026; Meta disabled four Blink Digital Business Manager accounts and pages; agency sued Meta in Bombay HC (Sep 2026), a live operational risk for its clients.</t>
  </si>
  <si>
    <t xml:space="preserve">22feet India made Agoda's 'What a Save!' travel savings campaign in Apr 2026.</t>
  </si>
  <si>
    <t xml:space="preserve">https://campaignbriefasia.com/2026/04/20/agoda-highlights-smart-travel-savings-in-new-what-a-save-campaign-via-22feet-india/</t>
  </si>
  <si>
    <t xml:space="preserve">https://www.afaqs.com/news/advertising/agoda-launches-ai-powered-campaign-with-ayushmann-khurrana-to-personalise-travel-ads-for-audiences</t>
  </si>
  <si>
    <t xml:space="preserve">Bhutani Infra</t>
  </si>
  <si>
    <t xml:space="preserve">Bhutani Group</t>
  </si>
  <si>
    <t xml:space="preserve">Large new projects around Jewar airport.</t>
  </si>
  <si>
    <t xml:space="preserve">No agency credit found; Bhutani co-develops the Noida Film City near Jewar with Boney Kapoor.</t>
  </si>
  <si>
    <t xml:space="preserve">https://www.storyboard18.com/brand-marketing/boney-kapoor-bhutani-infras-noida-film-city-to-drive-hospitality-retail-investments-as-construction-nears-101963.htm</t>
  </si>
  <si>
    <t xml:space="preserve">BlueStone</t>
  </si>
  <si>
    <t xml:space="preserve">BlueStone Jewellery &amp; Lifestyle</t>
  </si>
  <si>
    <t xml:space="preserve">Post-IPO (2025) pressure to show growth; no visible creative agency [unverified, check before outreach]</t>
  </si>
  <si>
    <t xml:space="preserve">BlueStone's Jun 2024 #StrokesofGenius campaign carries no agency credit; last visible appointment was Havas Media (media) in 2015.</t>
  </si>
  <si>
    <t xml:space="preserve">https://www.medianews4u.com/bluestones-strokesofgenius-campaign-embraces-the-idea-that-jewellery-is-wearable-art/</t>
  </si>
  <si>
    <t xml:space="preserve">GANT India</t>
  </si>
  <si>
    <t xml:space="preserve">GANT</t>
  </si>
  <si>
    <t xml:space="preserve">Emporiom Digital (Digital, since 2025)</t>
  </si>
  <si>
    <t xml:space="preserve">Digital growth focus; brand content and PR unassigned publicly.</t>
  </si>
  <si>
    <t xml:space="preserve">GANT India partnered Emporiom Digital to drive digital growth.</t>
  </si>
  <si>
    <t xml:space="preserve">https://www.afaqs.com/news/newbizwins/gant-india-partners-with-emporiom-digital-to-drive-digital-growth-8975364</t>
  </si>
  <si>
    <t xml:space="preserve">Heer by GIVA</t>
  </si>
  <si>
    <t xml:space="preserve">GIVA Jewellery</t>
  </si>
  <si>
    <t xml:space="preserve">New sub-brand launch 2026</t>
  </si>
  <si>
    <t xml:space="preserve">Heer by GIVA launched with Anushka Sharma as face (May 2026); no agency credited.</t>
  </si>
  <si>
    <t xml:space="preserve">https://www.socialsamosa.com/industry-updates/heer-by-giva-anushka-sharma-face-of-brand-11826100</t>
  </si>
  <si>
    <t xml:space="preserve">KISNA</t>
  </si>
  <si>
    <t xml:space="preserve">Hari Krishna Group</t>
  </si>
  <si>
    <t xml:space="preserve">Contract Advertising (VML) (Creative, since 2022) unconfirmed</t>
  </si>
  <si>
    <t xml:space="preserve">Leadership change</t>
  </si>
  <si>
    <t xml:space="preserve">New CMO Prashant Awasthi (Sep 2025); new CFO and CTO 2026; Gen Z push; No recent credit visible</t>
  </si>
  <si>
    <t xml:space="preserve">Contract Advertising launched KISNA's brand re-stage campaign (Nov 2022); Aug 2026 Gen Z 9KT campaign has no agency credit.</t>
  </si>
  <si>
    <t xml:space="preserve">https://www.medianews4u.com/contract-advertising-launches-brand-re-stage-campaign-for-kisna/</t>
  </si>
  <si>
    <t xml:space="preserve">Libas</t>
  </si>
  <si>
    <t xml:space="preserve">New jewellery category launch 2026-09</t>
  </si>
  <si>
    <t xml:space="preserve">Libas expanded beyond apparel with a jewellery launch.</t>
  </si>
  <si>
    <t xml:space="preserve">https://www.manifest-media.in/marketing/240926/libas-expands-beyond-apparel-with-jewellery-launch.html</t>
  </si>
  <si>
    <t xml:space="preserve">Louis Philippe</t>
  </si>
  <si>
    <t xml:space="preserve">Aditya Birla Lifestyle Brands</t>
  </si>
  <si>
    <t xml:space="preserve">Schbang (Digital); Schbang (Creative)</t>
  </si>
  <si>
    <t xml:space="preserve">ABLBL demerged entity building brands independently</t>
  </si>
  <si>
    <t xml:space="preserve">Louis Philippe's Onam campaign with Kenny Sebastian is tagged to Schbang (Aug 2026).</t>
  </si>
  <si>
    <t xml:space="preserve">https://www.medianews4u.com/louis-philippe-bets-on-cultural-credibility-over-celebrity-influence-in-new-digital-campaign/</t>
  </si>
  <si>
    <t xml:space="preserve">https://www.afaqs.com/news/advertising/louis-philippe-brings-kenny-sebastian-into-new-onam-campaign-12436755</t>
  </si>
  <si>
    <t xml:space="preserve">Mahindra Lifespaces</t>
  </si>
  <si>
    <t xml:space="preserve">Mahindra Group</t>
  </si>
  <si>
    <t xml:space="preserve">The Womb (Creative, since 2024)</t>
  </si>
  <si>
    <t xml:space="preserve">Multi-agency roster ('one of' its agencies); Mahindra named Amit Kumar Sinha CEO of Real Estate and Hospitality in Aug 2026; CMO changed from Abhimanyu Mathur (2024) to Ankur Parmar.; Premium real estate, relevant to Mask360; Womb acquisition may unsettle</t>
  </si>
  <si>
    <t xml:space="preserve">The Womb was appointed one of Mahindra Lifespaces' strategic and creative agencies in Aug 2024 and made its June 2026 'Home of Positive Energy' campaign.</t>
  </si>
  <si>
    <t xml:space="preserve">https://www.afaqs.com/news/advertising/mahindra-lifespaces-moves-beyond-amenities-in-its-latest-campaign-12051467</t>
  </si>
  <si>
    <t xml:space="preserve">Marriott Udaipur and Jim Corbett</t>
  </si>
  <si>
    <t xml:space="preserve">Marriott International</t>
  </si>
  <si>
    <t xml:space="preserve">Quirk Head (Social, since 2025)</t>
  </si>
  <si>
    <t xml:space="preserve">Property-level social is awarded hotel by hotel, so new Marriott openings (W Delhi NCR, St. Regis, JW) are individually pitchable.; Property-level mandate; Marriott buys social hotel by hotel, so each property is pitchable.; Property-level mandate.</t>
  </si>
  <si>
    <t xml:space="preserve">Quirk Head appointed official social media and creative design partner for the newly launched Marriott Udaipur and Jim Corbett properties.</t>
  </si>
  <si>
    <t xml:space="preserve">https://www.afaqs.com/news/newbizwins/quirk-head-becomes-social-media-and-creative-design-partner-for-marriott-udaipur-and-jim-corbett-9014286</t>
  </si>
  <si>
    <t xml:space="preserve">MMTC-PAMP</t>
  </si>
  <si>
    <t xml:space="preserve">MMTC-PAMP India</t>
  </si>
  <si>
    <t xml:space="preserve">Grey 82.5 (Ogilvy) (Digital) unconfirmed</t>
  </si>
  <si>
    <t xml:space="preserve">Grey India merged into Grey 82.5 in Jun 2026 under 82.5 leadership; ex Grey India CCO Harsh Kapadia joined Code and Theory Jul 2026</t>
  </si>
  <si>
    <t xml:space="preserve">AutumnGrey made MMTC-PAMP's festive films in Oct 2022.</t>
  </si>
  <si>
    <t xml:space="preserve">2022-10</t>
  </si>
  <si>
    <t xml:space="preserve">https://www.medianews4u.com/mmtc-pamps-festive-films-by-autumngrey-capture-the-purity-of-emotions/</t>
  </si>
  <si>
    <t xml:space="preserve">Neeman's</t>
  </si>
  <si>
    <t xml:space="preserve">New brand marketing VP 2026-06; also hired a chief product officer 2026-09</t>
  </si>
  <si>
    <t xml:space="preserve">Neeman's appointed Akshit Dhingra as VP, brand marketing.</t>
  </si>
  <si>
    <t xml:space="preserve">https://www.afaqs.com/people-spotting/neemans-appoints-akshit-dhingra-as-vp-brand-marketing-12030001</t>
  </si>
  <si>
    <t xml:space="preserve">Prestige Group</t>
  </si>
  <si>
    <t xml:space="preserve">Prestige Estates Projects</t>
  </si>
  <si>
    <t xml:space="preserve">TBWA\Lintas (ex Lintas Live) (PR, since 2020) unconfirmed; Webenza (Digital) unconfirmed</t>
  </si>
  <si>
    <t xml:space="preserve">Five-plus year incumbency; Lintas Live absorbed into TBWA\Lintas; Corporate brand campaign signals a shift to brand building; no visible incumbent agency.</t>
  </si>
  <si>
    <t xml:space="preserve">Prestige Group handed Lintas Live its full PR and communications mandate after a multi-agency pitch.</t>
  </si>
  <si>
    <t xml:space="preserve">https://www.exchange4media.com/pr-and-corporate-communication-news/lintas-live-wins-pr-and-communication-mandate-for-prestige-group-109905.html</t>
  </si>
  <si>
    <t xml:space="preserve">https://www.campaignindia.in/article/prestige-group-launches-rise-with-us-campaign/4k6yqh6a2a759y8zhexzz7ryxm</t>
  </si>
  <si>
    <t xml:space="preserve">Signature Global</t>
  </si>
  <si>
    <t xml:space="preserve">Signature Global (India) Ltd</t>
  </si>
  <si>
    <t xml:space="preserve">New marcom lead in Dec 2025; Gurugram launches.</t>
  </si>
  <si>
    <t xml:space="preserve">No agency credit found; appointed Imran Shaikh as GM Marketing and Communication (Dec 2025).</t>
  </si>
  <si>
    <t xml:space="preserve">https://www.socialsamosa.com/industry-updates/signature-global-imran-shaikh-gm-marketing-communication-10884838</t>
  </si>
  <si>
    <t xml:space="preserve">Titan beYon (lab-grown diamonds)</t>
  </si>
  <si>
    <t xml:space="preserve">Brand-new launch with fresh budget and no visible roster</t>
  </si>
  <si>
    <t xml:space="preserve">Titan launched lab-grown diamond brand beYon in Jun 2026 (medianews4u listing); no agency credit found.</t>
  </si>
  <si>
    <t xml:space="preserve">Titan Raga</t>
  </si>
  <si>
    <t xml:space="preserve">Ogilvy India (Integrated); Ogilvy India (Creative)</t>
  </si>
  <si>
    <t xml:space="preserve">Raga being repositioned by CMO Analog Watches Ranjani Krishnaswamy; watches CEO Suparna Mitra stepped down Aug 2025; Titan Q1 ad spend up 32.9%</t>
  </si>
  <si>
    <t xml:space="preserve">Ogilvy South made the Sep 2026 'Your Way Is Beautiful' Titan Raga films starring Alia Bhatt.</t>
  </si>
  <si>
    <t xml:space="preserve">https://www.afaqs.com/news/advertising/titan-raga-shifts-the-conversation-from-sisterhood-to-women-standing-their-ground-12512364</t>
  </si>
  <si>
    <t xml:space="preserve">https://www.medianews4u.com/titan-raga-launches-your-way-is-beautiful-campaign-featuring-alia-bhatt/</t>
  </si>
  <si>
    <t xml:space="preserve">Turespana (Spain Tourism)</t>
  </si>
  <si>
    <t xml:space="preserve">Tourism Office of Spain</t>
  </si>
  <si>
    <t xml:space="preserve">TBWA\Lintas (ex Lintas Live) (Social, since 2021) unconfirmed</t>
  </si>
  <si>
    <t xml:space="preserve">Five-year incumbent; unit absorbed</t>
  </si>
  <si>
    <t xml:space="preserve">Lintas Live won Turespana's India social media marketing mandate.</t>
  </si>
  <si>
    <t xml:space="preserve">2021-01</t>
  </si>
  <si>
    <t xml:space="preserve">https://www.afaqs.com/news/advertising/lintas-live-wins-social-media-marketing-mandate-for-turespaa</t>
  </si>
  <si>
    <t xml:space="preserve">Visit Victoria</t>
  </si>
  <si>
    <t xml:space="preserve">Visit Victoria (Australia)</t>
  </si>
  <si>
    <t xml:space="preserve">TBWA\Lintas (ex Lintas Live) (PR, since 2022)</t>
  </si>
  <si>
    <t xml:space="preserve">Tourism board PR unit now folded into an ad agency</t>
  </si>
  <si>
    <t xml:space="preserve">Lintas Live won back Visit Victoria's PR and integrated communications; Visit Victoria also on the TBWA\Lintas client wall.</t>
  </si>
  <si>
    <t xml:space="preserve">2022-03</t>
  </si>
  <si>
    <t xml:space="preserve">https://www.medianews4u.com/lintas-live-wins-back-the-pr-and-integrated-communications-mandate-for-visit-victoria/</t>
  </si>
  <si>
    <t xml:space="preserve">Vivanta, SeleQtions and Ama Stays &amp; Trails</t>
  </si>
  <si>
    <t xml:space="preserve">IHCL expanding fast across these brands; boutique and homestay brands need social-first storytelling that network incumbents rarely prioritise.</t>
  </si>
  <si>
    <t xml:space="preserve">No agency credits for IHCL's Vivanta, SeleQtions or Ama brands found in afaqs, Storyboard18, Social Samosa or Campaign India 2024 to 2026.</t>
  </si>
  <si>
    <t xml:space="preserve">World Trade Centers Association (WTCA)</t>
  </si>
  <si>
    <t xml:space="preserve">WTCA</t>
  </si>
  <si>
    <t xml:space="preserve">Ketchum Sampark (PR, since 2023) unconfirmed</t>
  </si>
  <si>
    <t xml:space="preserve">Omnicom merged Golin and Ketchum globally in Feb 2026 and folded Porter Novelli into FleishmanHillard; India PR teams reshuffling</t>
  </si>
  <si>
    <t xml:space="preserve">Ketchum Sampark won a PR mandate for the World Trade Centers Association in Dec 2023.</t>
  </si>
  <si>
    <t xml:space="preserve">2023-12</t>
  </si>
  <si>
    <t xml:space="preserve">https://news.google.com/rss/search?q=%22Ketchum+Sampark%22+OR+%22FleishmanHillard+India%22+mandate&amp;hl=en-IN&amp;gl=IN&amp;ceid=IN:en</t>
  </si>
  <si>
    <t xml:space="preserve">Amrut</t>
  </si>
  <si>
    <t xml:space="preserve">Amrut Distilleries</t>
  </si>
  <si>
    <t xml:space="preserve">Indian single malt pioneer, low visible marketing</t>
  </si>
  <si>
    <t xml:space="preserve">Medianews4u search for Amrut returned no relevant agency credit.</t>
  </si>
  <si>
    <t xml:space="preserve">Godawan</t>
  </si>
  <si>
    <t xml:space="preserve">Diageo's Indian single malt; luxury storytelling need</t>
  </si>
  <si>
    <t xml:space="preserve">Medianews4u search for Godawan returned no results.</t>
  </si>
  <si>
    <t xml:space="preserve">Hapusa</t>
  </si>
  <si>
    <t xml:space="preserve">Diageo India (NAO Spirits)</t>
  </si>
  <si>
    <t xml:space="preserve">Ownership change; luxury craft gin</t>
  </si>
  <si>
    <t xml:space="preserve">Hapusa moved under Diageo India via the NAO Spirits deal (Jun 2025); no agency found.</t>
  </si>
  <si>
    <t xml:space="preserve">https://www.medianews4u.com/diageo-india-usl-to-acquire-nao-spirits-maker-of-greater-than-and-hapusa-craft-gins/</t>
  </si>
  <si>
    <t xml:space="preserve">Indri</t>
  </si>
  <si>
    <t xml:space="preserve">Piccadily Agro Industries</t>
  </si>
  <si>
    <t xml:space="preserve">BlackCab Agency Network (Integrated, since 2024)</t>
  </si>
  <si>
    <t xml:space="preserve">Global awards momentum; incumbent 2.5+ years</t>
  </si>
  <si>
    <t xml:space="preserve">Indri Single Malt gave its 360 brand mandate to BlackCab Agency Network (Jan 2024).</t>
  </si>
  <si>
    <t xml:space="preserve">https://www.medianews4u.com/indri-single-malt-whisky-gives-360-brand-mandate-to-blackcab-agency-network/</t>
  </si>
  <si>
    <t xml:space="preserve">L'Occitane India</t>
  </si>
  <si>
    <t xml:space="preserve">L'Occitane</t>
  </si>
  <si>
    <t xml:space="preserve">Crosshairs Communication (PR, since 2024)</t>
  </si>
  <si>
    <t xml:space="preserve">Luxury beauty; social and content open; 2.5 years in; social not held.</t>
  </si>
  <si>
    <t xml:space="preserve">L'Occitane awarded its India PR mandate to Crosshairs Communication (Apr 2024).</t>
  </si>
  <si>
    <t xml:space="preserve">https://www.medianews4u.com/loccitane-awards-its-pr-mandate-to-crosshairs-communication/</t>
  </si>
  <si>
    <t xml:space="preserve">Lexus India</t>
  </si>
  <si>
    <t xml:space="preserve">Toyota Motor Corporation</t>
  </si>
  <si>
    <t xml:space="preserve">Low visibility brand in India; hospitality-style 'omotenashi' storytelling suits a luxury content agency.</t>
  </si>
  <si>
    <t xml:space="preserve">No Lexus India agency mandate or campaign credit found in Indian trade press 2024 to 2026.</t>
  </si>
  <si>
    <t xml:space="preserve">Longitude 77</t>
  </si>
  <si>
    <t xml:space="preserve">Luxury Indian single malt; craft and culture storytelling</t>
  </si>
  <si>
    <t xml:space="preserve">Longitude 77's Diwali gifting campaign (Oct 2025) names no agency.</t>
  </si>
  <si>
    <t xml:space="preserve">https://www.medianews4u.com/longitude-77-by-pernod-ricard-india-redefines-diwali-gifting-with-craft-and-culture/</t>
  </si>
  <si>
    <t xml:space="preserve">Monarch Legacy Edition</t>
  </si>
  <si>
    <t xml:space="preserve">Tilaknagar Industries</t>
  </si>
  <si>
    <t xml:space="preserve">Tonic Worldwide (Digital, since 2025)</t>
  </si>
  <si>
    <t xml:space="preserve">Luxury launch; creative agency not visible; Tilaknagar handed its PR mandate to Apostrophe Ventures in Aug 2026, roster is being reshaped around the luxury push.</t>
  </si>
  <si>
    <t xml:space="preserve">Tonic Worldwide won the digital mandate for Tilaknagar's luxury brandy Monarch Legacy Edition (Jul 2025).</t>
  </si>
  <si>
    <t xml:space="preserve">https://www.medianews4u.com/tonic-worldwide-wins-digital-mandate-for-tilaknagars-monarch-legacy-edition-luxury-brandy/</t>
  </si>
  <si>
    <t xml:space="preserve">https://www.afaqs.com/news/newbizwins/tonic-worldwide-bags-digital-mandate-for-monarch-legacy-edition-luxury-brandy-9601190</t>
  </si>
  <si>
    <t xml:space="preserve">Paul John</t>
  </si>
  <si>
    <t xml:space="preserve">John Distilleries</t>
  </si>
  <si>
    <t xml:space="preserve">Medianews4u search for Paul John returned no relevant results.</t>
  </si>
  <si>
    <t xml:space="preserve">Accor India (Raffles, Fairmont, Sofitel)</t>
  </si>
  <si>
    <t xml:space="preserve">Accor</t>
  </si>
  <si>
    <t xml:space="preserve">Crosshairs Communication (PR, since 2023)</t>
  </si>
  <si>
    <t xml:space="preserve">Incumbent 3+ years; a boutique handling a multi-brand chain may be stretched.; Frequent marketing hires at Raffles Udaipur, Raffles and Fairmont Jaipur (2026); new Accor CCO South Asia; weddings and celebrations push suits a luxury content agency.</t>
  </si>
  <si>
    <t xml:space="preserve">Crosshairs became Accor India's PR partner in May 2023; Raffles, Fairmont and Novotel properties feature on its client list.</t>
  </si>
  <si>
    <t xml:space="preserve">https://www.afaqs.com/corporate-communications-and-pr/crosshairs-communication-is-now-accor-indias-pr-partner</t>
  </si>
  <si>
    <t xml:space="preserve">https://www.campaignindia.in/article/accor-launches-all-for-love-celebrations-platform/4p466y39g5pxbtyrn5k9981fns</t>
  </si>
  <si>
    <t xml:space="preserve">Burberry</t>
  </si>
  <si>
    <t xml:space="preserve">Burberry Group</t>
  </si>
  <si>
    <t xml:space="preserve">Undated logo wall; verify India scope and current status.</t>
  </si>
  <si>
    <t xml:space="preserve">Burberry appears among Grapes Worldwide client logos.</t>
  </si>
  <si>
    <t xml:space="preserve">Cartier</t>
  </si>
  <si>
    <t xml:space="preserve">Richemont</t>
  </si>
  <si>
    <t xml:space="preserve">Cartier appears among Grapes Worldwide client logos.</t>
  </si>
  <si>
    <t xml:space="preserve">Central Park</t>
  </si>
  <si>
    <t xml:space="preserve">Central Park Group</t>
  </si>
  <si>
    <t xml:space="preserve">iCubesWire (Digital, since 2025)</t>
  </si>
  <si>
    <t xml:space="preserve">Performance-heavy digital agency on an ultra-luxury brand; brand films and luxury content are a gap.</t>
  </si>
  <si>
    <t xml:space="preserve">iCubesWire appointed digital transformation partner for ultra-luxury developer Central Park covering social, ORM, search, creative strategy and performance.</t>
  </si>
  <si>
    <t xml:space="preserve">https://www.socialsamosa.com/industry-updates/icubeswire-digital-mandate-luxury-real-estate-brand-central-park-9368637</t>
  </si>
  <si>
    <t xml:space="preserve">Chalet Hotels (Athiva)</t>
  </si>
  <si>
    <t xml:space="preserve">Chalet Hotels Ltd (K Raheja)</t>
  </si>
  <si>
    <t xml:space="preserve">Burson India (PR, since 2026)</t>
  </si>
  <si>
    <t xml:space="preserve">Incumbent turmoil, Fresh budget or launch, Just moved (honeymoon)</t>
  </si>
  <si>
    <t xml:space="preserve">PR only; new Athiva brand launch needs social, content and luxury creative.; WPP explored a sale of Burson (afaqs Apr 2026); Athiva brand social and creative not assigned publicly.; WPP hired Goldman Sachs in Apr 2026 to explore a sale of Burson</t>
  </si>
  <si>
    <t xml:space="preserve">Burson won Chalet Hotels' reputation mandate covering corporate narrative, ESG and its Athiva Hotels &amp; Resorts brand.</t>
  </si>
  <si>
    <t xml:space="preserve">https://www.campaignindia.in/article/burson-wins-chalet-hotels-reputation-mandate/4xy9ew13ahvn7sn61tt41mbhx7</t>
  </si>
  <si>
    <t xml:space="preserve">https://www.medianews4u.com/chalet-hotels-partners-with-burson-to-strengthen-corporate-reputation-and-brand-equity/</t>
  </si>
  <si>
    <t xml:space="preserve">Delhi Duty Free</t>
  </si>
  <si>
    <t xml:space="preserve">Delhi Duty Free Services</t>
  </si>
  <si>
    <t xml:space="preserve">Everest Brand Solutions (Creative) unconfirmed</t>
  </si>
  <si>
    <t xml:space="preserve">Very long tenure if still active; Everest lost senior leader Rahul Vengalil in Jan 2024</t>
  </si>
  <si>
    <t xml:space="preserve">Everest Brand Solutions retained the creative mandate of DDFS in 2017; no newer confirmation found.</t>
  </si>
  <si>
    <t xml:space="preserve">2017-06</t>
  </si>
  <si>
    <t xml:space="preserve">https://www.afaqs.com/news/advertising/50574_everest-brand-solutions-retains-creative-mandate-of-ddfs</t>
  </si>
  <si>
    <t xml:space="preserve">Dharana at Shillim</t>
  </si>
  <si>
    <t xml:space="preserve">Shillim Estate</t>
  </si>
  <si>
    <t xml:space="preserve">Landor India (Creative, since 2024) unconfirmed</t>
  </si>
  <si>
    <t xml:space="preserve">Identity project, no ongoing social or content retainer evident</t>
  </si>
  <si>
    <t xml:space="preserve">Landor created the new brand identity that turned Hilton Shillim Resort &amp; Spa into the Dharana luxury wellness retreat (Sep 2024).</t>
  </si>
  <si>
    <t xml:space="preserve">2024-09</t>
  </si>
  <si>
    <t xml:space="preserve">https://www.medianews4u.com/landor-transforms-hilton-shillim-resort-spa-into-dharana-a-luxury-retreat-with-a-new-brand-identity-celebrating-wellness-and-conscious-being/</t>
  </si>
  <si>
    <t xml:space="preserve">Fairmont Jaipur</t>
  </si>
  <si>
    <t xml:space="preserve">Crosshairs Communication (PR) unconfirmed</t>
  </si>
  <si>
    <t xml:space="preserve">Undated client list that also carries legacy names; verify current status.</t>
  </si>
  <si>
    <t xml:space="preserve">Fairmont Jaipur listed under hospitality on Crosshairs client page.</t>
  </si>
  <si>
    <t xml:space="preserve">https://crosshairscommunication.com/clients/</t>
  </si>
  <si>
    <t xml:space="preserve">Harry Winston</t>
  </si>
  <si>
    <t xml:space="preserve">Swatch Group</t>
  </si>
  <si>
    <t xml:space="preserve">Harry Winston listed under luxury on Crosshairs client page.</t>
  </si>
  <si>
    <t xml:space="preserve">Hazoorilal</t>
  </si>
  <si>
    <t xml:space="preserve">Hazoorilal Legacy</t>
  </si>
  <si>
    <t xml:space="preserve">Undated client list that also carries legacy names; verify current status.; Luxury heritage jeweller, likely boutique or in-house</t>
  </si>
  <si>
    <t xml:space="preserve">Hazoorilal listed under jewellery on Crosshairs client page.</t>
  </si>
  <si>
    <t xml:space="preserve">House of Hiranandani</t>
  </si>
  <si>
    <t xml:space="preserve">Madchatter (PR)</t>
  </si>
  <si>
    <t xml:space="preserve">PR-led agency; social and content for the brand may sit elsewhere.; Low visible agency footprint; DGM Digital Marketing in place (Dec 2025) suggests digital run in-house.</t>
  </si>
  <si>
    <t xml:space="preserve">Madchatter's site carries a testimonial from House of Hiranandani's DGM Brand Strategy on its PR and communications work.</t>
  </si>
  <si>
    <t xml:space="preserve">https://www.madchatter.in/</t>
  </si>
  <si>
    <t xml:space="preserve">https://www.afaqs.com/news/advertising/house-of-hiranandani-unveils-tomorrowmatters-campaign-with-ambitious-5-year-sustainability-goals</t>
  </si>
  <si>
    <t xml:space="preserve">Indriya (Aditya Birla Jewellery)</t>
  </si>
  <si>
    <t xml:space="preserve">Aditya Birla Group</t>
  </si>
  <si>
    <t xml:space="preserve">AdLift (Liqvd Asia) (Digital, since 2026); AdLift (Liqvd Asia) (Performance, since 2026); Ogilvy India (Integrated, since 2024); Schbang (Social, since 2024)</t>
  </si>
  <si>
    <t xml:space="preserve">Leadership change, Split roster, Just moved (honeymoon)</t>
  </si>
  <si>
    <t xml:space="preserve">Young, well-funded brand; creative and social agency not visible; Only SEO assigned 2026-05; creative, social and PR partners not disclosed; Split digital roster with Schbang (social and content).; Young brand building a multi-agency roster.; Young jewellery brand still building identity; handled by mass FMCG creative heads (Ogilvy West); Split digital roster: AdLift (Liqvd Asia) won Indriya's SEO mandate May 2026. Co-founder Akshay Gurnani exited Mar 2025; Bangalore head Sushant Vithaldas left May 2025.; Indriya added AdLift for SEO in May 2026; roster spreading across agencies.</t>
  </si>
  <si>
    <t xml:space="preserve">Schbang case study: built Indriya's digital presence, content and influencer activations from its Jul 2024 launch to 50M+ views in a year.</t>
  </si>
  <si>
    <t xml:space="preserve">https://campaignbriefasia.com/2025/09/22/ogilvy-india-creates-festive-film-for-indriyas-alka-collection-featuring-dil-abhi-bhara-nahin/</t>
  </si>
  <si>
    <t xml:space="preserve">https://www.medianews4u.com/adlift-bags-seo-mandate-for-indriya-aditya-birla-jewellery/</t>
  </si>
  <si>
    <t xml:space="preserve">Khurana Jewellery House</t>
  </si>
  <si>
    <t xml:space="preserve">Crosshairs Communication (PR, since 2023) unconfirmed</t>
  </si>
  <si>
    <t xml:space="preserve">Nearly three years in.</t>
  </si>
  <si>
    <t xml:space="preserve">Crosshairs won the PR mandate for Khurana Jewellery House in Nov 2023.</t>
  </si>
  <si>
    <t xml:space="preserve">2023-11</t>
  </si>
  <si>
    <t xml:space="preserve">https://www.afaqs.com/corporate-communications-and-pr/crosshairs-communication-wins-pr-mandate-for-khurana-jewellery-house</t>
  </si>
  <si>
    <t xml:space="preserve">Lapis Bard</t>
  </si>
  <si>
    <t xml:space="preserve">William Penn</t>
  </si>
  <si>
    <t xml:space="preserve">Sunny Side Up (Creative, since 2025)</t>
  </si>
  <si>
    <t xml:space="preserve">Sunny Side Up won the creative mandate for William Penn's Lapis Bard.</t>
  </si>
  <si>
    <t xml:space="preserve">https://www.afaqs.com/news/newbizwins/sunny-side-up-wins-creative-mandate-for-william-penns-lapis-bard-10881552</t>
  </si>
  <si>
    <t xml:space="preserve">Le Royal Monceau Raffles Paris</t>
  </si>
  <si>
    <t xml:space="preserve">Outbound luxury travel PR for Indian HNIs; nearly two years in.</t>
  </si>
  <si>
    <t xml:space="preserve">Crosshairs bagged the India PR mandate for Le Royal Monceau Raffles Paris.</t>
  </si>
  <si>
    <t xml:space="preserve">https://www.afaqs.com/corporate-communications-and-pr/crosshairs-communication-bags-pr-mandate-for-le-royal-monceau-raffles-paris-7594598</t>
  </si>
  <si>
    <t xml:space="preserve">Louis Vuitton</t>
  </si>
  <si>
    <t xml:space="preserve">LVMH</t>
  </si>
  <si>
    <t xml:space="preserve">Publicis took LVMH APAC media from WPP without a pitch (bestmediainfo headline); undated logo.</t>
  </si>
  <si>
    <t xml:space="preserve">Louis Vuitton appears among Grapes Worldwide client logos.</t>
  </si>
  <si>
    <t xml:space="preserve">Marriott Bonvoy (India)</t>
  </si>
  <si>
    <t xml:space="preserve">BBH Singapore (Creative)</t>
  </si>
  <si>
    <t xml:space="preserve">Regional APEC agency runs India; JW Marriott named Aishwarya Rai Bachchan global ambassador (Jun 2026) and several India property marketing heads changed in 2026.</t>
  </si>
  <si>
    <t xml:space="preserve">Marriott brought its 'Loyalty's Just That Easy' Bonvoy campaign to Mumbai with a Loyal-Tea activation made with BBH Singapore.</t>
  </si>
  <si>
    <t xml:space="preserve">https://www.medianews4u.com/marriott-international-brings-loyal-tea-activation-to-mumbai-with-bbh-singapore-to-extend-marriott-bonvoy-campaign/</t>
  </si>
  <si>
    <t xml:space="preserve">Omega</t>
  </si>
  <si>
    <t xml:space="preserve">Lyxel&amp;Flamingo (Digital) unconfirmed</t>
  </si>
  <si>
    <t xml:space="preserve">Luxury watch on a performance-led agency; brand storytelling gap likely.</t>
  </si>
  <si>
    <t xml:space="preserve">Omega appears on Lyxel&amp;Flamingo's client logo wall; scope and date not shown.</t>
  </si>
  <si>
    <t xml:space="preserve">https://lyxelandflamingo.com/</t>
  </si>
  <si>
    <t xml:space="preserve">Piramal Realty</t>
  </si>
  <si>
    <t xml:space="preserve">Piramal Group</t>
  </si>
  <si>
    <t xml:space="preserve">White Rivers Media (Digital) unconfirmed; Grapes Worldwide (Digital) unconfirmed</t>
  </si>
  <si>
    <t xml:space="preserve">Two agencies (White Rivers, Grapes) list Piramal Realty; roster fragmented or rotated.; CEO two years in; Mumbai luxury towers need premium content; no visible incumbent.</t>
  </si>
  <si>
    <t xml:space="preserve">Piramal Realty appears in White Rivers Media client roster.</t>
  </si>
  <si>
    <t xml:space="preserve">https://www.whiteriversmedia.com/</t>
  </si>
  <si>
    <t xml:space="preserve">Raffles Udaipur</t>
  </si>
  <si>
    <t xml:space="preserve">Crosshairs Communication (PR)</t>
  </si>
  <si>
    <t xml:space="preserve">Social and content for the property not claimed.</t>
  </si>
  <si>
    <t xml:space="preserve">Crosshairs case study cites Raffles Udaipur PR delivering 100+ media exposures a month.</t>
  </si>
  <si>
    <t xml:space="preserve">Raghavendra Rathore Jodhpur</t>
  </si>
  <si>
    <t xml:space="preserve">Raghavendra Rathore</t>
  </si>
  <si>
    <t xml:space="preserve">Crosshairs Communication (PR, since 2025)</t>
  </si>
  <si>
    <t xml:space="preserve">PR only; social and content open.</t>
  </si>
  <si>
    <t xml:space="preserve">Crosshairs bagged the PR mandate for Raghavendra Rathore Jodhpur.</t>
  </si>
  <si>
    <t xml:space="preserve">https://www.afaqs.com/news/newbizwins/crosshairs-communication-bags-pr-mandate-for-raghavendra-rathore-jodhpur-8899894</t>
  </si>
  <si>
    <t xml:space="preserve">Runwal</t>
  </si>
  <si>
    <t xml:space="preserve">Runwal Enterprises</t>
  </si>
  <si>
    <t xml:space="preserve">Concept PR (Concept Communications) (PR, since 2026)</t>
  </si>
  <si>
    <t xml:space="preserve">Leadership change, Just moved (honeymoon)</t>
  </si>
  <si>
    <t xml:space="preserve">Creative and social not assigned publicly; Runwal rebranded to Runwal Realty with Sonam Kapoor (Apr 2025), hired Rakesh Setia as luxury CEO (Apr 2026) and moved to a generational brand platform.; New luxury vertical CEO 2026-04 from Rustomjee</t>
  </si>
  <si>
    <t xml:space="preserve">Concept PR secured Runwal Enterprises' strategic communications mandate as it expands across MMR.</t>
  </si>
  <si>
    <t xml:space="preserve">https://www.afaqs.com/people-spotting/rakesh-setia-joins-runwal-as-ceo-for-luxury-segment-after-7-year-stint-at-rustomjee-11742410</t>
  </si>
  <si>
    <t xml:space="preserve">https://www.socialsamosa.com/industry-updates/concept-pr-communications-mandate-runwal-enterprises-12062954</t>
  </si>
  <si>
    <t xml:space="preserve">Taneira</t>
  </si>
  <si>
    <t xml:space="preserve">Famous Innovations (Integrated, since 2026)</t>
  </si>
  <si>
    <t xml:space="preserve">Fresh budget or launch, Just moved (honeymoon)</t>
  </si>
  <si>
    <t xml:space="preserve">Agency won 5 pitches in one half and expanded to Lucknow, risk of overstretch</t>
  </si>
  <si>
    <t xml:space="preserve">Famous Innovations won Taneira's mainline and social mandate via a multi agency pitch, a homecoming as it created the brand in 2016.</t>
  </si>
  <si>
    <t xml:space="preserve">Tarun Tahiliani</t>
  </si>
  <si>
    <t xml:space="preserve">Beam and Words (Social, since 2022) unconfirmed; Crosshairs Communication (PR) unconfirmed</t>
  </si>
  <si>
    <t xml:space="preserve">Four-year-old social mandate; luxury couture fit; Undated client list that also carries legacy names; verify current status.</t>
  </si>
  <si>
    <t xml:space="preserve">Tarun Tahiliani listed under fashion designers on Crosshairs client page.</t>
  </si>
  <si>
    <t xml:space="preserve">https://www.medianews4u.com/beam-and-words-bags-social-media-mandate-for-luxury-designer-brand-tarun-tahiliani/</t>
  </si>
  <si>
    <t xml:space="preserve">The Astor Goa</t>
  </si>
  <si>
    <t xml:space="preserve">The Other Circle (PR, since 2025)</t>
  </si>
  <si>
    <t xml:space="preserve">PR only; social and creative open.</t>
  </si>
  <si>
    <t xml:space="preserve">The Other Circle bagged the PR mandate for The Astor Goa.</t>
  </si>
  <si>
    <t xml:space="preserve">https://www.afaqs.com/news/newbizwins/the-other-circle-bags-pr-mandate-for-the-astor-goa-9504708</t>
  </si>
  <si>
    <t xml:space="preserve">The Westin Gurgaon</t>
  </si>
  <si>
    <t xml:space="preserve">Property-level digital.</t>
  </si>
  <si>
    <t xml:space="preserve">Quirk Head website lists The Westin Gurgaon among its clients.</t>
  </si>
  <si>
    <t xml:space="preserve">The Westin Sohna Resort</t>
  </si>
  <si>
    <t xml:space="preserve">Quirk Head website lists The Westin Resort Sohna among its clients.</t>
  </si>
  <si>
    <t xml:space="preserve">Thomas Goode &amp; Co.</t>
  </si>
  <si>
    <t xml:space="preserve">Crosshairs bagged the India PR mandate for Thomas Goode &amp; Co.</t>
  </si>
  <si>
    <t xml:space="preserve">https://www.afaqs.com/corporate-communications-and-pr/crosshairs-communication-bags-pr-mandate-for-thomas-goode-co-in-india-7295230</t>
  </si>
  <si>
    <t xml:space="preserve">Tiffany &amp; Co.</t>
  </si>
  <si>
    <t xml:space="preserve">Tiffany appears among Grapes Worldwide client logos.</t>
  </si>
  <si>
    <t xml:space="preserve">Timbertales Luxury Resort</t>
  </si>
  <si>
    <t xml:space="preserve">Timbertales</t>
  </si>
  <si>
    <t xml:space="preserve">Pepper Communications Group (PR, since 2025)</t>
  </si>
  <si>
    <t xml:space="preserve">Pepper Communications won the PR mandate for Timbertales luxury resort.</t>
  </si>
  <si>
    <t xml:space="preserve">https://www.afaqs.com/news/newbizwins/pepper-communications-group-wins-pr-mandate-for-timbertales-luxury-resort-8629292</t>
  </si>
  <si>
    <t xml:space="preserve">Zoya</t>
  </si>
  <si>
    <t xml:space="preserve">Pulp Strategy (Digital) unconfirmed</t>
  </si>
  <si>
    <t xml:space="preserve">Project-led collection campaign; no retained mandate evident.; Undated logo wall; verify India scope and current status.; No agency of record visible; luxury positioning suits a boutique partner; Sonam Kapoor ambassador</t>
  </si>
  <si>
    <t xml:space="preserve">Pulp Strategy case study: The Heroine's Journey: Beyond microsite and storytelling for Zoya's Beyond collection, 4M+ visitors.</t>
  </si>
  <si>
    <t xml:space="preserve">https://www.pulpstrategy.com/?portfolio=the-heroines-journey-beyond-by-zoya</t>
  </si>
  <si>
    <t xml:space="preserve">https://www.pulpstrategy.com/</t>
  </si>
  <si>
    <t xml:space="preserve">Akasa Air</t>
  </si>
  <si>
    <t xml:space="preserve">Aviation</t>
  </si>
  <si>
    <t xml:space="preserve">New comms head 2026-04; CMO joined Sep 2025; IPO planned in 2 to 4 years; content and social storytelling rather than ATL is the opening.</t>
  </si>
  <si>
    <t xml:space="preserve">Akasa Air appointed Aditi Roy as head of corporate communications and CSR.</t>
  </si>
  <si>
    <t xml:space="preserve">https://www.afaqs.com/people-spotting/akasa-air-appoints-aditi-roy-as-head-of-corporate-communications-csr-11457862</t>
  </si>
  <si>
    <t xml:space="preserve">https://www.campaignindia.in/article/akasa-air-s-anti-advertising-playbook-winning-skies-through-unscripted-customer-moments/495j1wvysejyaz0b2xztdradws</t>
  </si>
  <si>
    <t xml:space="preserve">Axis Bank</t>
  </si>
  <si>
    <t xml:space="preserve">Axis Bank Ltd</t>
  </si>
  <si>
    <t xml:space="preserve">Grey 82.5 (Ogilvy) (Integrated); TBWA\Lintas (Creative); TBWA\Lintas (Integrated); Curativity (Creative, since 2026)</t>
  </si>
  <si>
    <t xml:space="preserve">Independent, Omnicom, WPP</t>
  </si>
  <si>
    <t xml:space="preserve">Grey India merged into Grey 82.5 in Jun 2026 under 82.5 leadership; ex Grey India CCO Harsh Kapadia joined Code and Theory Jul 2026; Lintas folded into TBWA post Omnicom and IPG merger; integration churn is a door opener.; Long Lintas tenure; NRI and wealth work suits premium specialists; Multi-agency roster (Curativity, TBWA Lintas); split mandates mean Burgundy wealth and NRI content can be pitched separately.</t>
  </si>
  <si>
    <t xml:space="preserve">Grey India made Axis Bank's #DeshKaLocker Republic Day 2026 film; AutumnGrey built its Achh.ai platform in Nov 2024.</t>
  </si>
  <si>
    <t xml:space="preserve">https://campaignbriefasia.com/2026/01/28/axis-bank-and-grey-india-launch-deshkalocker-republic-day-campaign/</t>
  </si>
  <si>
    <t xml:space="preserve">https://www.afaqs.com/news/advertising/axis-bank-turns-nri-distance-into-stories-of-care-and-connection-12399615</t>
  </si>
  <si>
    <t xml:space="preserve">DBS Bank India</t>
  </si>
  <si>
    <t xml:space="preserve">DBS Group</t>
  </si>
  <si>
    <t xml:space="preserve">McCann India (ex FCB India) (Creative) unconfirmed</t>
  </si>
  <si>
    <t xml:space="preserve">Regional creative review in 2026 covering India; article month inferred from publisher ID, page not directly readable; Interface leadership exit and FCB retirement</t>
  </si>
  <si>
    <t xml:space="preserve">BestMediaInfo reports DBS initiated a creative agency review across six Asia Pacific markets including India.</t>
  </si>
  <si>
    <t xml:space="preserve">https://www.medianews4u.com/dbs-bank-india-revamps-sounds-of-budget-campaign/</t>
  </si>
  <si>
    <t xml:space="preserve">https://bestmediainfo.com/mediainfo/mediainfo-marketing/dbs-initiates-creative-agency-review-across-six-asia-pacific-markets-including-india-11700883</t>
  </si>
  <si>
    <t xml:space="preserve">HDFC Life</t>
  </si>
  <si>
    <t xml:space="preserve">HDFC Life Insurance</t>
  </si>
  <si>
    <t xml:space="preserve">OMD India (Media, since 2025); Leo India (Creative); Schbang (Creative)</t>
  </si>
  <si>
    <t xml:space="preserve">Independent, Omnicom, Publicis</t>
  </si>
  <si>
    <t xml:space="preserve">Leadership change, Open mandates, Split roster</t>
  </si>
  <si>
    <t xml:space="preserve">Media only; creative and social partners separate.; Media moved to OMD (Omnicom) Jan 2025; marketing head Pritika Shah elevated May 2025; Pritika Shah elevated to EVP and Head of Marketing (May 2025); experimenting with microdramas: content partner opening.</t>
  </si>
  <si>
    <t xml:space="preserve">OMD India secured HDFC Life's integrated media mandate.</t>
  </si>
  <si>
    <t xml:space="preserve">https://www.afaqs.com/news/newbizwins/omd-india-wins-integrated-media-mandate-for-hdfc-life-8636433</t>
  </si>
  <si>
    <t xml:space="preserve">https://campaignbriefasia.com/2026/01/27/hdfc-life-unveils-new-brand-campaign-with-leo-highlighting-parents-role-in-shaping-the-future/</t>
  </si>
  <si>
    <t xml:space="preserve">HDFC Mutual Fund</t>
  </si>
  <si>
    <t xml:space="preserve">HDFC Asset Management Company</t>
  </si>
  <si>
    <t xml:space="preserve">Publicis India MD Oindrila Roy, who fronted this work, exited Aug 2025; Publicis India folded into BBH Jan 2026; High volume of purpose content; AMFI moved creative to Concept Communications (Jan 2026) showing category churn.</t>
  </si>
  <si>
    <t xml:space="preserve">Publicis India created HDFC Mutual Fund's 'Hum Sab Investors Hain' film for its 'Zindagi Ke Liye SIP' platform (Apr 2025).</t>
  </si>
  <si>
    <t xml:space="preserve">https://www.medianews4u.com/publicis-indias-campaign-for-hdfc-mutual-fund-captures-emotional-investment-journey-with-storytelling-and-insights/</t>
  </si>
  <si>
    <t xml:space="preserve">https://www.campaignindia.in/article/hdfc-mutual-fund-s-barni-se-azadi-puts-women-centre-stage/4vwx7gdgw1vn60g41yqv07k1mc</t>
  </si>
  <si>
    <t xml:space="preserve">Kotak Mahindra Bank</t>
  </si>
  <si>
    <t xml:space="preserve">Wavemaker (WPP Media) (Media) IN REVIEW; Creativeland Asia (Content); Creativeland Asia (Creative); Cartwheel Creative Consultancy (Creative) unconfirmed</t>
  </si>
  <si>
    <t xml:space="preserve">Review signal plus leadership change in marketing (Jul 2026).; Creativeland lost senior leaders (Divya Agarwal exit Apr 2025); Marketing head Kedar Ravangave exited Jul 2026; Kotak acquiring Deutsche Bank's India retail, private banking and wealth business (Jul 2026): big new affluent brief.; Kotak content work now tagged to Creativeland Asia (2025), roster fragmented</t>
  </si>
  <si>
    <t xml:space="preserve">Storyboard18 critiqued Kotak's Air+ Credit Card campaign by Creativeland Asia.</t>
  </si>
  <si>
    <t xml:space="preserve">https://www.storyboard18.com/advertising/biz-breaks-major-account-moves-and-pitches-of-2024-51970.htm</t>
  </si>
  <si>
    <t xml:space="preserve">https://www.afaqs.com/news/advertising/how-kotak-is-banking-on-ai-driven-content-to-stay-ahead-of-the-curve-8893952</t>
  </si>
  <si>
    <t xml:space="preserve">McDonald's India (North &amp; East)</t>
  </si>
  <si>
    <t xml:space="preserve">Premium F&amp;B &amp; QSR</t>
  </si>
  <si>
    <t xml:space="preserve">Connaught Plaza Restaurants (CPRL)</t>
  </si>
  <si>
    <t xml:space="preserve">BBDO India (Creative, since 2026)</t>
  </si>
  <si>
    <t xml:space="preserve">Mudra (ex DDB Mudra, BBDO Group) (Integrated)</t>
  </si>
  <si>
    <t xml:space="preserve">Account newly transferred from DDB Mudra; BBDO India CEO Suraja Kishore exited Apr 2025; Jitender Dabas named BBDO Group CEO Feb 2026 as Mudra and Ulka folded in; Moved inside Omnicom to BBDO India after Mudra folded into BBDO Group</t>
  </si>
  <si>
    <t xml:space="preserve">BBDO India launched the McCafe 200-outlet campaign with Tara Sutaria for McDonald's N&amp;E in Aug 2026.</t>
  </si>
  <si>
    <t xml:space="preserve">https://campaignbriefasia.com/2026/08/06/bbdo-india-and-mcdonalds-india-launch-mccafe-campaign-as-network-expands-to-200-outlets/</t>
  </si>
  <si>
    <t xml:space="preserve">https://news.google.com/rss/search?q=%22DDB+Mudra%22+wins+OR+bags+OR+mandate&amp;hl=en-IN&amp;gl=IN&amp;ceid=IN:en</t>
  </si>
  <si>
    <t xml:space="preserve">Motilal Oswal Financial Services</t>
  </si>
  <si>
    <t xml:space="preserve">Motilal Oswal Group</t>
  </si>
  <si>
    <t xml:space="preserve">Tonic Worldwide (Creative) unconfirmed</t>
  </si>
  <si>
    <t xml:space="preserve">Group CMO Sandeep Walunj stepped down Nov 2025; new brand identity Feb 2025.</t>
  </si>
  <si>
    <t xml:space="preserve">Motilal Oswal's campaign warning against bad financial advice was conceptualised by Tonic Worldwide; its wealth arm also uses an in-house team.</t>
  </si>
  <si>
    <t xml:space="preserve">https://www.afaqs.com/news/advertising/motilal-oswal-financial-servicess-new-ad-warns-against-bad-financial-advice-9306490</t>
  </si>
  <si>
    <t xml:space="preserve">https://www.medianews4u.com/motilal-oswal-fss-new-campaign-shows-how-lack-of-expertise-can-challenge-seasoned-professionals/</t>
  </si>
  <si>
    <t xml:space="preserve">Razorpay</t>
  </si>
  <si>
    <t xml:space="preserve">New CMO 2026-05</t>
  </si>
  <si>
    <t xml:space="preserve">Razorpay elevated Apuarv Sethi to CMO.</t>
  </si>
  <si>
    <t xml:space="preserve">https://www.afaqs.com/people-spotting/razorpay-elevates-apuarv-sethi-to-cmo-11837471</t>
  </si>
  <si>
    <t xml:space="preserve">Standard Chartered India</t>
  </si>
  <si>
    <t xml:space="preserve">Standard Chartered</t>
  </si>
  <si>
    <t xml:space="preserve">New wealth and retail marketing head 2026-05; Premium banking; TBWA India merged into TBWA\Lintas Jan 2026; co-lead Prateek Bharadwaj reported exiting Feb 2026</t>
  </si>
  <si>
    <t xml:space="preserve">Shanu Singh rejoined Standard Chartered as head of marketing, WRB India.</t>
  </si>
  <si>
    <t xml:space="preserve">https://www.afaqs.com/people-spotting/shanu-singh-rejoins-standard-chartered-as-head-marketing-wrb-india-11805501</t>
  </si>
  <si>
    <t xml:space="preserve">Tata AIG General Insurance</t>
  </si>
  <si>
    <t xml:space="preserve">TBWA\Lintas (Creative, since 2025); TBWA\Lintas (ex Lintas Live) (PR, since 2021) unconfirmed; Social Panga (Social, since 2023) unconfirmed</t>
  </si>
  <si>
    <t xml:space="preserve">Social handled separately (Social Panga since 2023); TBWA India merged into TBWA\Lintas Jan 2026; co-lead Prateek Bharadwaj reported exiting Feb 2026; Lintas Live absorbed into TBWA\Lintas; Incumbent 3+ years; mandate may be due for review.</t>
  </si>
  <si>
    <t xml:space="preserve">TBWA India bagged Tata AIG's creative mandate in Feb 2025, weeks after new marketing head Shekhar Saurabh joined.</t>
  </si>
  <si>
    <t xml:space="preserve">https://www.medianews4u.com/lintas-live-bags-the-pr-mandate-for-tata-aig-general-insurance/</t>
  </si>
  <si>
    <t xml:space="preserve">https://www.medianews4u.com/social-panga-bags-social-media-mandate-for-tata-aig/</t>
  </si>
  <si>
    <t xml:space="preserve">Vistara</t>
  </si>
  <si>
    <t xml:space="preserve">Tata SIA Airlines</t>
  </si>
  <si>
    <t xml:space="preserve">Ogilvy India (Creative)</t>
  </si>
  <si>
    <t xml:space="preserve">Brand folded into Air India; relationship ended with the brand; No longer a standalone account; Air India premium economy and business products carry the Vistara legacy.</t>
  </si>
  <si>
    <t xml:space="preserve">Vistara merged into Air India on 12 Nov 2024; the brand was retired and marketing folded into Air India.</t>
  </si>
  <si>
    <t xml:space="preserve">2024-08</t>
  </si>
  <si>
    <t xml:space="preserve">https://www.medianews4u.com/vistara-assigns-its-creative-mandate-to-ogilvy-and-signs-maxus-as-media-partner/</t>
  </si>
  <si>
    <t xml:space="preserve">https://www.storyboard18.com/agency-news/vistara-bookings-to-stop-from-next-week-onwards-merger-with-air-india-from-12-nov-40965.htm</t>
  </si>
  <si>
    <t xml:space="preserve">Absolut</t>
  </si>
  <si>
    <t xml:space="preserve">Pernod Ricard India appointed a new lead for external communications in Jul 2026 (afaqs); undated logo.</t>
  </si>
  <si>
    <t xml:space="preserve">Absolut appears among Grapes Worldwide client logos.</t>
  </si>
  <si>
    <t xml:space="preserve">Bath &amp; Body Works India</t>
  </si>
  <si>
    <t xml:space="preserve">Apparel Group India</t>
  </si>
  <si>
    <t xml:space="preserve">Apparel Group expanding India portfolio</t>
  </si>
  <si>
    <t xml:space="preserve">No Bath &amp; Body Works India agency credit surfaced.</t>
  </si>
  <si>
    <t xml:space="preserve">Bioderma India</t>
  </si>
  <si>
    <t xml:space="preserve">NAOS</t>
  </si>
  <si>
    <t xml:space="preserve">PR Pundit Havas Red (PR, since 2022) unconfirmed</t>
  </si>
  <si>
    <t xml:space="preserve">Havas</t>
  </si>
  <si>
    <t xml:space="preserve">Four years since appointment; status unknown; Four years in; agency absorbed into Havas (Nov 2023) and rebranded Havas Red.</t>
  </si>
  <si>
    <t xml:space="preserve">Bioderma India appointed PR Pundit as communications partner.</t>
  </si>
  <si>
    <t xml:space="preserve">2022-09</t>
  </si>
  <si>
    <t xml:space="preserve">https://www.medianews4u.com/bioderma-india-appoints-pr-pundit-as-its-communications-partner/</t>
  </si>
  <si>
    <t xml:space="preserve">https://www.afaqs.com/news/advertising/bioderma-appoints-pr-pundit-as-its-communications-partner-in-india</t>
  </si>
  <si>
    <t xml:space="preserve">Bira 91</t>
  </si>
  <si>
    <t xml:space="preserve">B9 Beverages</t>
  </si>
  <si>
    <t xml:space="preserve">OMD India (Media, since 2019) unconfirmed</t>
  </si>
  <si>
    <t xml:space="preserve">Founder exit 2026-07 under creditor pressure; budgets uncertain; Press reports of financial stress in 2025; turnaround brief possible [unverified, check before outreach]</t>
  </si>
  <si>
    <t xml:space="preserve">Bira 91 founder Ankur Jain stepped down after a lender settlement; NCLT sent B9 Beverages to mediation.</t>
  </si>
  <si>
    <t xml:space="preserve">https://www.afaqs.com/people-spotting/bira-91-founder-ankur-jain-steps-down-after-lender-settlement-12187504</t>
  </si>
  <si>
    <t xml:space="preserve">https://www.medianews4u.com/bira-91-partners-with-omd-to-engage-beer-fans/</t>
  </si>
  <si>
    <t xml:space="preserve">Castrol India</t>
  </si>
  <si>
    <t xml:space="preserve">BP</t>
  </si>
  <si>
    <t xml:space="preserve">Schbang (Digital)</t>
  </si>
  <si>
    <t xml:space="preserve">Co-founder Akshay Gurnani exited Mar 2025; Bangalore head Sushant Vithaldas left May 2025.</t>
  </si>
  <si>
    <t xml:space="preserve">Social Samosa (Mar 2025) names Castrol among Schbang's major clients.</t>
  </si>
  <si>
    <t xml:space="preserve">https://www.socialsamosa.com/industry-updates/akshay-gurnani-exits-schbang-harshil-sohil-karia-full-control-8772881</t>
  </si>
  <si>
    <t xml:space="preserve">Classic Legends (Jawa, Yezdi, BSA)</t>
  </si>
  <si>
    <t xml:space="preserve">TBWA\Lintas (ex Lintas Live) (Integrated, since 2021) unconfirmed</t>
  </si>
  <si>
    <t xml:space="preserve">Lintas Live absorbed into TBWA\Lintas</t>
  </si>
  <si>
    <t xml:space="preserve">Lintas Live secured the full-service Classic Legends mandate.</t>
  </si>
  <si>
    <t xml:space="preserve">2021-10</t>
  </si>
  <si>
    <t xml:space="preserve">https://www.medianews4u.com/lintas-live-rides-away-with-the-classic-legends-mandate/</t>
  </si>
  <si>
    <t xml:space="preserve">Dove</t>
  </si>
  <si>
    <t xml:space="preserve">The Glitch (VML) (Social) unconfirmed</t>
  </si>
  <si>
    <t xml:space="preserve">The Glitch shows no trade press activity after Apr 2024 and theglitch.in no longer resolves; likely absorbed into VML</t>
  </si>
  <si>
    <t xml:space="preserve">The Glitch ran Dove's Apr 2024 'Pause, Reverse, and Play' influencer led hair mask launch.</t>
  </si>
  <si>
    <t xml:space="preserve">https://www.afaqs.com/news/advertising/dove-encourages-consumers-to-pause-reverse-and-play-for-healthier-hair</t>
  </si>
  <si>
    <t xml:space="preserve">Honda Cars India</t>
  </si>
  <si>
    <t xml:space="preserve">Honda Motor Co</t>
  </si>
  <si>
    <t xml:space="preserve">Burson India (PR, since 2025); Dentsu Creative India (Creative) unconfirmed</t>
  </si>
  <si>
    <t xml:space="preserve">PR only; creative and social sit elsewhere.; WPP hired Goldman Sachs in Apr 2026 to explore a sale of Burson; Japanese network alignment; no 2024-26 credits found</t>
  </si>
  <si>
    <t xml:space="preserve">Burson appointed strategic communications partner for Honda Cars India providing integrated communications support.</t>
  </si>
  <si>
    <t xml:space="preserve">https://www.afaqs.com/news/newbizwins/honda-cars-india-appoints-burson-as-strategic-communications-partner-9064438</t>
  </si>
  <si>
    <t xml:space="preserve">https://www.medianews4u.com/honda-cars-india-names-burson-as-strategic-communications-partner/</t>
  </si>
  <si>
    <t xml:space="preserve">Hyundai Motor India</t>
  </si>
  <si>
    <t xml:space="preserve">Hyundai Motor Company</t>
  </si>
  <si>
    <t xml:space="preserve">INNOCEAN India (Integrated)</t>
  </si>
  <si>
    <t xml:space="preserve">Other</t>
  </si>
  <si>
    <t xml:space="preserve">Captive agency, very hard to displace; opening only in niche content, luxury sub-brands or experiential.</t>
  </si>
  <si>
    <t xml:space="preserve">INNOCEAN's India business has long been synonymous with captive clients Hyundai and Kia; it also runs Hyundai's OOH empanelment.</t>
  </si>
  <si>
    <t xml:space="preserve">https://www.storyboard18.com/agency-news/non-auto-business-nears-one-third-of-innocean-india-revenue-target-50-in-three-years-111037.htm</t>
  </si>
  <si>
    <t xml:space="preserve">Indian Racing League and FIA F4 India</t>
  </si>
  <si>
    <t xml:space="preserve">Racing Promotions (RPPL)</t>
  </si>
  <si>
    <t xml:space="preserve">Interactive Avenues (Omnicom Media) (Social, since 2024) unconfirmed</t>
  </si>
  <si>
    <t xml:space="preserve">IPG Mediabrands folded into Omnicom Media; IA creative team integration under way</t>
  </si>
  <si>
    <t xml:space="preserve">Interactive Avenues selected to manage social media for RPPL's racing properties.</t>
  </si>
  <si>
    <t xml:space="preserve">https://www.afaqs.com/news/advertising/interactive-avenues-bags-social-media-mandate-for-rppl</t>
  </si>
  <si>
    <t xml:space="preserve">Jameson</t>
  </si>
  <si>
    <t xml:space="preserve">Jameson appears among Grapes Worldwide client logos.</t>
  </si>
  <si>
    <t xml:space="preserve">Johnson's Baby</t>
  </si>
  <si>
    <t xml:space="preserve">Kenvue</t>
  </si>
  <si>
    <t xml:space="preserve">McCann India (Creative)</t>
  </si>
  <si>
    <t xml:space="preserve">Kenvue being acquired by Kimberly-Clark (announced Nov 2025), roster review risk [unverified, check before outreach]</t>
  </si>
  <si>
    <t xml:space="preserve">McCann India conceptualised the 'Poshan Ka Pehla Sparsh' campaign.</t>
  </si>
  <si>
    <t xml:space="preserve">https://www.afaqs.com/news/advertising/johnsons-baby-launches-poshan-ka-pehla-sparsh-campaign-12062183</t>
  </si>
  <si>
    <t xml:space="preserve">Nykaa</t>
  </si>
  <si>
    <t xml:space="preserve">SW Network (Sociowash) (Content, since 2026)</t>
  </si>
  <si>
    <t xml:space="preserve">Campaign credit; retainer status unknown.; Zee copyright lawsuit over music (May 2026); talks for Deepika Padukone's 82E (Apr 2026); marketing spend up 29% in Q2 FY26</t>
  </si>
  <si>
    <t xml:space="preserve">SW Network created 'Hotel Wanderlust', a six-episode microdrama for Nykaa Wanderlust's fragrance launch.</t>
  </si>
  <si>
    <t xml:space="preserve">https://www.afaqs.com/news/branded-content/nykaa-wanderlust-enters-microdrama-space-with-hotel-wanderlust-12584987</t>
  </si>
  <si>
    <t xml:space="preserve">https://www.medianews4u.com/nykaas-new-at-nykaa-campaign-spotlights-latest-beauty-launches-through-playful-warehouse-heist/</t>
  </si>
  <si>
    <t xml:space="preserve">Puma India</t>
  </si>
  <si>
    <t xml:space="preserve">Puma</t>
  </si>
  <si>
    <t xml:space="preserve">Leo India (Creative) unconfirmed</t>
  </si>
  <si>
    <t xml:space="preserve">No 2024 to 2026 evidence of Leo on Puma; New MD Ramprasad Sridharan (Nov 2025); Head of Marketing Shreya Sachdev</t>
  </si>
  <si>
    <t xml:space="preserve">MediaNews4U tags Puma's Virat Kohli 'dive-and-post' campaign (Sep 2023) to Leo Burnett India.</t>
  </si>
  <si>
    <t xml:space="preserve">https://www.medianews4u.com/puma-owns-the-dive-invites-viewers-to-dive-and-post-to-play-alongside-virat-kohli/</t>
  </si>
  <si>
    <t xml:space="preserve">https://www.medianews4u.com/puma-india-brings-virat-kohli-rcb-stars-and-viral-fan-together-for-rcbeverywhere-campaign/</t>
  </si>
  <si>
    <t xml:space="preserve">Royal Enfield</t>
  </si>
  <si>
    <t xml:space="preserve">Strong in-house culture; Flying Flea EV launch in FY27 needs a new brand world.</t>
  </si>
  <si>
    <t xml:space="preserve">No agency credit found for Royal Enfield's 2025 to 2026 launches (Bullet 650, Flying Flea EV); EV chief Mario Alvisi stepped down Oct 2025.</t>
  </si>
  <si>
    <t xml:space="preserve">https://www.storyboard18.com/brand-makers/royal-enfields-ev-chief-mario-alvisi-steps-down-amid-strategic-shift-report-83207.htm</t>
  </si>
  <si>
    <t xml:space="preserve">Skechers India</t>
  </si>
  <si>
    <t xml:space="preserve">Skechers</t>
  </si>
  <si>
    <t xml:space="preserve">Cricket portfolio expansion</t>
  </si>
  <si>
    <t xml:space="preserve">Medianews4u Skechers results (incl. Suryakumar Yadav signing Apr 2026) name no agency.</t>
  </si>
  <si>
    <t xml:space="preserve">The Man Company</t>
  </si>
  <si>
    <t xml:space="preserve">Hashtag Orange (Digital)</t>
  </si>
  <si>
    <t xml:space="preserve">Gaurang Menon, Managing Partner and Creative Head West who built the Mumbai business, stepped down Sep 2026.</t>
  </si>
  <si>
    <t xml:space="preserve">The Man Company is named among Mumbai clients handled by departing Hashtag Orange MP Gaurang Menon.</t>
  </si>
  <si>
    <t xml:space="preserve">https://www.medianews4u.com/gaurang-menon-steps-down-from-hashtag-orange-after-building-mumbai-business/</t>
  </si>
  <si>
    <t xml:space="preserve">TVS Apache</t>
  </si>
  <si>
    <t xml:space="preserve">TVS Motor Company</t>
  </si>
  <si>
    <t xml:space="preserve">TVS named new CEO Aug 2026 and moved media from Madison to Dentsu Aug 2026; marketing executive Ananya Agrawal left Jul 2025</t>
  </si>
  <si>
    <t xml:space="preserve">TBWA\Lintas made the 20-year 'Tu Race Laga' Apache campaign (Jul 2026) under TVS's Nov 2024 premium-brand consolidation with TBWA India.</t>
  </si>
  <si>
    <t xml:space="preserve">https://www.afaqs.com/news/advertising/tvs-apache-launches-tu-race-laga-campaign-12152297</t>
  </si>
  <si>
    <t xml:space="preserve">Unhype</t>
  </si>
  <si>
    <t xml:space="preserve">Vijay Deverakonda</t>
  </si>
  <si>
    <t xml:space="preserve">New brand launch 2026-09; roster not announced</t>
  </si>
  <si>
    <t xml:space="preserve">Actor Vijay Deverakonda entered skincare with new brand Unhype.</t>
  </si>
  <si>
    <t xml:space="preserve">https://www.storyboard18.com/brand-makers/vijay-deverakonda-launches-skincare-brand-unhype-ws-l-110493.htm</t>
  </si>
  <si>
    <t xml:space="preserve">Aukera</t>
  </si>
  <si>
    <t xml:space="preserve">Aukera Jewellery</t>
  </si>
  <si>
    <t xml:space="preserve">No Aukera agency credit surfaced in lab-grown and jewellery-mandate sweeps.</t>
  </si>
  <si>
    <t xml:space="preserve">Birla Estates</t>
  </si>
  <si>
    <t xml:space="preserve">Aditya Birla Real Estate</t>
  </si>
  <si>
    <t xml:space="preserve">The Script Room (Creative, since 2024) unconfirmed; McCann India (Creative, since 2025) unconfirmed; BC Web Wise (Digital) unconfirmed</t>
  </si>
  <si>
    <t xml:space="preserve">Split roster</t>
  </si>
  <si>
    <t xml:space="preserve">Real Advice returned as a multi-format education platform (Jan 2026) without named agency; split roster.; Project-based credits across agencies; 2026 Gujarat Titans and Real Advice 2.0 campaigns uncredited.; Undated logo wall; verify India scope and current status.</t>
  </si>
  <si>
    <t xml:space="preserve">Birla Estates appears among BC Web Wise client logos.</t>
  </si>
  <si>
    <t xml:space="preserve">https://www.afaqs.com/news/advertising/vicky-kaushal-stars-in-birla-estates-real-advise-campaign</t>
  </si>
  <si>
    <t xml:space="preserve">https://www.afaqs.com/news/advertising/birla-estates-launches-storiespersqft-t20-campaign-with-rcb-players-8924426</t>
  </si>
  <si>
    <t xml:space="preserve">Bombay Shirt Company</t>
  </si>
  <si>
    <t xml:space="preserve">No agency credit surfaced in fashion-mandate sweeps.</t>
  </si>
  <si>
    <t xml:space="preserve">Candere</t>
  </si>
  <si>
    <t xml:space="preserve">Kalyan Jewellers</t>
  </si>
  <si>
    <t xml:space="preserve">New ambassador; Kalyan-owned so Mask360's Kalyan relationship is a warm route</t>
  </si>
  <si>
    <t xml:space="preserve">Candere signed Smriti Mandhana as ambassador (Jun 2026); no agency named.</t>
  </si>
  <si>
    <t xml:space="preserve">https://www.socialsamosa.com/industry-updates/candere-smriti-mandhana-brand-ambassador-12116181</t>
  </si>
  <si>
    <t xml:space="preserve">Chumbak</t>
  </si>
  <si>
    <t xml:space="preserve">Chumbak Design</t>
  </si>
  <si>
    <t xml:space="preserve">Da Milano</t>
  </si>
  <si>
    <t xml:space="preserve">Premium leather with little visible marketing</t>
  </si>
  <si>
    <t xml:space="preserve">Delhi Times Fashion Week</t>
  </si>
  <si>
    <t xml:space="preserve">Bennett, Coleman &amp; Co (Times Group)</t>
  </si>
  <si>
    <t xml:space="preserve">Prius Communications (PR, since 2020)</t>
  </si>
  <si>
    <t xml:space="preserve">Incumbent 7 years; event-cycle renewals.</t>
  </si>
  <si>
    <t xml:space="preserve">Prius led PR, digital PR, influencer and VVIP engagement for Delhi Times Fashion Week 2026, its seventh consecutive year.</t>
  </si>
  <si>
    <t xml:space="preserve">https://www.medianews4u.com/prius-communications-leads-pr-and-digital-mandate-for-delhi-times-fashion-week-2026-for-seventh-consecutive-year/</t>
  </si>
  <si>
    <t xml:space="preserve">FabIndia</t>
  </si>
  <si>
    <t xml:space="preserve">Fabindia Ltd</t>
  </si>
  <si>
    <t xml:space="preserve">TBWA\Lintas (Creative, since 2018) unconfirmed; 80dB Communications (PR, since 2019) unconfirmed</t>
  </si>
  <si>
    <t xml:space="preserve">Eight-year-old mandate; seasonal films now appear in-house; Stale PR roster</t>
  </si>
  <si>
    <t xml:space="preserve">FabIndia appointed 80dB Mavericks as PR consultancy (Feb 2019).</t>
  </si>
  <si>
    <t xml:space="preserve">2019-02</t>
  </si>
  <si>
    <t xml:space="preserve">https://www.medianews4u.com/lowe-lintas-wins-creative-mandate-for-fabindia/</t>
  </si>
  <si>
    <t xml:space="preserve">https://www.medianews4u.com/fabindia-appoints-80-db-mavericks-pr-consultancy/</t>
  </si>
  <si>
    <t xml:space="preserve">FILA India</t>
  </si>
  <si>
    <t xml:space="preserve">SW Network (Sociowash) (Digital, since 2025); SW Network (Sociowash) (Creative, since 2025)</t>
  </si>
  <si>
    <t xml:space="preserve">Foot Locker split: Scribbld holds digital and social (Sep 2025).</t>
  </si>
  <si>
    <t xml:space="preserve">SW Network won FILA's digital creative mandate from Metro Brands.</t>
  </si>
  <si>
    <t xml:space="preserve">https://www.afaqs.com/news/newbizwins/sw-network-wins-fila-and-foot-locker-mandates-from-metro-brands-10812995</t>
  </si>
  <si>
    <t xml:space="preserve">https://www.medianews4u.com/sw-network-bags-creative-mandate-for-fila-and-foot-locker-from-metro-brands/</t>
  </si>
  <si>
    <t xml:space="preserve">Fiona Diamonds</t>
  </si>
  <si>
    <t xml:space="preserve">No Fiona agency credit surfaced in lab-grown and jewellery-mandate sweeps.</t>
  </si>
  <si>
    <t xml:space="preserve">Forever New India</t>
  </si>
  <si>
    <t xml:space="preserve">Forever New</t>
  </si>
  <si>
    <t xml:space="preserve">New country director 2026-02</t>
  </si>
  <si>
    <t xml:space="preserve">Forever New appointed Shifali Singh as country director for India.</t>
  </si>
  <si>
    <t xml:space="preserve">https://www.afaqs.com/people-spotting/forever-new-appoints-shifali-singh-as-country-director-india-11111573</t>
  </si>
  <si>
    <t xml:space="preserve">GIVA</t>
  </si>
  <si>
    <t xml:space="preserve">Ad pulled after social backlash Aug 2026; 300+ stores; heavy celebrity spend; well funded</t>
  </si>
  <si>
    <t xml:space="preserve">GIVA's Kriti Sanon campaigns (May to Aug 2026) name no agency; the Rakhi ad was withdrawn after backlash.</t>
  </si>
  <si>
    <t xml:space="preserve">https://www.socialsamosa.com/industry-updates/giva-pulls-raksha-bandhan-ad-featuring-kriti-sanon-after-social-media-backlash-12436871</t>
  </si>
  <si>
    <t xml:space="preserve">H&amp;M India</t>
  </si>
  <si>
    <t xml:space="preserve">H&amp;M Hennes &amp; Mauritz Retail</t>
  </si>
  <si>
    <t xml:space="preserve">Global creative; local PR and influencer briefs possible</t>
  </si>
  <si>
    <t xml:space="preserve">No H&amp;M India agency credit surfaced in fashion-mandate sweeps.</t>
  </si>
  <si>
    <t xml:space="preserve">Helios by Titan</t>
  </si>
  <si>
    <t xml:space="preserve">Savvytree (Social, since 2022)</t>
  </si>
  <si>
    <t xml:space="preserve">Renewal due</t>
  </si>
  <si>
    <t xml:space="preserve">Annual renewal cycle; multi-brand luxury watch retail</t>
  </si>
  <si>
    <t xml:space="preserve">Savvytree renewed Helios by Titan's social media mandate for a third year (Apr 2024).</t>
  </si>
  <si>
    <t xml:space="preserve">https://www.medianews4u.com/savvytree-renews-helios-by-titans-social-media-mandate-for-3rd-year/</t>
  </si>
  <si>
    <t xml:space="preserve">Hero Realty</t>
  </si>
  <si>
    <t xml:space="preserve">Hero Enterprise</t>
  </si>
  <si>
    <t xml:space="preserve">CMO seat vacant or new; campaign-active brand.</t>
  </si>
  <si>
    <t xml:space="preserve">Hero Realty's CMO Karan Kumar moved on in Jul 2026 after its 'Building What Matters' campaign.</t>
  </si>
  <si>
    <t xml:space="preserve">https://www.afaqs.com/people-spotting/hero-realty-cmo-karan-kumar-moves-on-12211162</t>
  </si>
  <si>
    <t xml:space="preserve">Hidesign</t>
  </si>
  <si>
    <t xml:space="preserve">Heritage premium leather, no visible agency</t>
  </si>
  <si>
    <t xml:space="preserve">Medianews4u search for Hidesign returned no results.</t>
  </si>
  <si>
    <t xml:space="preserve">Jewelbox</t>
  </si>
  <si>
    <t xml:space="preserve">VC-funded lab-grown D2C</t>
  </si>
  <si>
    <t xml:space="preserve">No Jewelbox agency credit surfaced in lab-grown and jewellery-mandate sweeps.</t>
  </si>
  <si>
    <t xml:space="preserve">Kickers</t>
  </si>
  <si>
    <t xml:space="preserve">Kickers India</t>
  </si>
  <si>
    <t xml:space="preserve">Team Pumpkin (Digital, since 2025)</t>
  </si>
  <si>
    <t xml:space="preserve">Launch-phase mandate.</t>
  </si>
  <si>
    <t xml:space="preserve">Kickers partnered with Team Pumpkin to build its digital presence in India.</t>
  </si>
  <si>
    <t xml:space="preserve">https://www.medianews4u.com/kickers-partners-with-team-pumpkin-to-build-digital-presence-in-india/</t>
  </si>
  <si>
    <t xml:space="preserve">https://www.afaqs.com/news/newbizwins/kickers-appoints-team-pumpkin-as-digital-marketing-agency-for-india-launch-9359511</t>
  </si>
  <si>
    <t xml:space="preserve">Melorra</t>
  </si>
  <si>
    <t xml:space="preserve">DNA Entertainment Networks (Experiential, since 2023) unconfirmed</t>
  </si>
  <si>
    <t xml:space="preserve">One-off launch credit; no retained experiential partner visible.</t>
  </si>
  <si>
    <t xml:space="preserve">DNA lists a Melorra flagship store launch among its corporate events (2023).</t>
  </si>
  <si>
    <t xml:space="preserve">https://dnanetworks.com/our-work/corporate-events/</t>
  </si>
  <si>
    <t xml:space="preserve">Nicobar</t>
  </si>
  <si>
    <t xml:space="preserve">Good Earth group</t>
  </si>
  <si>
    <t xml:space="preserve">Design-led, in-house; boutique fit</t>
  </si>
  <si>
    <t xml:space="preserve">No Nicobar agency credit surfaced in fashion-mandate sweeps.</t>
  </si>
  <si>
    <t xml:space="preserve">ORRA</t>
  </si>
  <si>
    <t xml:space="preserve">Orra Fine Jewellery</t>
  </si>
  <si>
    <t xml:space="preserve">PR Pundit Havas Red (PR, since 2020) unconfirmed; Crosshairs Communication (PR) unconfirmed</t>
  </si>
  <si>
    <t xml:space="preserve">Havas, Independent</t>
  </si>
  <si>
    <t xml:space="preserve">Six-year-old PR mandate; likely fatigue or already moved; Undated client list that also carries legacy names; verify current status.</t>
  </si>
  <si>
    <t xml:space="preserve">Orra listed under jewellery on Crosshairs client page.</t>
  </si>
  <si>
    <t xml:space="preserve">https://www.medianews4u.com/orra-diamond-jewellery-has-appointed-pr-pundit-as-its-communication-partners-in-india/</t>
  </si>
  <si>
    <t xml:space="preserve">PC Jeweller</t>
  </si>
  <si>
    <t xml:space="preserve">PC Jeweller Ltd</t>
  </si>
  <si>
    <t xml:space="preserve">Financial turnaround story; low visible marketing</t>
  </si>
  <si>
    <t xml:space="preserve">No PC Jeweller agency credit surfaced in medianews4u jewellery-mandate sweeps.</t>
  </si>
  <si>
    <t xml:space="preserve">Raymond Realty</t>
  </si>
  <si>
    <t xml:space="preserve">Raymond Group</t>
  </si>
  <si>
    <t xml:space="preserve">New cluster marketing head 2026-07; 7th joint development in Mumbai (Mar 2026) plus new marketing hire.</t>
  </si>
  <si>
    <t xml:space="preserve">Raymond Realty appointed Karishma Mehta as cluster head of marketing.</t>
  </si>
  <si>
    <t xml:space="preserve">https://www.afaqs.com/people-spotting/raymond-realty-appoints-karishma-mehta-as-cluster-head-marketing-12204838</t>
  </si>
  <si>
    <t xml:space="preserve">Reliance Jewels</t>
  </si>
  <si>
    <t xml:space="preserve">White Rivers Media (Content, since 2023) unconfirmed; Scarecrow M&amp;C Saatchi (Creative) unconfirmed; White Rivers Media (Digital) unconfirmed</t>
  </si>
  <si>
    <t xml:space="preserve">Project-based collection films; no retained mandate evident.; No Reliance Jewels work seen from Scarecrow after 2024, possible fatigue; Undated logo wall; verify India scope and current status.; Reliance retail scale; roster unclear</t>
  </si>
  <si>
    <t xml:space="preserve">Reliance Jewels appears in White Rivers Media client roster.</t>
  </si>
  <si>
    <t xml:space="preserve">https://www.medianews4u.com/white-rivers-media-wins-25-business-accounts-in-2023s-q4/</t>
  </si>
  <si>
    <t xml:space="preserve">https://www.afaqs.com/news/advertising/reliance-jewels-unveils-vindhya-collection-for-akshaya-tritiya</t>
  </si>
  <si>
    <t xml:space="preserve">Sattva Group</t>
  </si>
  <si>
    <t xml:space="preserve">Active corporate brand building with modest spends and in-house leaning; content partner opportunity.</t>
  </si>
  <si>
    <t xml:space="preserve">Sattva's 2026 brand films (AI ad, community film, Sima Taparia festive film) credited no agency; VP Marketing Piali Dasgupta oversees creative.</t>
  </si>
  <si>
    <t xml:space="preserve">https://www.campaignindia.in/article/sattva-group-launches-festive-brand-campaign-featuring-sima-taparia/43d1w83x5p5wfxzgdj8fyeqf5f</t>
  </si>
  <si>
    <t xml:space="preserve">Senco Gold &amp; Diamonds</t>
  </si>
  <si>
    <t xml:space="preserve">Senco Gold Ltd</t>
  </si>
  <si>
    <t xml:space="preserve">Actimedia PR (PR, since 2025); Garage Worldwide (Creative)</t>
  </si>
  <si>
    <t xml:space="preserve">Split roster; listed company; new sub-brand Ti22 by Aham (Aug 2026); Kiara Advani campaign; Several 2025 to 2026 Senco films uncredited</t>
  </si>
  <si>
    <t xml:space="preserve">Senco Gold &amp; Diamonds appointed Actimedia PR &amp; Digital as official PR partner (Sep 2025).</t>
  </si>
  <si>
    <t xml:space="preserve">https://www.medianews4u.com/senco-gold-diamonds-appoints-actimedia-pr-digital-as-official-pr-partner/</t>
  </si>
  <si>
    <t xml:space="preserve">https://www.medianews4u.com/senco-gold-diamonds-launches-aapkashukriya-campaign-honouring-artisan-craftsmanship/</t>
  </si>
  <si>
    <t xml:space="preserve">Shaya by CaratLane</t>
  </si>
  <si>
    <t xml:space="preserve">New ambassador and sub-brand push, fresh brief likely</t>
  </si>
  <si>
    <t xml:space="preserve">Shaya signed Shreya Ghoshal as brand ambassador in Sep 2026; no creative, social or PR agency named.</t>
  </si>
  <si>
    <t xml:space="preserve">https://www.socialsamosa.com/industry-updates/caratlane-shaya-shreya-ghoshal-brand-ambassador-12575545</t>
  </si>
  <si>
    <t xml:space="preserve">Shoppers Stop</t>
  </si>
  <si>
    <t xml:space="preserve">Shoppers Stop (K Raheja Corp)</t>
  </si>
  <si>
    <t xml:space="preserve">Contract Advertising (VML) (Creative, since 2019) unconfirmed; Ulka (BBDO Group) (Creative, since 2023) unconfirmed; Makani Creatives (Creative) unconfirmed</t>
  </si>
  <si>
    <t xml:space="preserve">Long association, no recent credit visible; Ulka moved into BBDO Group; new group CEO Jitender Dabas from Feb 2026</t>
  </si>
  <si>
    <t xml:space="preserve">FCB Ulka won the creative mandate for Shoppers Stop.</t>
  </si>
  <si>
    <t xml:space="preserve">2024-03</t>
  </si>
  <si>
    <t xml:space="preserve">https://campaignbriefasia.com/2022/05/10/contract-advertising-india-explores-the-changing-narrative-of-mothers-via-shoppers-stop-campaign/</t>
  </si>
  <si>
    <t xml:space="preserve">https://www.medianews4u.com/fcb-ulka-wins-the-creative-mandate-for-shoppers-stop/</t>
  </si>
  <si>
    <t xml:space="preserve">Smartworld Developers</t>
  </si>
  <si>
    <t xml:space="preserve">Fast-growing Gurugram developer; open field.</t>
  </si>
  <si>
    <t xml:space="preserve">The Fern Hotels &amp; Resorts</t>
  </si>
  <si>
    <t xml:space="preserve">Concept Hospitality</t>
  </si>
  <si>
    <t xml:space="preserve">Monks Interactive (PR, since 2024)</t>
  </si>
  <si>
    <t xml:space="preserve">2.5 years in.</t>
  </si>
  <si>
    <t xml:space="preserve">The Fern Hotels &amp; Resorts engaged Monks Interactive for national PR.</t>
  </si>
  <si>
    <t xml:space="preserve">https://www.medianews4u.com/monks-interactive-wins-the-pr-mandate-of-the-fern-hotels-resorts/</t>
  </si>
  <si>
    <t xml:space="preserve">Titan licensed watches (Kenneth Cole, Tommy Hilfiger)</t>
  </si>
  <si>
    <t xml:space="preserve">SW Network (Sociowash) (Social, since 2024); SW Network (Sociowash) (Digital, since 2024) unconfirmed</t>
  </si>
  <si>
    <t xml:space="preserve">Mandate now 2.5 years old; Collection-led mandate from Jan 2024; nearly 3 years old, likely up for renewal.</t>
  </si>
  <si>
    <t xml:space="preserve">Sociowash won the mandate for Titan's licensed watch brands Kenneth Cole New York and Tommy Hilfiger (Jan 2024).</t>
  </si>
  <si>
    <t xml:space="preserve">https://www.medianews4u.com/sociowash-wins-mandate-of-titans-licensed-watch-brands-kenneth-cole-new-york-and-tommy-hilfiger/</t>
  </si>
  <si>
    <t xml:space="preserve">Tribhovandas Bhimji Zaveri (TBZ)</t>
  </si>
  <si>
    <t xml:space="preserve">Tribhovandas Bhimji Zaveri Ltd</t>
  </si>
  <si>
    <t xml:space="preserve">Heritage bridal brand with no visible agency</t>
  </si>
  <si>
    <t xml:space="preserve">No TBZ agency credit surfaced in medianews4u jewellery-mandate sweeps.</t>
  </si>
  <si>
    <t xml:space="preserve">Turkiye Tourism</t>
  </si>
  <si>
    <t xml:space="preserve">Turkiye Tourism Promotion and Development Agency</t>
  </si>
  <si>
    <t xml:space="preserve">Confiance Communications (PR)</t>
  </si>
  <si>
    <t xml:space="preserve">Incumbent five terms; annual renewal cycle.</t>
  </si>
  <si>
    <t xml:space="preserve">Turkiye Tourism renewed its India PR mandate with Confiance Communications.</t>
  </si>
  <si>
    <t xml:space="preserve">https://www.afaqs.com/news/newbizwins/türkiye-tourism-renews-india-pr-mandate-with-confiance-communications-11076007</t>
  </si>
  <si>
    <t xml:space="preserve">https://www.medianews4u.com/confiance-communications-bags-india-pr-mandate-for-turkiye-tourism-for-fifth-consecutive-term/</t>
  </si>
  <si>
    <t xml:space="preserve">Van Heusen</t>
  </si>
  <si>
    <t xml:space="preserve">New sub-brands (VH Evening); Taapsee Pannu womenswear ambassador</t>
  </si>
  <si>
    <t xml:space="preserve">Van Heusen's VH Evening 'Frame' campaign (Dec 2024) names no agency.</t>
  </si>
  <si>
    <t xml:space="preserve">2024-12</t>
  </si>
  <si>
    <t xml:space="preserve">https://www.medianews4u.com/van-heusen-looking-to-push-creative-boundaries-with-a-new-campaign-frame-to-redefine-new-eveningwear-sub-brand-vh-evening/</t>
  </si>
  <si>
    <t xml:space="preserve">Westside</t>
  </si>
  <si>
    <t xml:space="preserve">Trent (Tata Group)</t>
  </si>
  <si>
    <t xml:space="preserve">Oktobuzz (Digital, since 2022) unconfirmed; Ethinos (Digital) unconfirmed</t>
  </si>
  <si>
    <t xml:space="preserve">Mandate ~4 years old; Trent expanding fast</t>
  </si>
  <si>
    <t xml:space="preserve">Oktobuzz won Westside's digital marketing mandate (Nov 2022).</t>
  </si>
  <si>
    <t xml:space="preserve">https://www.medianews4u.com/oktobuzz-wins-digital-marketing-mandate-of-westside/</t>
  </si>
  <si>
    <t xml:space="preserve">https://www.ethinos.com/</t>
  </si>
  <si>
    <t xml:space="preserve">Zara India</t>
  </si>
  <si>
    <t xml:space="preserve">Inditex Trent Retail India</t>
  </si>
  <si>
    <t xml:space="preserve">Low local agency need; PR or events only</t>
  </si>
  <si>
    <t xml:space="preserve">No local agency credit found; Zara runs global creative centrally.</t>
  </si>
  <si>
    <t xml:space="preserve">Bewakoof</t>
  </si>
  <si>
    <t xml:space="preserve">Mass</t>
  </si>
  <si>
    <t xml:space="preserve">Bewakoof Brands</t>
  </si>
  <si>
    <t xml:space="preserve">DDB brand retired Jan 2026 and DDB Mudra split across McCann, BBDO Group (Mudra) and TBWA\Lintas; destination of this account not announced</t>
  </si>
  <si>
    <t xml:space="preserve">Bewakoof is listed among DDB Mudra Group clients on The Work 2025 hot list.</t>
  </si>
  <si>
    <t xml:space="preserve">https://campaignbriefasia.com/2025/09/05/the-work-2025-hot-list-2-ddb-mudra-group-india/</t>
  </si>
  <si>
    <t xml:space="preserve">Dixcy Scott</t>
  </si>
  <si>
    <t xml:space="preserve">Dixcy Textiles</t>
  </si>
  <si>
    <t xml:space="preserve">TBWA\Lintas (Creative, since 2021)</t>
  </si>
  <si>
    <t xml:space="preserve">Incumbent since 2021; TBWA India merged into TBWA\Lintas Jan 2026; co-lead Prateek Bharadwaj reported exiting Feb 2026</t>
  </si>
  <si>
    <t xml:space="preserve">TBWA India's Dixcy Scott campaign with Mohammed Siraj and Ravi Shastri ran in May 2024.</t>
  </si>
  <si>
    <t xml:space="preserve">2024-05</t>
  </si>
  <si>
    <t xml:space="preserve">https://www.afaqs.com/news/advertising/mohammed-siraj-and-ravi-shastri-groove-to-oo-antava-song-in-dixcy-scotts-latest-campaign</t>
  </si>
  <si>
    <t xml:space="preserve">hansgrohe and AXOR</t>
  </si>
  <si>
    <t xml:space="preserve">Hansgrohe SE</t>
  </si>
  <si>
    <t xml:space="preserve">Four-plus years since appointment; agency acquired by Havas in Nov 2023</t>
  </si>
  <si>
    <t xml:space="preserve">Hansgrohe India hired PR Pundit as strategic communications partner for hansgrohe and AXOR.</t>
  </si>
  <si>
    <t xml:space="preserve">https://www.medianews4u.com/hansgrohe-india-assigns-its-pr-duties-to-pr-pundit/</t>
  </si>
  <si>
    <t xml:space="preserve">American Express India</t>
  </si>
  <si>
    <t xml:space="preserve">American Express</t>
  </si>
  <si>
    <t xml:space="preserve">Premium cards (Platinum, Centurion) run on global creative; India experiential and lifestyle content likely project-based.</t>
  </si>
  <si>
    <t xml:space="preserve">ASK Private Wealth</t>
  </si>
  <si>
    <t xml:space="preserve">ASK Group (Blackstone)</t>
  </si>
  <si>
    <t xml:space="preserve">Private wealth brand with minimal public marketing; bespoke content fit.</t>
  </si>
  <si>
    <t xml:space="preserve">Axis Bank Burgundy (private banking)</t>
  </si>
  <si>
    <t xml:space="preserve">Wealth sub-brand without a visible specialist; HNI content and events suit a luxury agency.</t>
  </si>
  <si>
    <t xml:space="preserve">No agency credit found for Burgundy or Burgundy Private in 2024 to 2026 trade press; Axis mass campaigns go to Curativity and TBWA Lintas.</t>
  </si>
  <si>
    <t xml:space="preserve">Haagen-Dazs India</t>
  </si>
  <si>
    <t xml:space="preserve">General Mills</t>
  </si>
  <si>
    <t xml:space="preserve">Medianews4u search for Haagen-Dazs found no India agency credit.</t>
  </si>
  <si>
    <t xml:space="preserve">Nuvama Wealth</t>
  </si>
  <si>
    <t xml:space="preserve">Nuvama Group</t>
  </si>
  <si>
    <t xml:space="preserve">Investing in brand visibility without visible creative agency.</t>
  </si>
  <si>
    <t xml:space="preserve">No agency credit found; Nuvama signed a year-long brand visibility partnership with Network18 (Jun 2025).</t>
  </si>
  <si>
    <t xml:space="preserve">https://www.afaqs.com/news/media/network18-partners-with-nuvama-group-9348775</t>
  </si>
  <si>
    <t xml:space="preserve">Audi India</t>
  </si>
  <si>
    <t xml:space="preserve">Audi AG (Volkswagen Group)</t>
  </si>
  <si>
    <t xml:space="preserve">Wondrlab (Integrated, since 2026); Saatchi &amp; Saatchi India (Integrated, since 2021) unconfirmed</t>
  </si>
  <si>
    <t xml:space="preserve">Saatchi &amp; Saatchi India (Creative); SoCheers (Social)</t>
  </si>
  <si>
    <t xml:space="preserve">Leadership change, Incumbent turmoil, Just moved (honeymoon)</t>
  </si>
  <si>
    <t xml:space="preserve">Freshly awarded, low near-term; watch for PR, experiential and luxury lifestyle content gaps.; Account moved 2026-03 after multi-agency pitch; head of marketing and PR Gaurav Sinha; Luxury auto account that just went through a pitch, Audi reviews periodically; BMW moved to Contract in Jan 2026, category in flux; Fresh pitch winner, unlikely to move before 2027; watch for experiential and PR gaps.; Account moved in Mar 2026 pitch; PR and luxury experiential partners not named.; Brand work went to Wondrlab Mar 2026; dealer and retail work exposed; Moved to Wondrlab (platform first: digital, social, content); earlier creative sat with BBH India (2020); Five-year-old retail mandate; Wondrlab platform-first win in Mar 2026 may have absorbed it.; Audi consolidated brand comms with Wondrlab (Mar 2026).</t>
  </si>
  <si>
    <t xml:space="preserve">Wondrlab appointed Audi India's brand communication partner after a multi-agency pitch; later created the quattro campaign.</t>
  </si>
  <si>
    <t xml:space="preserve">https://www.afaqs.com/news/newbizwins/audi-india-appoints-wondrlab-as-brand-communication-partner-11216364</t>
  </si>
  <si>
    <t xml:space="preserve">https://www.medianews4u.com/lk-saatchi-saatchi-wins-retail-communications-mandate-of-audi-india/</t>
  </si>
  <si>
    <t xml:space="preserve">Big Boy Toyz</t>
  </si>
  <si>
    <t xml:space="preserve">Crosshairs Communication (Experiential, since 2022) unconfirmed</t>
  </si>
  <si>
    <t xml:space="preserve">Project credit from 2022; luxury pre-owned car retailer with no named current agency.</t>
  </si>
  <si>
    <t xml:space="preserve">Crosshairs case study: organised Big Boy Toyz Queen's Drive Club, India's first women supercar drive, with 80+ media features.</t>
  </si>
  <si>
    <t xml:space="preserve">Chandon</t>
  </si>
  <si>
    <t xml:space="preserve">Moet Hennessy India</t>
  </si>
  <si>
    <t xml:space="preserve">SoCheers (Social) unconfirmed</t>
  </si>
  <si>
    <t xml:space="preserve">Luxury alcobev on a generalist agency roster; scope and tenure unverified.</t>
  </si>
  <si>
    <t xml:space="preserve">Chandon's logo appears in SoCheers' client wall; no case study or date shown.</t>
  </si>
  <si>
    <t xml:space="preserve">https://socheers.in/</t>
  </si>
  <si>
    <t xml:space="preserve">DeVANS (Godfather, Six Fields, GianChand)</t>
  </si>
  <si>
    <t xml:space="preserve">DeVANS Modern Breweries</t>
  </si>
  <si>
    <t xml:space="preserve">Social Panga (Social, since 2026); Social Panga (Digital, since 2026); INNOCEAN India (Social, since 2026); INNOCEAN India (Digital, since 2026); Toaster India (Social, since 2025)</t>
  </si>
  <si>
    <t xml:space="preserve">Independent, Other</t>
  </si>
  <si>
    <t xml:space="preserve">Leadership change, Incumbent turmoil, Split roster, Just moved (honeymoon)</t>
  </si>
  <si>
    <t xml:space="preserve">Won 2026-08; SVP marketing Monalisa Mandal is building a new agency roster across the portfolio; Godfather social moved from Toaster INSEA within 9 months; DeVANS churns agencies.; New Indian single malt entrant; DeVANS splits brands across agencies (Social Panga holds beer and gin); PR and experiential open.; Appointed 2026-09 with no pitch disclosed; PR, film and experiential not assigned in sources; DeVANS gave a separate digital mandate for its beer and gin brands to Social Panga in Aug 2026, split roster; Social Panga took DeVANS digital incl. Godfather in Aug 2026; likely displaced.</t>
  </si>
  <si>
    <t xml:space="preserve">INNOCEAN India won the digital and social media mandate for GianChand Single Malt (Sep 2026).</t>
  </si>
  <si>
    <t xml:space="preserve">https://www.afaqs.com/news/newbizwins/toaster-insea-wins-social-mandate-for-godfather-beer-10788216</t>
  </si>
  <si>
    <t xml:space="preserve">https://www.afaqs.com/news/newbizwins/social-panga-wins-digital-mandate-for-devans-beer-gin-brands-12426681</t>
  </si>
  <si>
    <t xml:space="preserve">Estee Lauder India (Estee Lauder, MAC, Clinique)</t>
  </si>
  <si>
    <t xml:space="preserve">The Estee Lauder Companies</t>
  </si>
  <si>
    <t xml:space="preserve">Undated logo wall; verify India scope and current status.; Local India campaigns growing; global creative with local social and influencer needs</t>
  </si>
  <si>
    <t xml:space="preserve">Estee Lauder appears among Grapes Worldwide client logos.</t>
  </si>
  <si>
    <t xml:space="preserve">https://www.medianews4u.com/estee-lauder-launches-india-campaign-for-advanced-night-repair-spotlights-nighttime-skin-recovery/</t>
  </si>
  <si>
    <t xml:space="preserve">Forest Essentials</t>
  </si>
  <si>
    <t xml:space="preserve">Forest Essentials (Estee Lauder minority stake)</t>
  </si>
  <si>
    <t xml:space="preserve">Talented (Creative); Hashtag Orange (Digital)</t>
  </si>
  <si>
    <t xml:space="preserve">New Head of Retail Marketing Nupur Sarda (Nov 2025); year-long activations need experiential and social partners; Luxury Ayurveda brand serviced by a generalist digital shop; scope unclear.</t>
  </si>
  <si>
    <t xml:space="preserve">afaqs Frankfinn story lists Forest Essentials among Hashtag Orange's clients.</t>
  </si>
  <si>
    <t xml:space="preserve">https://www.medianews4u.com/forest-essentials-launches-take-your-time-campaign-celebrating-slow-beauty-and-rituals/</t>
  </si>
  <si>
    <t xml:space="preserve">https://www.afaqs.com/news/newbizwins/hashtag-orange-bags-marketing-mandate-for-frankfinn-12505549</t>
  </si>
  <si>
    <t xml:space="preserve">Glenmorangie</t>
  </si>
  <si>
    <t xml:space="preserve">Luxury single malt on a generalist agency roster; scope and tenure unverified.</t>
  </si>
  <si>
    <t xml:space="preserve">Glenmorangie's logo appears in SoCheers' client wall; no case study or date shown.</t>
  </si>
  <si>
    <t xml:space="preserve">Jaguar Land Rover India</t>
  </si>
  <si>
    <t xml:space="preserve">Tata Motors (JLR)</t>
  </si>
  <si>
    <t xml:space="preserve">WPP (unit not named) (Integrated, since 2026)</t>
  </si>
  <si>
    <t xml:space="preserve">Accenture Song (Creative); Accenture Song (Integrated)</t>
  </si>
  <si>
    <t xml:space="preserve">Incumbent turmoil, Just moved (honeymoon)</t>
  </si>
  <si>
    <t xml:space="preserve">Global, outcome-based model; India market social, events and owner content may still be locally sourced; JLR cutting jobs and restructuring.; Global mandate moved 2025-12 with India transition in H1 2026; Global handover to WPP in 2026 means India local social, content and events briefs get reset.; Global incumbent displaced; India impact inferred</t>
  </si>
  <si>
    <t xml:space="preserve">WPP won JLR's global AI-led marketing mandate across Range Rover, Defender, Discovery and Jaguar, working with JLR's in-house teams.</t>
  </si>
  <si>
    <t xml:space="preserve">https://www.afaqs.com/news/mktg/wpp-wins-global-ai-led-marketing-mandate-for-jaguar-land-rover-11857970</t>
  </si>
  <si>
    <t xml:space="preserve">https://www.storyboard18.com/advertising/wpp-finally-clinches-jaguar-land-rovers-global-mandate-86357.htm</t>
  </si>
  <si>
    <t xml:space="preserve">Jaisalmer Gin</t>
  </si>
  <si>
    <t xml:space="preserve">AdGlobal360 (Hakuhodo) (Digital, since 2026)</t>
  </si>
  <si>
    <t xml:space="preserve">Just moved (honeymoon)</t>
  </si>
  <si>
    <t xml:space="preserve">Digital just awarded; creative agency not visible; CMO Kunal Madan</t>
  </si>
  <si>
    <t xml:space="preserve">AdGlobal360 was appointed Radico Khaitan's integrated digital media partner covering Rampur, Jaisalmer, Magic Moments, Royal Ranthambore and 8PM (Jun 2026).</t>
  </si>
  <si>
    <t xml:space="preserve">https://www.medianews4u.com/radico-khaitan-appoints-adglobal360-as-integrated-digital-media-partner-to-strengthen-consumer-engagement/</t>
  </si>
  <si>
    <t xml:space="preserve">Johnnie Walker</t>
  </si>
  <si>
    <t xml:space="preserve">Dentsu Creative India (Creative, since 2020) unconfirmed</t>
  </si>
  <si>
    <t xml:space="preserve">Dentsu</t>
  </si>
  <si>
    <t xml:space="preserve">JW Luxe Blended Water with Virat Kohli (Mar 2026); Diageo VP Premium and Luxury Varun Koorichh (Oct 2025)</t>
  </si>
  <si>
    <t xml:space="preserve">Johnnie Walker partnered Taproot Dentsu on #WalkInWithJohnnie (Nov 2020); Mar 2026 JW Luxe Blended Water film credits no agency.</t>
  </si>
  <si>
    <t xml:space="preserve">2020-11</t>
  </si>
  <si>
    <t xml:space="preserve">https://www.medianews4u.com/johnnie-walker-partners-with-taproot-dentsu-to-launch-the-walkinwithjohnnie-campaign/</t>
  </si>
  <si>
    <t xml:space="preserve">AdGlobal360 (Hakuhodo) (Media, since 2026)</t>
  </si>
  <si>
    <t xml:space="preserve">Digital media moved 2026-06; Radico's Kunal Madan pushing Indian luxury spirits globally (2026-09 interview); Media only; creative and luxury single malt content partners not named.</t>
  </si>
  <si>
    <t xml:space="preserve">Radico Khaitan named AdGlobal360 its digital media partner.</t>
  </si>
  <si>
    <t xml:space="preserve">https://www.afaqs.com/news/newbizwins/adglobal360-wins-radico-khaitans-digital-media-mandate-12017046</t>
  </si>
  <si>
    <t xml:space="preserve">https://www.storyboard18.com/agency-news/radico-khaitan-names-adglobal360-as-digital-media-partner-100555.htm</t>
  </si>
  <si>
    <t xml:space="preserve">Raga Svara</t>
  </si>
  <si>
    <t xml:space="preserve">Raga Svara Wellness Retreat</t>
  </si>
  <si>
    <t xml:space="preserve">Confiance Communications (PR, since 2025)</t>
  </si>
  <si>
    <t xml:space="preserve">PR only; social and film content open.</t>
  </si>
  <si>
    <t xml:space="preserve">Confiance secured the PR mandate for Raga Svara Wellness Retreat.</t>
  </si>
  <si>
    <t xml:space="preserve">https://www.afaqs.com/news/newbizwins/confiance-communications-secures-pr-mandate-for-raga-svara-wellness-retreat-9518188</t>
  </si>
  <si>
    <t xml:space="preserve">https://www.medianews4u.com/confiance-communications-wins-pr-mandate-for-raga-svara-wellness-retreat/</t>
  </si>
  <si>
    <t xml:space="preserve">Rampur Indian Single Malt</t>
  </si>
  <si>
    <t xml:space="preserve">Sephora India</t>
  </si>
  <si>
    <t xml:space="preserve">Yellow (Creative, since 2022) unconfirmed; RepIndia (Social, since 2021) unconfirmed</t>
  </si>
  <si>
    <t xml:space="preserve">Last visible agency moves 2021 to 2022; stale roster; Five-year-old social mandate</t>
  </si>
  <si>
    <t xml:space="preserve">Sephora India named Yellow as its official creative agency (Jul 2022).</t>
  </si>
  <si>
    <t xml:space="preserve">2022-07</t>
  </si>
  <si>
    <t xml:space="preserve">https://www.medianews4u.com/sephora-india-names-yellow-as-its-official-creative-agency/</t>
  </si>
  <si>
    <t xml:space="preserve">https://www.medianews4u.com/sephora-india-retains-repindia-as-its-social-media-partner/</t>
  </si>
  <si>
    <t xml:space="preserve">Volvo Cars India</t>
  </si>
  <si>
    <t xml:space="preserve">Volvo Cars (Geely)</t>
  </si>
  <si>
    <t xml:space="preserve">Initiative (Omnicom Media) (Media, since 2024); Blue Vector (Social, since 2020) unconfirmed</t>
  </si>
  <si>
    <t xml:space="preserve">Global media; new Volvo Cars CEO (ex Skoda) announced Sep 2026; India creative not publicly assigned.; Incumbent six plus years if still active; no recent confirmation found.; EV-led luxury positioning; small team, likely project-based agencies.</t>
  </si>
  <si>
    <t xml:space="preserve">Volvo appointed Initiative as global media agency, ending a 20-plus year run with WPP's Mindshare.</t>
  </si>
  <si>
    <t xml:space="preserve">https://www.afaqs.com/news/advertising/volvo-appoints-ipgs-initiative-as-global-media-agency-8549521</t>
  </si>
  <si>
    <t xml:space="preserve">https://www.afaqs.com/news/media/creative-agency-blue-vector-wins-the-social-media-mandate-for-volvo-cars-india</t>
  </si>
  <si>
    <t xml:space="preserve">Adani Group (corporate)</t>
  </si>
  <si>
    <t xml:space="preserve">Adani spreads work (22feet on Adani Realty 2026, YAAP on Dharavi Didi 2026); DDB brand retired Jan 2026 and DDB Mudra split across McCann, BBDO Group (Mudra) and TBWA\Lintas; destination of this account not announced</t>
  </si>
  <si>
    <t xml:space="preserve">Adani is listed among DDB Mudra Group clients on The Work 2025 hot list.</t>
  </si>
  <si>
    <t xml:space="preserve">Birla Opus Paints</t>
  </si>
  <si>
    <t xml:space="preserve">Grasim Industries (Aditya Birla Group)</t>
  </si>
  <si>
    <t xml:space="preserve">Leo India (Creative, since 2024); Burson India (PR, since 2024); BBDO India (Creative, since 2026)</t>
  </si>
  <si>
    <t xml:space="preserve">Omnicom, Publicis, WPP</t>
  </si>
  <si>
    <t xml:space="preserve">Split roster since launch: DDB Mudra named creative partner Feb 2024; many 2026 campaigns uncredited; WPP hired Goldman Sachs in Apr 2026 to explore a sale of Burson; Newly transferred from DDB Mudra; BBDO India CEO Suraja Kishore exited Apr 2025; Jitender Dabas named BBDO Group CEO Feb 2026 as Mudra and Ulka folded in; Moved to BBDO India along with DDB Mudra strategy head Shashank Lanjekar</t>
  </si>
  <si>
    <t xml:space="preserve">BBDO India created the 'Papdi Problem' campaign for Birla Opus Style Power Bright in May 2026, with ex DDB Mudra strategist Shashank Lanjekar.</t>
  </si>
  <si>
    <t xml:space="preserve">https://www.medianews4u.com/leo-burnett-india-to-design-brand-architecture-for-birla-opus/</t>
  </si>
  <si>
    <t xml:space="preserve">https://www.medianews4u.com/birla-opus-paints-appoints-burson-for-reputation-management-and-brand-communications-in-india/</t>
  </si>
  <si>
    <t xml:space="preserve">CMF by Nothing</t>
  </si>
  <si>
    <t xml:space="preserve">Consumer tech &amp; D2C</t>
  </si>
  <si>
    <t xml:space="preserve">Nothing</t>
  </si>
  <si>
    <t xml:space="preserve">Brand spin-off 2026-09; Nothing's India marketing lead left for DailyObjects 2026-09</t>
  </si>
  <si>
    <t xml:space="preserve">Nothing spun off CMF in India as a separate brand, per Storyboard18.</t>
  </si>
  <si>
    <t xml:space="preserve">https://www.storyboard18.com/brand-makers/nothing-ceo-india-needs-engineering-not-just-manufacturing-ws-l-111110.htm</t>
  </si>
  <si>
    <t xml:space="preserve">DailyObjects</t>
  </si>
  <si>
    <t xml:space="preserve">New Global CMO Zeenah Vilcassim joined 2026-09 from Nothing</t>
  </si>
  <si>
    <t xml:space="preserve">DailyObjects appointed Zeenah Vilcassim, who led marketing for Nothing in India, as Global CMO.</t>
  </si>
  <si>
    <t xml:space="preserve">https://www.afaqs.com/people-spotting/dailyobjects-appoints-zeenah-vilcassim-as-global-chief-marketing-officer-12570725</t>
  </si>
  <si>
    <t xml:space="preserve">Faber-Castell India</t>
  </si>
  <si>
    <t xml:space="preserve">Faber-Castell</t>
  </si>
  <si>
    <t xml:space="preserve">New marketing director 2026-03</t>
  </si>
  <si>
    <t xml:space="preserve">Faber-Castell India appointed Sunaina Haldar as director, marketing.</t>
  </si>
  <si>
    <t xml:space="preserve">https://www.afaqs.com/people-spotting/faber-castell-india-appoints-sunaina-haldar-as-director-marketing-11223305</t>
  </si>
  <si>
    <t xml:space="preserve">Ferrero India</t>
  </si>
  <si>
    <t xml:space="preserve">FMCG</t>
  </si>
  <si>
    <t xml:space="preserve">Ferrero</t>
  </si>
  <si>
    <t xml:space="preserve">New head of marketing 2026-02; Rocher premium gifting push</t>
  </si>
  <si>
    <t xml:space="preserve">Ferrero elevated Maria Luciani to head of marketing.</t>
  </si>
  <si>
    <t xml:space="preserve">https://www.afaqs.com/people-spotting/ferrero-elevates-maria-luciani-to-head-of-marketing-11124915</t>
  </si>
  <si>
    <t xml:space="preserve">Galaxy</t>
  </si>
  <si>
    <t xml:space="preserve">Mars Wrigley India</t>
  </si>
  <si>
    <t xml:space="preserve">22feet Tribal Worldwide (Creative, since 2025) unconfirmed</t>
  </si>
  <si>
    <t xml:space="preserve">Premium chocolate relaunch whose agency brand was retired weeks later</t>
  </si>
  <si>
    <t xml:space="preserve">DDB Tribal and Mars Wrigley India launched 'Take Pleasure' for the all-new Galaxy chocolate in Nov 2025.</t>
  </si>
  <si>
    <t xml:space="preserve">https://campaignbriefasia.com/2025/11/03/ddb-tribal-and-mars-wrigley-india-launch-take-pleasure-campaign-for-all-new-galaxy/</t>
  </si>
  <si>
    <t xml:space="preserve">GSM (Green and Smart Mobility)</t>
  </si>
  <si>
    <t xml:space="preserve">Vingroup</t>
  </si>
  <si>
    <t xml:space="preserve">Pitch or review live, No agency credited</t>
  </si>
  <si>
    <t xml:space="preserve">Creative and media pitch called 2026-01 for a new market entry</t>
  </si>
  <si>
    <t xml:space="preserve">Vingroup owned GSM called a multi-agency creative and media pitch ahead of its India EV ride-hailing launch; outcome not seen in sources.</t>
  </si>
  <si>
    <t xml:space="preserve">https://www.storyboard18.com/brand-marketing/exclusive-vinfast-backed-gsm-calls-creative-media-pitch-ahead-of-india-ride-hailing-launch-87951.htm</t>
  </si>
  <si>
    <t xml:space="preserve">Havells</t>
  </si>
  <si>
    <t xml:space="preserve">Havells India</t>
  </si>
  <si>
    <t xml:space="preserve">TBWA\Lintas (Creative); Grey 82.5 (Ogilvy) (Creative, since 2018) unconfirmed</t>
  </si>
  <si>
    <t xml:space="preserve">Leadership change, Incumbent turmoil, Long tenure</t>
  </si>
  <si>
    <t xml:space="preserve">Decades-long incumbency; MullenLowe retired; Lintas rebadged TBWA\Lintas Jan 2026; co-CEO Prateek Bharadwaj exit reported Feb 2026; Long incumbency through Soho Square to 82.5 to Grey 82.5 rebrands</t>
  </si>
  <si>
    <t xml:space="preserve">Social Samosa lists Havells among Lowe Lintas' signature clients.</t>
  </si>
  <si>
    <t xml:space="preserve">https://campaignbriefasia.com/2022/02/09/havells-urges-their-customers-not-to-make-assumptions-based-on-peoples-appearance-via-new-82-5-communications-india-campaign/</t>
  </si>
  <si>
    <t xml:space="preserve">https://www.socialsamosa.com/samosa-snippets/as-mullen-vanishes-tbwalintas-lives-on-10867606</t>
  </si>
  <si>
    <t xml:space="preserve">Heads Up For Tails</t>
  </si>
  <si>
    <t xml:space="preserve">New head of marketing 2026-05</t>
  </si>
  <si>
    <t xml:space="preserve">Heads Up For Tails appointed Shrutie Kher as head of marketing.</t>
  </si>
  <si>
    <t xml:space="preserve">https://www.afaqs.com/people-spotting/heads-up-for-tails-appoints-shrutie-kher-as-head-of-marketing-11876783</t>
  </si>
  <si>
    <t xml:space="preserve">Infosys</t>
  </si>
  <si>
    <t xml:space="preserve">Infosys is listed among DDB Mudra Group clients on The Work 2025 hot list.</t>
  </si>
  <si>
    <t xml:space="preserve">Instagram</t>
  </si>
  <si>
    <t xml:space="preserve">Meta Platforms</t>
  </si>
  <si>
    <t xml:space="preserve">Instagram is listed among DDB Mudra Group clients on The Work 2024 hot list.</t>
  </si>
  <si>
    <t xml:space="preserve">Kohinoor rice</t>
  </si>
  <si>
    <t xml:space="preserve">AWL Agri Business (Adani Wilmar)</t>
  </si>
  <si>
    <t xml:space="preserve">22feet Tribal Worldwide (Creative) unconfirmed</t>
  </si>
  <si>
    <t xml:space="preserve">DDB Tribal India made the aroma-led Kohinoor rice campaign for Adani Wilmar.</t>
  </si>
  <si>
    <t xml:space="preserve">2023-08</t>
  </si>
  <si>
    <t xml:space="preserve">https://campaignbriefasia.com/2023/08/01/ddb-tribal-india-demonstrates-the-power-of-aroma-via-latest-adani-wilmar-campaign/</t>
  </si>
  <si>
    <t xml:space="preserve">Meta AI</t>
  </si>
  <si>
    <t xml:space="preserve">Mudra (ex DDB Mudra, BBDO Group) (Creative, since 2025) unconfirmed</t>
  </si>
  <si>
    <t xml:space="preserve">Meta splits work (WhatsApp with BBDO India); DDB brand retired Jan 2026 and DDB Mudra split across McCann, BBDO Group (Mudra) and TBWA\Lintas; destination of this account not announced</t>
  </si>
  <si>
    <t xml:space="preserve">DDB Mudra created the India launch campaign 'Aaj Kya Karoge?' for Meta AI in June 2025.</t>
  </si>
  <si>
    <t xml:space="preserve">https://campaignbriefasia.com/2025/06/16/meta-ai-launches-in-india-with-campaign-by-ddb-mudra-celebrating-everyday-creativity/</t>
  </si>
  <si>
    <t xml:space="preserve">Netflix India</t>
  </si>
  <si>
    <t xml:space="preserve">Telecom &amp; media</t>
  </si>
  <si>
    <t xml:space="preserve">Netflix</t>
  </si>
  <si>
    <t xml:space="preserve">Omnicom Media India (Media, since 2026); One Hand Clap (Content); Kommune (Content) unconfirmed; Mudra (ex DDB Mudra, BBDO Group) (Creative) unconfirmed; Rebellion (Social) unconfirmed</t>
  </si>
  <si>
    <t xml:space="preserve">Pitch or review live, Leadership change, Split roster</t>
  </si>
  <si>
    <t xml:space="preserve">Media moved 2026-05; influencer mandate also reportedly reviewed; Netflix India influencer mandate put under review Apr 2026; media moved to Omnicom's Initiative May 2026; Talented made the Flipkart x Netflix film Aug 2026; Reported review 2026-04 (denied); Netflix moved its Rs 300 crore India media to Omnicom 2026-05; Lost 2026-05</t>
  </si>
  <si>
    <t xml:space="preserve">Omnicom Media Group won Netflix India's roughly Rs 300 crore media mandate after a review started 2026-04.</t>
  </si>
  <si>
    <t xml:space="preserve">https://www.afaqs.com/news/advertising/one-hand-clap-the-agency-that-got-ms-dhoni-to-re-enact-ranbir-kapoors-animal-8970115</t>
  </si>
  <si>
    <t xml:space="preserve">https://www.storyboard18.com/advertising/omnicom-media-bags-netflix-indias-mandate-signalling-strategic-reset-in-ott-marketing-97341.htm</t>
  </si>
  <si>
    <t xml:space="preserve">Philips</t>
  </si>
  <si>
    <t xml:space="preserve">Philips India</t>
  </si>
  <si>
    <t xml:space="preserve">TBWA\Lintas (Creative) unconfirmed; Mudra (ex DDB Mudra, BBDO Group) (Creative) unconfirmed</t>
  </si>
  <si>
    <t xml:space="preserve">Account lead exited Apr 2025; TBWA India merged into TBWA\Lintas Jan 2026; co-lead Prateek Bharadwaj reported exiting Feb 2026; Philips also named as a TBWA India account (Ranjeev Vij, who exited Apr 2025); ownership unclear</t>
  </si>
  <si>
    <t xml:space="preserve">afaqs lists Philips among the key clients handled by TBWA\India's Ranjeev Vij.</t>
  </si>
  <si>
    <t xml:space="preserve">https://www.socialsamosa.com/samosa-snippets/end-of-ddb-means-legacy-built-with-mudra-10874481</t>
  </si>
  <si>
    <t xml:space="preserve">Philips Home Appliances</t>
  </si>
  <si>
    <t xml:space="preserve">Versuni India</t>
  </si>
  <si>
    <t xml:space="preserve">McCann India (ex FCB India) (Creative, since 2024) unconfirmed</t>
  </si>
  <si>
    <t xml:space="preserve">Open creative pitch called 2026-08, over 300 agency responses, shortlisting underway; incumbent not disclosed; Interface CEO Gaurav Dudeja left to become Kinnect CBO (Jun 2026); Interface unit status unclear</t>
  </si>
  <si>
    <t xml:space="preserve">Versuni India publicly invited creative agencies for Philips Home Appliances mandates in two fast growing categories; CMO Pooja Baid ran an open LinkedIn call.</t>
  </si>
  <si>
    <t xml:space="preserve">https://www.medianews4u.com/fcb-interface-secures-philips-home-appliances-creative-mandate/</t>
  </si>
  <si>
    <t xml:space="preserve">https://www.storyboard18.com/agency-news/philips-home-appliances-invites-creative-agencies-for-new-brand-mandates-107318.htm</t>
  </si>
  <si>
    <t xml:space="preserve">Saint-Gobain India (Glass)</t>
  </si>
  <si>
    <t xml:space="preserve">Saint-Gobain India</t>
  </si>
  <si>
    <t xml:space="preserve">VML India (Creative)</t>
  </si>
  <si>
    <t xml:space="preserve">Leadership change, Long tenure</t>
  </si>
  <si>
    <t xml:space="preserve">VML India Group CCO Kalpesh Patankar exited Aug 2026 (to Leo Gulf) and CSO Pinaki Bhattacharya exited early 2026 after 16 years</t>
  </si>
  <si>
    <t xml:space="preserve">VML India made the May 2026 'As Tough As Glass' film for Saint-Gobain India's glass business.</t>
  </si>
  <si>
    <t xml:space="preserve">https://campaignbriefasia.com/2026/05/29/vml-india-and-saint-gobain-india-challenge-perceptions-of-fragile-glass-in-new-film/</t>
  </si>
  <si>
    <t xml:space="preserve">Shaadi.com</t>
  </si>
  <si>
    <t xml:space="preserve">People Interactive</t>
  </si>
  <si>
    <t xml:space="preserve">Moonshot (Creative, since 2024) unconfirmed</t>
  </si>
  <si>
    <t xml:space="preserve">Pitch or review live</t>
  </si>
  <si>
    <t xml:space="preserve">Media review 2026-04; VIPShaadi hired Ritika Gupta as director marketing 2026-04</t>
  </si>
  <si>
    <t xml:space="preserve">Shaadi.com put its media planning mandate, split between IPG (now Omnicom) and WPP agencies, up for review.</t>
  </si>
  <si>
    <t xml:space="preserve">https://www.storyboard18.com/agency-news/exclusive-shaadi-coms-media-planning-mandate-up-for-review-96177.htm</t>
  </si>
  <si>
    <t xml:space="preserve">https://www.afaqs.com/tags/moonshot</t>
  </si>
  <si>
    <t xml:space="preserve">Spotify India</t>
  </si>
  <si>
    <t xml:space="preserve">Spotify</t>
  </si>
  <si>
    <t xml:space="preserve">Leo India (Creative, since 2021); Mudra (ex DDB Mudra, BBDO Group) (Digital, since 2019) unconfirmed</t>
  </si>
  <si>
    <t xml:space="preserve">Omnicom, Publicis</t>
  </si>
  <si>
    <t xml:space="preserve">Leadership change, Incumbent turmoil, Split roster, Long tenure</t>
  </si>
  <si>
    <t xml:space="preserve">New Head of Marketing Shipra Srivastava (Apr 2026); Sep 2026 multilingual campaign carried no agency credit; Incumbent since 2019 (fatigue); DDB brand retired Jan 2026 and DDB Mudra split across McCann, BBDO Group (Mudra) and TBWA\Lintas; destination of this account not announced</t>
  </si>
  <si>
    <t xml:space="preserve">Leo won a Gold Effie (Effie India 2025) for Spotify 'Dominating Music Streaming, Every Year to Stay on Top'.</t>
  </si>
  <si>
    <t xml:space="preserve">https://www.manifest-media.in/advertising/140226/effie-awards-2025-leo-wins-agency-of-the-year-nestle-is-client-of.html</t>
  </si>
  <si>
    <t xml:space="preserve">vivo India</t>
  </si>
  <si>
    <t xml:space="preserve">vivo</t>
  </si>
  <si>
    <t xml:space="preserve">VML India (Integrated, since 2023); McCann India (ex FCB India) (Creative) unconfirmed; Monk-E (Content) unconfirmed</t>
  </si>
  <si>
    <t xml:space="preserve">Leadership change, Incumbent turmoil, Long tenure, Split roster</t>
  </si>
  <si>
    <t xml:space="preserve">VML India Group CCO Kalpesh Patankar exited Aug 2026 (to Leo Gulf) and CSO Pinaki Bhattacharya exited early 2026 after 16 years; Marketing chief exit 2026-09; FCB brand retired in 2026; FCB India clients and talent absorbed into McCann India, handover risk</t>
  </si>
  <si>
    <t xml:space="preserve">Karun Arora ended a five-year stint as vivo India's chief marketing communications officer.</t>
  </si>
  <si>
    <t xml:space="preserve">https://www.medianews4u.com/vivo-launches-dreamchasers-campaign-with-suhana-khan-to-empower-indias-gen-z/</t>
  </si>
  <si>
    <t xml:space="preserve">https://www.manifest-media.in/marketing/280926/karun-arora-ends-five-year-stint-at-vivo.html</t>
  </si>
  <si>
    <t xml:space="preserve">WhatsApp</t>
  </si>
  <si>
    <t xml:space="preserve">BBDO India entered WhatsApp 'Oye Lucky ft. Abhay Deol' at Cannes 2025; it also made the 2024 privacy campaign.</t>
  </si>
  <si>
    <t xml:space="preserve">https://campaignbriefasia.com/2025/06/09/cannes-lions-2025-contenders-bbdo-india/</t>
  </si>
  <si>
    <t xml:space="preserve">Axis Max Life Insurance</t>
  </si>
  <si>
    <t xml:space="preserve">Axis Bank and Max Financial</t>
  </si>
  <si>
    <t xml:space="preserve">Techmagnate (Performance, since 2025)</t>
  </si>
  <si>
    <t xml:space="preserve">Rebrand from Max Life to Axis Max Life creates brand, content and social refresh needs.; Rebrand from Max Life to Axis Max Life (Dec 2024) and new MD and CEO Sumit Madan (Jun 2025).</t>
  </si>
  <si>
    <t xml:space="preserve">Techmagnate appointed for enterprise SEO for Axis Max Life's term and savings products after a multi-agency pitch.</t>
  </si>
  <si>
    <t xml:space="preserve">https://www.afaqs.com/news/newbizwins/techmagnate-bags-seo-mandate-for-axis-max-life-insurance-8706353</t>
  </si>
  <si>
    <t xml:space="preserve">https://www.campaignindia.in/article/axis-max-life-launches-retirement-campaign-with-rohit-sharma/4j3ybrfqnf3vzy15bx4mj0t55d</t>
  </si>
  <si>
    <t xml:space="preserve">Blue Tokai</t>
  </si>
  <si>
    <t xml:space="preserve">Blue Tokai Coffee Roasters</t>
  </si>
  <si>
    <t xml:space="preserve">Specialty cafe expansion</t>
  </si>
  <si>
    <t xml:space="preserve">Medianews4u search for Blue Tokai found no agency credit.</t>
  </si>
  <si>
    <t xml:space="preserve">CRED</t>
  </si>
  <si>
    <t xml:space="preserve">Dreamplug Technologies</t>
  </si>
  <si>
    <t xml:space="preserve">Moonshot (Creative, since 2024)</t>
  </si>
  <si>
    <t xml:space="preserve">CRED famously rotates creators and agencies per campaign, no exclusive AOR; Founder Kunal Shah moved to lead WhatsApp at Meta and exited CRED's board (Jul 2026) after Meta's USD 900 million investment: creative control may loosen.</t>
  </si>
  <si>
    <t xml:space="preserve">Moonshot made CRED UPI work (2024) and CRED 'Director's Cut', which won at Good Ads Matter 2025.</t>
  </si>
  <si>
    <t xml:space="preserve">https://www.goodadsmatter.com/post/moonshot</t>
  </si>
  <si>
    <t xml:space="preserve">https://www.socialsamosa.com/campaign-spot/cred-biometric-upi-payments-absurd-ad-campaign-12146112</t>
  </si>
  <si>
    <t xml:space="preserve">Etihad Airways</t>
  </si>
  <si>
    <t xml:space="preserve">Etihad Aviation Group</t>
  </si>
  <si>
    <t xml:space="preserve">Merged agency still settling; leadership now Govind Pandey (CEO) and Russell Barrett</t>
  </si>
  <si>
    <t xml:space="preserve">Logo on the TBWA\Lintas India client wall; scope and legacy unit (TBWA or Lintas) not stated.</t>
  </si>
  <si>
    <t xml:space="preserve">Figaro and Bertolli olive oils</t>
  </si>
  <si>
    <t xml:space="preserve">Deoleo</t>
  </si>
  <si>
    <t xml:space="preserve">Publicis Digital Experience (ex Digitas) (Social, since 2024) unconfirmed</t>
  </si>
  <si>
    <t xml:space="preserve">Figaro brand refresh and Sunil Grover campaign (Jul 2026) carried no agency credit; Digitas leadership churn</t>
  </si>
  <si>
    <t xml:space="preserve">Digitas India won Deoleo India's digital creative and social mandate for Figaro, Bertolli and Figaro baby range (Mar 2024).</t>
  </si>
  <si>
    <t xml:space="preserve">https://www.afaqs.com/news/advertising/publicis-groupes-digitas-india-wins-digital-creative-mandate-for-deoleo-india</t>
  </si>
  <si>
    <t xml:space="preserve">IDFC FIRST Bank</t>
  </si>
  <si>
    <t xml:space="preserve">IDFC FIRST Bank Ltd</t>
  </si>
  <si>
    <t xml:space="preserve">CMO T V Naarayan left in Aug 2025 (to Akasa Air); digital-first bank with frequent campaigns; private banking and premium cards are adjacent briefs.</t>
  </si>
  <si>
    <t xml:space="preserve">Schbang conceptualised IDFC FIRST Bank's multi-film digital campaign with Sumeet Vyas on monthly interest credit.</t>
  </si>
  <si>
    <t xml:space="preserve">https://www.afaqs.com/news/advertising/idfc-first-banks-campaign-with-sumeet-vyas-questions-banking-norms-12041058</t>
  </si>
  <si>
    <t xml:space="preserve">IndusInd Bank</t>
  </si>
  <si>
    <t xml:space="preserve">TBWA\Lintas (Creative); Leo India (Creative) unconfirmed</t>
  </si>
  <si>
    <t xml:space="preserve">New CMO Sheran Mendiratta Mehra (Oct 2025) and new Head of Marketing and Partnerships (May 2026); affluent banking needs premium content.; New marketing head 2026-05; No recent Leo credit found</t>
  </si>
  <si>
    <t xml:space="preserve">Deepesh Chhabra joined IndusInd Bank as head of marketing and partnerships.</t>
  </si>
  <si>
    <t xml:space="preserve">https://www.afaqs.com/people-spotting/deepesh-chhabra-joins-indusind-bank-as-head-of-marketing-and-partnerships-11786241</t>
  </si>
  <si>
    <t xml:space="preserve">https://www.afaqs.com/tags/leo-burnett-india</t>
  </si>
  <si>
    <t xml:space="preserve">JioBlackRock</t>
  </si>
  <si>
    <t xml:space="preserve">Jio Financial Services and BlackRock</t>
  </si>
  <si>
    <t xml:space="preserve">Magnum</t>
  </si>
  <si>
    <t xml:space="preserve">Kwality Wall's (HUL ice cream)</t>
  </si>
  <si>
    <t xml:space="preserve">HUL ice cream demerged into Kwality Wall's India in 2025; new marketing org [unverified, check before outreach]</t>
  </si>
  <si>
    <t xml:space="preserve">Lowe Lintas launched Magnum Pistachio with Kareena Kapoor Khan.</t>
  </si>
  <si>
    <t xml:space="preserve">https://www.medianews4u.com/magnum-pistachio-launches-with-kareena-kapoor-khan-in-a-decadent-new-campaign/</t>
  </si>
  <si>
    <t xml:space="preserve">Mirae Asset</t>
  </si>
  <si>
    <t xml:space="preserve">Mirae Asset Investment Managers India</t>
  </si>
  <si>
    <t xml:space="preserve">Mirae Asset Sharekhan</t>
  </si>
  <si>
    <t xml:space="preserve">Burson India (PR, since 2025)</t>
  </si>
  <si>
    <t xml:space="preserve">WPP hired Goldman Sachs in Apr 2026 to explore a sale of Burson</t>
  </si>
  <si>
    <t xml:space="preserve">Mirae Asset Sharekhan named Burson as its communications partner in Nov 2025.</t>
  </si>
  <si>
    <t xml:space="preserve">https://www.medianews4u.com/mirae-asset-sharekhan-names-burson-as-communications-partner/</t>
  </si>
  <si>
    <t xml:space="preserve">PNB MetLife</t>
  </si>
  <si>
    <t xml:space="preserve">PNB MetLife India Insurance</t>
  </si>
  <si>
    <t xml:space="preserve">Cheil X (Integrated, since 2025)</t>
  </si>
  <si>
    <t xml:space="preserve">Newly consolidated; social and content execution may still be fragmented.; Won under Cheil X CEO Jitender Dabas, who moved to BBDO India by May 2026</t>
  </si>
  <si>
    <t xml:space="preserve">PNB MetLife consolidated its integrated creative account with Cheil X India after a competitive pitch.</t>
  </si>
  <si>
    <t xml:space="preserve">https://www.storyboard18.com/agency-news/pnb-metlife-consolidates-creative-mandate-with-cheil-x-india-81433.htm</t>
  </si>
  <si>
    <t xml:space="preserve">SOCIAL (Impresario)</t>
  </si>
  <si>
    <t xml:space="preserve">Impresario Entertainment &amp; Hospitality</t>
  </si>
  <si>
    <t xml:space="preserve">TBWA\Lintas (ex Lintas Live) (PR, since 2024)</t>
  </si>
  <si>
    <t xml:space="preserve">Creative and social not visible; IP-led events (Mela Mexicana 2026); lintaslive.in now redirects to TBWA India; PR unit absorbed</t>
  </si>
  <si>
    <t xml:space="preserve">Lintas Live was named PR partner for Impresario's SOCIAL (Jan 2024).</t>
  </si>
  <si>
    <t xml:space="preserve">https://www.medianews4u.com/lintas-live-bags-pr-partner-for-impresarios-social/</t>
  </si>
  <si>
    <t xml:space="preserve">Tasty Bite</t>
  </si>
  <si>
    <t xml:space="preserve">Mars</t>
  </si>
  <si>
    <t xml:space="preserve">McCann India (ex FCB India) (Creative, since 2025) unconfirmed</t>
  </si>
  <si>
    <t xml:space="preserve">FCB brand retired in 2026; FCB India clients and talent absorbed into McCann India, handover risk</t>
  </si>
  <si>
    <t xml:space="preserve">Named among 14 new clients onboarded by FCB Group India (unit not disclosed).</t>
  </si>
  <si>
    <t xml:space="preserve">https://www.afaqs.com/news/advertising/fcb-group-india-onboards-14-new-clients-across-agencies-8649932</t>
  </si>
  <si>
    <t xml:space="preserve">Twinings</t>
  </si>
  <si>
    <t xml:space="preserve">Associated British Foods</t>
  </si>
  <si>
    <t xml:space="preserve">Interactive Avenues (Omnicom Media) (Performance, since 2023) unconfirmed</t>
  </si>
  <si>
    <t xml:space="preserve">Interactive Avenues awarded Twinings' e-commerce mandate.</t>
  </si>
  <si>
    <t xml:space="preserve">2023-10</t>
  </si>
  <si>
    <t xml:space="preserve">https://www.afaqs.com/news/advertising/interactive-avenues-awarded-e-commerce-mandate-for-twinings</t>
  </si>
  <si>
    <t xml:space="preserve">Visa</t>
  </si>
  <si>
    <t xml:space="preserve">Visa Inc.</t>
  </si>
  <si>
    <t xml:space="preserve">Leo India (Creative, since 2021)</t>
  </si>
  <si>
    <t xml:space="preserve">Five-year incumbent; new Head of Marketing India and South Asia (Gaurav Ramdev, Nov 2025) and new Group Country Manager (Suresh Sethi, Apr 2026); affluent experiences platform suits luxury specialists</t>
  </si>
  <si>
    <t xml:space="preserve">Leo India made Visa's Shah Rukh Khan 'Infinitely More' campaign targeting affluent Indians (Jun 2026); Visa appointed Leo Burnett India creative partner in Jul 2021.</t>
  </si>
  <si>
    <t xml:space="preserve">https://campaignbriefasia.com/2026/06/04/visa-partners-with-shah-rukh-khan-for-infinitely-more-campaign-via-leo-india/</t>
  </si>
  <si>
    <t xml:space="preserve">YES BANK</t>
  </si>
  <si>
    <t xml:space="preserve">Yes Bank</t>
  </si>
  <si>
    <t xml:space="preserve">McCann India (Creative) unconfirmed</t>
  </si>
  <si>
    <t xml:space="preserve">New anchor shareholder SMBC (2025) could reset marketing [unverified, check before outreach]; New MD and CEO Vinay Tonse (Mar 2026); new Chief Experience Officer (May 2025).</t>
  </si>
  <si>
    <t xml:space="preserve">McCann India tag lists Yes Bank's 'Milkar Jitayenge' Paris Olympics campaign.</t>
  </si>
  <si>
    <t xml:space="preserve">https://www.medianews4u.com/yes-banks-milkar-jitayenge-campaign-looks-to-support-olympic-athletes-through-a-film-interactive-microsite/</t>
  </si>
  <si>
    <t xml:space="preserve">https://www.afaqs.com/news/advertising/yes-bank-rolls-out-score-kya-hua-campaign-to-drive-credit-score-awareness-10813534</t>
  </si>
  <si>
    <t xml:space="preserve">Asics India</t>
  </si>
  <si>
    <t xml:space="preserve">ASICS</t>
  </si>
  <si>
    <t xml:space="preserve">No Asics India agency credit surfaced in sportswear-mandate sweeps.</t>
  </si>
  <si>
    <t xml:space="preserve">Aspri Spirits</t>
  </si>
  <si>
    <t xml:space="preserve">Incumbent about 8 years.</t>
  </si>
  <si>
    <t xml:space="preserve">Crosshairs case study says it has handled PR for premium spirits distributor Aspri Spirits for 8 years.</t>
  </si>
  <si>
    <t xml:space="preserve">Ather Energy</t>
  </si>
  <si>
    <t xml:space="preserve">Ather Energy Ltd</t>
  </si>
  <si>
    <t xml:space="preserve">Tilt Brand Solutions (Creative, since 2024); Initiative (Omnicom Media) (Media, since 2024); Hypothesis (Only Much Louder) (Social, since 2025)</t>
  </si>
  <si>
    <t xml:space="preserve">Two plus years in; new models (Rizta family) create briefs.; Omnicom and IPG integration may trigger a media review.; Split roster (Tilt brand, OML influencer, Initiative media); post IPO scrutiny on marketing ROI.</t>
  </si>
  <si>
    <t xml:space="preserve">Hypothesis by OML won Ather's influencer marketing mandate for creator-first content across social and video.</t>
  </si>
  <si>
    <t xml:space="preserve">https://www.storyboard18.com/agency-news/ather-energy-onboards-tilt-brand-solutions-as-their-brand-and-communications-agency-33891.htm</t>
  </si>
  <si>
    <t xml:space="preserve">Beam Suntory India (Suntory Global Spirits)</t>
  </si>
  <si>
    <t xml:space="preserve">Suntory Global Spirits</t>
  </si>
  <si>
    <t xml:space="preserve">No Suntory India agency credit surfaced.</t>
  </si>
  <si>
    <t xml:space="preserve">Cult.fit</t>
  </si>
  <si>
    <t xml:space="preserve">Curefit Healthcare</t>
  </si>
  <si>
    <t xml:space="preserve">Core brand creative agency not visible</t>
  </si>
  <si>
    <t xml:space="preserve">Cult.fit's Ranveer Singh campaign (Aug 2023) and later work carry no agency credit in medianews4u listings.</t>
  </si>
  <si>
    <t xml:space="preserve">https://www.medianews4u.com/cult-fit-ropes-in-ranveer-singh-reimagines-fitness-advertising/</t>
  </si>
  <si>
    <t xml:space="preserve">Dot &amp; Key</t>
  </si>
  <si>
    <t xml:space="preserve">High-growth Nykaa brand</t>
  </si>
  <si>
    <t xml:space="preserve">Medianews4u search for Dot &amp; Key surfaced no agency credit.</t>
  </si>
  <si>
    <t xml:space="preserve">Dram Bell Whisky</t>
  </si>
  <si>
    <t xml:space="preserve">Ardent Alcobev</t>
  </si>
  <si>
    <t xml:space="preserve">Roll Dot Agency (Integrated, since 2025)</t>
  </si>
  <si>
    <t xml:space="preserve">Ardent Alcobev partnered Roll Dot Agency on brand and communications for Dram Bell Whisky's India debut.</t>
  </si>
  <si>
    <t xml:space="preserve">https://www.afaqs.com/news/newbizwins/ardent-alcobev-partners-with-roll-dot-agency-for-dram-bell-whiskys-india-debut-8729582</t>
  </si>
  <si>
    <t xml:space="preserve">Greater Than</t>
  </si>
  <si>
    <t xml:space="preserve">Ownership change, roster consolidation or fresh brief</t>
  </si>
  <si>
    <t xml:space="preserve">Diageo India agreed to acquire NAO Spirits, maker of Greater Than and Hapusa (Jun 2025); no agency found.</t>
  </si>
  <si>
    <t xml:space="preserve">Heineken India</t>
  </si>
  <si>
    <t xml:space="preserve">United Breweries (Heineken)</t>
  </si>
  <si>
    <t xml:space="preserve">No Heineken India agency credit surfaced.</t>
  </si>
  <si>
    <t xml:space="preserve">Hero MotoCorp Premium</t>
  </si>
  <si>
    <t xml:space="preserve">Hero MotoCorp</t>
  </si>
  <si>
    <t xml:space="preserve">New premium segment CBO 2026-08</t>
  </si>
  <si>
    <t xml:space="preserve">Hero MotoCorp appointed Anuj Dua as chief business officer for its premium segment.</t>
  </si>
  <si>
    <t xml:space="preserve">https://www.afaqs.com/people-spotting/hero-motocorp-appoints-anuj-dua-as-chief-business-officer-premium-segment-12227118</t>
  </si>
  <si>
    <t xml:space="preserve">Hoka India</t>
  </si>
  <si>
    <t xml:space="preserve">Deckers Brands</t>
  </si>
  <si>
    <t xml:space="preserve">Early-stage India presence</t>
  </si>
  <si>
    <t xml:space="preserve">No Hoka India agency credit surfaced.</t>
  </si>
  <si>
    <t xml:space="preserve">Hyphen</t>
  </si>
  <si>
    <t xml:space="preserve">Hyphen (Kriti Sanon co-founded)</t>
  </si>
  <si>
    <t xml:space="preserve">Celebrity-founded D2C</t>
  </si>
  <si>
    <t xml:space="preserve">No Hyphen agency credit surfaced in beauty and skincare mandate sweeps.</t>
  </si>
  <si>
    <t xml:space="preserve">Indian Craft Brewery</t>
  </si>
  <si>
    <t xml:space="preserve">Grey 82.5 (Ogilvy) (Creative, since 2024) unconfirmed</t>
  </si>
  <si>
    <t xml:space="preserve">Launch only project; ongoing brand work may be open</t>
  </si>
  <si>
    <t xml:space="preserve">82.5 Communications bagged the launch campaign mandate for Indian Craft Brewery in Dec 2024.</t>
  </si>
  <si>
    <t xml:space="preserve">https://www.medianews4u.com/82-5-communications-bags-the-launch-campaign-mandate-for-indian-craft-brewery/</t>
  </si>
  <si>
    <t xml:space="preserve">Kay Beauty</t>
  </si>
  <si>
    <t xml:space="preserve">New business head; celebrity brand</t>
  </si>
  <si>
    <t xml:space="preserve">Nykaa named a new SVP and Business Head for Kay Beauty (Sep 2024); no agency credited.</t>
  </si>
  <si>
    <t xml:space="preserve">https://www.medianews4u.com/nykaa-names-sukhleen-aneja-as-svp-and-business-head-for-kay-beauty/</t>
  </si>
  <si>
    <t xml:space="preserve">Mahindra electric SUVs (BE 6, XEV 9e)</t>
  </si>
  <si>
    <t xml:space="preserve">Mahindra also used FCB Neo (Thar ROXX 2025); roster reshuffle after FCB retirement; EV sub-brand building and new launches create content and experiential briefs.</t>
  </si>
  <si>
    <t xml:space="preserve">CEO interview cites a Mahindra EV campaign among McCann work post-merger.</t>
  </si>
  <si>
    <t xml:space="preserve">https://www.afaqs.com/news/advertising/ceo-dheeraj-sinha-on-leading-mccann-in-the-post-merger-era-12015227</t>
  </si>
  <si>
    <t xml:space="preserve">Morpheus Brandy and premium launches</t>
  </si>
  <si>
    <t xml:space="preserve">Hakuhodo India (Integrated, since 2021) unconfirmed</t>
  </si>
  <si>
    <t xml:space="preserve">Five-year-old mandate; no recent credits found; fatigue risk</t>
  </si>
  <si>
    <t xml:space="preserve">Named strategic creative partner for Morpheus and two upcoming premium Radico products after multi-agency pitch.</t>
  </si>
  <si>
    <t xml:space="preserve">2021-09</t>
  </si>
  <si>
    <t xml:space="preserve">https://www.afaqs.com/news/advertising/hakuhodo-india-named-strategic-creative-partner-of-radico-khaitan-for-a-host-of-premium-products</t>
  </si>
  <si>
    <t xml:space="preserve">MRF Tyres</t>
  </si>
  <si>
    <t xml:space="preserve">MRF Ltd</t>
  </si>
  <si>
    <t xml:space="preserve">Experience Commerce (Cheil) (Digital, since 2013)</t>
  </si>
  <si>
    <t xml:space="preserve">12-plus year incumbent; fatigue risk</t>
  </si>
  <si>
    <t xml:space="preserve">Renewed digital mandate (social, website, media) for 12th consecutive year.</t>
  </si>
  <si>
    <t xml:space="preserve">https://www.medianews4u.com/experience-commerce-renews-digital-mandate-with-mrf-tyres-for-12th-consecutive-year/</t>
  </si>
  <si>
    <t xml:space="preserve">Nat Habit</t>
  </si>
  <si>
    <t xml:space="preserve">VC-funded Ayurveda D2C</t>
  </si>
  <si>
    <t xml:space="preserve">No Nat Habit agency credit surfaced in beauty and skincare mandate sweeps.</t>
  </si>
  <si>
    <t xml:space="preserve">Nike India</t>
  </si>
  <si>
    <t xml:space="preserve">Nike</t>
  </si>
  <si>
    <t xml:space="preserve">Global agencies lead; local content and activation briefs</t>
  </si>
  <si>
    <t xml:space="preserve">Nike India's 'Born to Beat the Odds' Mumbai campaign (Feb 2026) listing names no local agency.</t>
  </si>
  <si>
    <t xml:space="preserve">https://www.medianews4u.com/nike-takes-to-mumbai-streets-with-born-to-beat-the-odds-campaign-celebrating-self-belief-among-indian-athletes/</t>
  </si>
  <si>
    <t xml:space="preserve">Schwarzkopf India</t>
  </si>
  <si>
    <t xml:space="preserve">Henkel</t>
  </si>
  <si>
    <t xml:space="preserve">The Minimalist (Social, since 2023) unconfirmed</t>
  </si>
  <si>
    <t xml:space="preserve">Incumbent since 2023; no renewal news found.</t>
  </si>
  <si>
    <t xml:space="preserve">The Minimalist bagged the creative and social media mandate for Schwarzkopf India in May 2023.</t>
  </si>
  <si>
    <t xml:space="preserve">2023-05</t>
  </si>
  <si>
    <t xml:space="preserve">https://www.medianews4u.com/the-minimalist-bags-creative-and-social-media-mandate-for-schwarzkopf-india/</t>
  </si>
  <si>
    <t xml:space="preserve">Sebamed</t>
  </si>
  <si>
    <t xml:space="preserve">USV (Sebamed India)</t>
  </si>
  <si>
    <t xml:space="preserve">The Womb (Creative); Famous Innovations (Digital); Leo India (Creative)</t>
  </si>
  <si>
    <t xml:space="preserve">Sebamed also listed as a Womb client, split roster; Frequent campaigns in 2026 without agency credit; took AI discovery work to WPP Media (Sep 2026)</t>
  </si>
  <si>
    <t xml:space="preserve">Sebamed is listed among The Womb's clients in the Accenture acquisition report.</t>
  </si>
  <si>
    <t xml:space="preserve">https://www.indianweb2.com/2026/07/accenture-in-advanced-talks-to-acquire.html</t>
  </si>
  <si>
    <t xml:space="preserve">https://www.afaqs.com/news/advertising/sebamed-draws-a-line-between-hair-fall-and-hair-loss-in-new-campaign-12162719</t>
  </si>
  <si>
    <t xml:space="preserve">Stranger &amp; Sons</t>
  </si>
  <si>
    <t xml:space="preserve">Third Eye Distillery</t>
  </si>
  <si>
    <t xml:space="preserve">Craft gin with design-led brand</t>
  </si>
  <si>
    <t xml:space="preserve">No Stranger &amp; Sons agency credit surfaced.</t>
  </si>
  <si>
    <t xml:space="preserve">Sula Vineyards</t>
  </si>
  <si>
    <t xml:space="preserve">Sula Vineyards Ltd</t>
  </si>
  <si>
    <t xml:space="preserve">Listed; board changes 2026; SulaFest and wine tourism IP</t>
  </si>
  <si>
    <t xml:space="preserve">Medianews4u search for Sula found board news (Aug 2026) but no agency credit.</t>
  </si>
  <si>
    <t xml:space="preserve">https://www.medianews4u.com/sula-vineyards-appoints-chaitanya-rathi-as-non-executive-director/</t>
  </si>
  <si>
    <t xml:space="preserve">The Body Shop India</t>
  </si>
  <si>
    <t xml:space="preserve">The Body Shop (India franchise)</t>
  </si>
  <si>
    <t xml:space="preserve">Milestone celebrations 2026; social and experiential led</t>
  </si>
  <si>
    <t xml:space="preserve">Social Samosa interviews with marketing head Harmeet Singh (2025, 2026) name no agency.</t>
  </si>
  <si>
    <t xml:space="preserve">https://www.socialsamosa.com/industry-updates/harmeet-singh-the-body-shop-milestone-celebration-11879802</t>
  </si>
  <si>
    <t xml:space="preserve">Tira</t>
  </si>
  <si>
    <t xml:space="preserve">Toaster India (Digital); BC Web Wise (Digital) unconfirmed</t>
  </si>
  <si>
    <t xml:space="preserve">Ahaan Panday ambassador (Feb 2026); Reliance bought Anomaly (Apr 2026) and launched AJIO Beauty (Jul 2026); Undated logo wall; verify India scope and current status.</t>
  </si>
  <si>
    <t xml:space="preserve">Tira appears among BC Web Wise client logos.</t>
  </si>
  <si>
    <t xml:space="preserve">https://www.medianews4u.com/toaster-insea-launches-full-funnel-digital-campaign-for-tira-beauty-to-engage-multi-generational-audiences/</t>
  </si>
  <si>
    <t xml:space="preserve">https://www.bcwebwise.com/</t>
  </si>
  <si>
    <t xml:space="preserve">TVS Ronin</t>
  </si>
  <si>
    <t xml:space="preserve">TBWA\Lintas (Creative, since 2022)</t>
  </si>
  <si>
    <t xml:space="preserve">TVS leadership change Aug 2026; roster split with Kinnect and Lintas</t>
  </si>
  <si>
    <t xml:space="preserve">TBWA\Lintas' TVS Ronin 'The Art of Protection' is on The Work 2026 hot list; TBWA India launched Ronin in 2022.</t>
  </si>
  <si>
    <t xml:space="preserve">https://campaignbriefasia.com/2026/09/16/the-work-2026-asia-hot-list-7-tbwalintas-india/</t>
  </si>
  <si>
    <t xml:space="preserve">Ultrahuman</t>
  </si>
  <si>
    <t xml:space="preserve">Ultrahuman Healthcare</t>
  </si>
  <si>
    <t xml:space="preserve">Global wearable brand; sports partnerships</t>
  </si>
  <si>
    <t xml:space="preserve">Medianews4u search for Ultrahuman found no agency credit.</t>
  </si>
  <si>
    <t xml:space="preserve">Ultraviolette</t>
  </si>
  <si>
    <t xml:space="preserve">Ultraviolette Automotive</t>
  </si>
  <si>
    <t xml:space="preserve">tgthr (Integrated, since 2024) unconfirmed</t>
  </si>
  <si>
    <t xml:space="preserve">Two years since last credit; new models expanding range.</t>
  </si>
  <si>
    <t xml:space="preserve">tgthr conceptualised and shot the integrated campaign for Ultraviolette's F77 Mach 2.</t>
  </si>
  <si>
    <t xml:space="preserve">https://www.afaqs.com/news/advertising/tgthr-launches-an-integrated-campaign-for-ultraviolettes-f77-mach-2-7235171</t>
  </si>
  <si>
    <t xml:space="preserve">Air India</t>
  </si>
  <si>
    <t xml:space="preserve">Tata Sons (Air India Ltd)</t>
  </si>
  <si>
    <t xml:space="preserve">Dentsu Creative India (Media, since 2026); McCann India (Creative, since 2023); McCann India (Integrated, since 2023)</t>
  </si>
  <si>
    <t xml:space="preserve">Dentsu, Omnicom</t>
  </si>
  <si>
    <t xml:space="preserve">Initiative (Omnicom Media) (Media)</t>
  </si>
  <si>
    <t xml:space="preserve">Fresh media reshuffle often triggers creative and content rethink; Dentsu India under tax probe and global restructuring.; Media moved 2026-06; Dentsu India tax searches 2026-09; Media moved to Dentsu in Jun 2026; new CEO Tewolde Gebremariam (Aug 2026) and comms head Partha Ghosh exited (Sep 2026); FY26 loss over Rs 22,000 crore; McCann now inside Omnicom post IPG merger.; Brand reset needed after the June 2025 AI171 crash; incumbent since 2023; Leadership reset 2026-09 (new CEO-designate, comms head exit); media moved 2026-06; creative incumbent not verified; Account in motion; agency review mindset at the airline.; Lost 2026-06 after about 2 years amid Omnicom-IPG integration</t>
  </si>
  <si>
    <t xml:space="preserve">Air India's Sep 2026 Vaibhav Sooryavanshi brand film was made with creative agency McCann, which has held the creative mandate since 2023.</t>
  </si>
  <si>
    <t xml:space="preserve">https://www.afaqs.com/news/newbizwins/dentsu-to-handle-air-indias-media-mandate-12068834</t>
  </si>
  <si>
    <t xml:space="preserve">https://www.storyboard18.com/brand-marketing/exclusive-dentsu-poised-to-secure-air-indias-media-business-102161.htm</t>
  </si>
  <si>
    <t xml:space="preserve">AJIO</t>
  </si>
  <si>
    <t xml:space="preserve">22feet Tribal Worldwide (Digital, since 2026); 22feet Tribal Worldwide (Creative); Manja (Creative); Wondrlab (Creative)</t>
  </si>
  <si>
    <t xml:space="preserve">Incumbent turmoil, Split roster, Just moved (honeymoon)</t>
  </si>
  <si>
    <t xml:space="preserve">Freshly pitched, hard to move; CMO Arpan Biswas; Moved 2026-05; agency inside Omnicom-IPG India integration; Kinnect and 22feet leadership merged under Chandni Shah; unit says it will take only five new clients in 2026; Project-based creative roster; Creative split between Wondrlab and Manja; AJIO Luxe and AJIO Beauty (Jul 2026) need work; AJIO named 22feet its digital agency of record in May 2026.</t>
  </si>
  <si>
    <t xml:space="preserve">AJIO and 22feet launched the 'Rakhi Recovery Abhiyaan' campaign in Aug 2026.</t>
  </si>
  <si>
    <t xml:space="preserve">https://www.socialsamosa.com/industry-updates/22feet-digital-aor-ajio-11834732</t>
  </si>
  <si>
    <t xml:space="preserve">https://www.storyboard18.com/brand-marketing/exclusive-ajio-appoints-22feet-as-its-digital-agency-of-record-98103.htm</t>
  </si>
  <si>
    <t xml:space="preserve">Allen Solly</t>
  </si>
  <si>
    <t xml:space="preserve">Ogilvy India (Creative, since 2019)</t>
  </si>
  <si>
    <t xml:space="preserve">New AVP Marketing Raghuvar Seth (Apr 2026); Sania Mirza first womenswear ambassador (Sep 2025)</t>
  </si>
  <si>
    <t xml:space="preserve">Ogilvy South conceptualised Allen Solly's 'Legs Now Turn Heads' film (Apr 2025), continuing Ogilvy's Allen Solly work since 2019.</t>
  </si>
  <si>
    <t xml:space="preserve">https://www.medianews4u.com/allen-solly-elevates-mens-fashion-with-bottomwear-focused-legs-now-turn-heads-campaign/</t>
  </si>
  <si>
    <t xml:space="preserve">Aparna Venster and Okotech</t>
  </si>
  <si>
    <t xml:space="preserve">Aparna Enterprises</t>
  </si>
  <si>
    <t xml:space="preserve">Hashtag Orange (Digital, since 2025)</t>
  </si>
  <si>
    <t xml:space="preserve">Hashtag Orange won the digital mandate for Aparna Venster uPVC windows and Okotech.</t>
  </si>
  <si>
    <t xml:space="preserve">2025-08</t>
  </si>
  <si>
    <t xml:space="preserve">https://www.afaqs.com/news/newbizwins/hashtag-orange-wins-digital-mandate-for-aparna-venster-and-okotech-9632214</t>
  </si>
  <si>
    <t xml:space="preserve">Arvind Limited</t>
  </si>
  <si>
    <t xml:space="preserve">Saatchi &amp; Saatchi India (Integrated, since 2024)</t>
  </si>
  <si>
    <t xml:space="preserve">New comms head 2026-09</t>
  </si>
  <si>
    <t xml:space="preserve">Arvind appointed Swagat Lakku as head of corporate communications.</t>
  </si>
  <si>
    <t xml:space="preserve">https://www.medianews4u.com/arvind-limited-appoints-lk-saatchi-saatchi-as-marketing-strategic-partner/</t>
  </si>
  <si>
    <t xml:space="preserve">https://www.afaqs.com/corporate-communications-and-pr/arvind-appoints-swagat-lakku-as-head-of-corporate-communications-12588593</t>
  </si>
  <si>
    <t xml:space="preserve">Ashiana Housing</t>
  </si>
  <si>
    <t xml:space="preserve">Ashiana Housing Ltd</t>
  </si>
  <si>
    <t xml:space="preserve">Arena Media India (Havas) (Media, since 2026)</t>
  </si>
  <si>
    <t xml:space="preserve">Media just reset; senior living and premium projects need creative partner.; Media appointed 2026-09; creative partner not disclosed</t>
  </si>
  <si>
    <t xml:space="preserve">Arena Media India won Ashiana Housing's integrated media mandate after a multi-agency pitch.</t>
  </si>
  <si>
    <t xml:space="preserve">https://www.afaqs.com/news/newbizwins/arena-media-india-wins-integrated-media-mandate-for-ashiana-housing-12533294</t>
  </si>
  <si>
    <t xml:space="preserve">Bhima Jewellers</t>
  </si>
  <si>
    <t xml:space="preserve">Bhima Gold Pvt Ltd</t>
  </si>
  <si>
    <t xml:space="preserve">Dentsu Creative Webchutney (Creative); Ulka (BBDO Group) (Creative) unconfirmed</t>
  </si>
  <si>
    <t xml:space="preserve">Heritage jeweller; project film credit, social and content likely separate; Ulka moved into BBDO Group; new group CEO Jitender Dabas from Feb 2026</t>
  </si>
  <si>
    <t xml:space="preserve">Webchutney conceptualised and executed Bhima's 'RaasLeela' jewellery film.</t>
  </si>
  <si>
    <t xml:space="preserve">https://www.medianews4u.com/bhima-jewels-diamond-range-encourages-women-to-indulge-in-self-love-with-sobhita-dhulipala-as-its-face/</t>
  </si>
  <si>
    <t xml:space="preserve">https://www.medianews4u.com/dentsu-creative-webchutney-crafts-a-surreal-vrindavan-for-bhimas-raasleela-jewellery-film/</t>
  </si>
  <si>
    <t xml:space="preserve">Blackberrys</t>
  </si>
  <si>
    <t xml:space="preserve">Mohan Clothing Co.</t>
  </si>
  <si>
    <t xml:space="preserve">Dentsu Creative Isobar (Integrated, since 2026); GreenHonchos (Digital, since 2025)</t>
  </si>
  <si>
    <t xml:space="preserve">Just pitched Aug 2026; watch for content and influencer spillover work; Dentsu India offices searched by tax authorities Sep 2026; COO South Asia retired Aug 2026 and Chief Client Officer exited Nov 2025; Moved 2026-08; Dentsu India offices searched in GST probe 2026-09; parent cutting about 3,400 jobs; Split: digital with GreenHonchos since Jul 2025.; Creative moved to a network agency in Aug 2026; digital may get consolidated.</t>
  </si>
  <si>
    <t xml:space="preserve">Integrated creative mandate covering brand strategy, store branding, social and activations won after multi-agency pitch, Gurgaon office.</t>
  </si>
  <si>
    <t xml:space="preserve">https://www.afaqs.com/news/newbizwins/dentsu-creative-isobar-bags-integrated-creative-mandate-for-blackberrys-12249821</t>
  </si>
  <si>
    <t xml:space="preserve">https://www.afaqs.com/news/newbizwins/greenhonchos-wins-digital-mandate-for-blackberrys-9476792</t>
  </si>
  <si>
    <t xml:space="preserve">Broadway</t>
  </si>
  <si>
    <t xml:space="preserve">Broadway (retail)</t>
  </si>
  <si>
    <t xml:space="preserve">SoCheers (Creative); SoCheers (Integrated)</t>
  </si>
  <si>
    <t xml:space="preserve">Broadway launched its Pune store with a culture led campaign by SoCheers.</t>
  </si>
  <si>
    <t xml:space="preserve">https://www.afaqs.com/news/mktg/broadway-launches-pune-store-with-culture-led-campaign-by-socheers-11775191</t>
  </si>
  <si>
    <t xml:space="preserve">Buckaroo</t>
  </si>
  <si>
    <t xml:space="preserve">Buckaroo Footwear</t>
  </si>
  <si>
    <t xml:space="preserve">McCann's 'Fit My Feet' for Buckaroo won D&amp;AD and One Show 2025 awards.</t>
  </si>
  <si>
    <t xml:space="preserve">https://www.storyboard18.com/agency-news/mccann-worldgroup-leads-indian-wins-at-dad-awards-2025-67113.htm</t>
  </si>
  <si>
    <t xml:space="preserve">CaratLane</t>
  </si>
  <si>
    <t xml:space="preserve">BBH India (Creative, since 2023)</t>
  </si>
  <si>
    <t xml:space="preserve">High 2026 campaign cadence (first ambassador Yami Gautam Mar 2026, Teej, Kaashika) without agency credit; new CSO and CFO in 2026; BBH CCO also took on Propagate CCO role (Dec 2025)</t>
  </si>
  <si>
    <t xml:space="preserve">BBH India created CaratLane's 'Written in the Stars' engagement ring film (Dec 2025) after its Pujo 2025 film.</t>
  </si>
  <si>
    <t xml:space="preserve">https://www.passionateinmarketing.com/caratlane-launches-the-nudge-chapter-2-of-its-engagement-campaign/</t>
  </si>
  <si>
    <t xml:space="preserve">https://www.afaqs.com/news/advertising/bbh-india-crafts-caratlanes-pujo-film-maayer-aashirbaad-a-romantic-ode-to-bengal-10059286</t>
  </si>
  <si>
    <t xml:space="preserve">Carlton</t>
  </si>
  <si>
    <t xml:space="preserve">VIP Industries</t>
  </si>
  <si>
    <t xml:space="preserve">SoCheers work page lists Carlton luggage under Fashion / Beauty / Luxury.</t>
  </si>
  <si>
    <t xml:space="preserve">https://socheers.in/work</t>
  </si>
  <si>
    <t xml:space="preserve">Casagrand</t>
  </si>
  <si>
    <t xml:space="preserve">AdLift (Liqvd Asia) (Digital, since 2026)</t>
  </si>
  <si>
    <t xml:space="preserve">Project level digital mandate 2026-08; brand creative not disclosed; AI-search scope only; creative and social open.</t>
  </si>
  <si>
    <t xml:space="preserve">AdLift won an AI search visibility mandate from Casagrand for Tesseract.</t>
  </si>
  <si>
    <t xml:space="preserve">https://www.afaqs.com/news/newbizwins/adlift-wins-ai-search-visibility-mandate-from-casagrand-for-tesseract-12255953</t>
  </si>
  <si>
    <t xml:space="preserve">Casio G-Shock</t>
  </si>
  <si>
    <t xml:space="preserve">Casio India</t>
  </si>
  <si>
    <t xml:space="preserve">Wieden+Kennedy India (Creative, since 2023) unconfirmed</t>
  </si>
  <si>
    <t xml:space="preserve">Casio India pushing Gen Z (2026 interviews and 'Never Just One' campaign)</t>
  </si>
  <si>
    <t xml:space="preserve">Wieden+Kennedy India won Casio G-Shock's creative mandate (Jul 2023).</t>
  </si>
  <si>
    <t xml:space="preserve">2023-07</t>
  </si>
  <si>
    <t xml:space="preserve">https://www.medianews4u.com/wieden-kennedy-india-wins-casio-g-shocks-creative-mandate/</t>
  </si>
  <si>
    <t xml:space="preserve">Chandrani Pearls</t>
  </si>
  <si>
    <t xml:space="preserve">Three Fourth Solutions (Integrated, since 2026)</t>
  </si>
  <si>
    <t xml:space="preserve">Appointed 2026-07</t>
  </si>
  <si>
    <t xml:space="preserve">Three Fourth Solutions won the marketing mandate for Chandrani Pearls.</t>
  </si>
  <si>
    <t xml:space="preserve">https://www.afaqs.com/news/newbizwins/three-fourth-solutions-wins-marketing-mandate-for-chandrani-pearls-12204750</t>
  </si>
  <si>
    <t xml:space="preserve">Converse India</t>
  </si>
  <si>
    <t xml:space="preserve">Converse (Nike)</t>
  </si>
  <si>
    <t xml:space="preserve">Lyxel&amp;Flamingo (Content)</t>
  </si>
  <si>
    <t xml:space="preserve">SEO only; social and creative open.</t>
  </si>
  <si>
    <t xml:space="preserve">Lyxel&amp;Flamingo lists Converse India SEO and GEO organic growth case studies.</t>
  </si>
  <si>
    <t xml:space="preserve">https://lyxelandflamingo.com/case-studies/seo/converse-india-seo-organic-growth-case-study/</t>
  </si>
  <si>
    <t xml:space="preserve">Courtyard by Marriott Gurugram Downtown</t>
  </si>
  <si>
    <t xml:space="preserve">Brand Catapult (Social, since 2021) unconfirmed</t>
  </si>
  <si>
    <t xml:space="preserve">Five years in; likely due for review.</t>
  </si>
  <si>
    <t xml:space="preserve">Brand Catapult won the creative and social media mandate for Courtyard by Marriott Gurugram Downtown after a multi-agency pitch.</t>
  </si>
  <si>
    <t xml:space="preserve">2021-06</t>
  </si>
  <si>
    <t xml:space="preserve">https://www.afaqs.com/news/advertising/courtyard-by-marriott-gurugram-downtown-awards-its-creative-socialmedia-marketing-mandate-to-brand-catapult</t>
  </si>
  <si>
    <t xml:space="preserve">Dosti Realty</t>
  </si>
  <si>
    <t xml:space="preserve">Dosti Group</t>
  </si>
  <si>
    <t xml:space="preserve">Dosti 1 Mumbai campaign with Anil Kapoor conceptualised by Lowe Lintas.</t>
  </si>
  <si>
    <t xml:space="preserve">2023-09</t>
  </si>
  <si>
    <t xml:space="preserve">https://www.medianews4u.com/dosti-1-mumbai-rides-anil-kapoors-charisma-and-comedy-chops/</t>
  </si>
  <si>
    <t xml:space="preserve">Florsheim India</t>
  </si>
  <si>
    <t xml:space="preserve">Makani Creatives (Integrated, since 2024)</t>
  </si>
  <si>
    <t xml:space="preserve">Makani Creatives was appointed for Florsheim's brand development and communication across traditional and digital.</t>
  </si>
  <si>
    <t xml:space="preserve">https://www.afaqs.com/news/advertising/makani-creatives-wins-integrated-creative-mandate-for-florsheim-shoes-7451769</t>
  </si>
  <si>
    <t xml:space="preserve">Garden Vareli</t>
  </si>
  <si>
    <t xml:space="preserve">SW Network (Sociowash) (Performance, since 2026)</t>
  </si>
  <si>
    <t xml:space="preserve">Performance only assigned 2026-08; brand creative not disclosed</t>
  </si>
  <si>
    <t xml:space="preserve">SW Network won Garden Vareli's performance marketing mandate.</t>
  </si>
  <si>
    <t xml:space="preserve">https://www.afaqs.com/news/newbizwins/sw-network-bags-garden-varelis-performance-marketing-mandate-12425632</t>
  </si>
  <si>
    <t xml:space="preserve">ICONIQA Hotels &amp; Resorts</t>
  </si>
  <si>
    <t xml:space="preserve">Royal Orchid Hotels</t>
  </si>
  <si>
    <t xml:space="preserve">Experience Commerce (Cheil) (Social, since 2026)</t>
  </si>
  <si>
    <t xml:space="preserve">Leadership change, Fresh budget or launch, Renewal due, Just moved (honeymoon)</t>
  </si>
  <si>
    <t xml:space="preserve">One-year tenure means renewal pitch around Mar 2027.; One-year term; renewal due around Mar 2027; Social appointed 2026-03; creative, PR and content partners not disclosed; One year tenure means renewal or re-pitch around Mar 2027; One-year tenure means renewal due around Mar 2027; hospitality-specialist pitch window.; Social only; PR and launch experiences for the new upscale brand open.</t>
  </si>
  <si>
    <t xml:space="preserve">Experience Commerce won ICONIQA's social media mandate for a one-year tenure after a multi-agency pitch.</t>
  </si>
  <si>
    <t xml:space="preserve">https://www.afaqs.com/news/newbizwins/experience-commerce-wins-social-media-mandate-for-iconiqa-hotels-resorts-11438545</t>
  </si>
  <si>
    <t xml:space="preserve">https://www.medianews4u.com/experience-commerce-bags-social-media-mandate-for-iconiqa-hotels-resorts/</t>
  </si>
  <si>
    <t xml:space="preserve">IRUS Eyewear</t>
  </si>
  <si>
    <t xml:space="preserve">Ronak Optics</t>
  </si>
  <si>
    <t xml:space="preserve">Makani Creatives (Creative) unconfirmed</t>
  </si>
  <si>
    <t xml:space="preserve">Makani Creatives crafted IRUS Eyewear's 'Look Again' campaign with Kartik Aaryan.</t>
  </si>
  <si>
    <t xml:space="preserve">https://www.afaqs.com/news/advertising/irus-eyewear-and-kartik-aaryan-urge-viewers-to-look-again-to-challenge-misconceptions-about-gen-z</t>
  </si>
  <si>
    <t xml:space="preserve">Joyalukkas</t>
  </si>
  <si>
    <t xml:space="preserve">Joyalukkas Group</t>
  </si>
  <si>
    <t xml:space="preserve">Havas Media India (Media, since 2023)</t>
  </si>
  <si>
    <t xml:space="preserve">No creative or social agency named; Samantha Ruth Prabhu signed Oct 2025; India plus GCC bridal push</t>
  </si>
  <si>
    <t xml:space="preserve">Joyalukkas' Dec 2025 wedding-season strategy piece names Havas Media as its agency of record since 2023.</t>
  </si>
  <si>
    <t xml:space="preserve">https://www.socialsamosa.com/marketing-shorts/joyalukkas-marketing-strategy-for-indias-costliest-wedding-season-yet-10901443</t>
  </si>
  <si>
    <t xml:space="preserve">Kalapuri</t>
  </si>
  <si>
    <t xml:space="preserve">VML India (Creative); Grey 82.5 (Ogilvy) (Experiential)</t>
  </si>
  <si>
    <t xml:space="preserve">Award led work; 82.5 also credited on Kalapuri; Two WPP agencies credited on the same brand</t>
  </si>
  <si>
    <t xml:space="preserve">VML India's 'The Kolhapuri' for Kalapuri won the Kyoorius 2026 Black Elephant and Cannes 2026 shortlists.</t>
  </si>
  <si>
    <t xml:space="preserve">https://www.medianews4u.com/india-at-cannes-lions-2026-17-shortlists-and-counting-as-ogilvy-vml-lead-the-charge/</t>
  </si>
  <si>
    <t xml:space="preserve">Kanakia Group</t>
  </si>
  <si>
    <t xml:space="preserve">Kanakia Spaces</t>
  </si>
  <si>
    <t xml:space="preserve">The Think Tank (Creative, since 2024)</t>
  </si>
  <si>
    <t xml:space="preserve">Two years in.</t>
  </si>
  <si>
    <t xml:space="preserve">The Think Tank secured Kanakia Group's creative mandate.</t>
  </si>
  <si>
    <t xml:space="preserve">https://www.afaqs.com/news/advertising/the-think-tank-secures-creative-mandate-for-kanakia-group</t>
  </si>
  <si>
    <t xml:space="preserve">L&amp;T Realty</t>
  </si>
  <si>
    <t xml:space="preserve">Larsen &amp; Toubro</t>
  </si>
  <si>
    <t xml:space="preserve">Contract Advertising (VML) (Creative) unconfirmed</t>
  </si>
  <si>
    <t xml:space="preserve">No recent credit visible</t>
  </si>
  <si>
    <t xml:space="preserve">Contract Advertising made an L&amp;T Realty film on trust and relationships in Dec 2021.</t>
  </si>
  <si>
    <t xml:space="preserve">2021-12</t>
  </si>
  <si>
    <t xml:space="preserve">https://www.medianews4u.com/contract-advertisings-new-film-for-lt-realty-puts-the-spotlight-on-trust-and-relationships/</t>
  </si>
  <si>
    <t xml:space="preserve">Lee (India)</t>
  </si>
  <si>
    <t xml:space="preserve">Ace Turtle</t>
  </si>
  <si>
    <t xml:space="preserve">Leo India (Creative, since 2021) unconfirmed</t>
  </si>
  <si>
    <t xml:space="preserve">Five-year-old appointment with no recent evidence; fashion brand likely open to social and content specialists</t>
  </si>
  <si>
    <t xml:space="preserve">Ace Turtle appointed Leo Burnett Orchard as creative partner for Lee in India (Aug 2021).</t>
  </si>
  <si>
    <t xml:space="preserve">2021-08</t>
  </si>
  <si>
    <t xml:space="preserve">https://www.medianews4u.com/ace-turtle-appoints-leo-burnett-orchard-as-creative-partners-for-lee/</t>
  </si>
  <si>
    <t xml:space="preserve">Louis Stitch</t>
  </si>
  <si>
    <t xml:space="preserve">Image Stereo (PR, since 2025)</t>
  </si>
  <si>
    <t xml:space="preserve">Agency roster skews to mass alcobev; fit for premium menswear is thin.</t>
  </si>
  <si>
    <t xml:space="preserve">Louis Stitch roped in Image Stereo for PR and communications.</t>
  </si>
  <si>
    <t xml:space="preserve">https://www.afaqs.com/news/newbizwins/louis-stitch-ropes-in-image-stereo-for-pr-communications-mandate-9602128</t>
  </si>
  <si>
    <t xml:space="preserve">Mangi</t>
  </si>
  <si>
    <t xml:space="preserve">Curry Nation (Integrated, since 2026)</t>
  </si>
  <si>
    <t xml:space="preserve">Curry Nation won high-end fashion jewellery brand Mangi covering brand strategy, social, content and performance.</t>
  </si>
  <si>
    <t xml:space="preserve">https://www.medianews4u.com/curry-nation-wins-integrated-digital-and-growth-mandates-across-jewellery-technology-and-kitchenware/</t>
  </si>
  <si>
    <t xml:space="preserve">Mohey (Manyavar)</t>
  </si>
  <si>
    <t xml:space="preserve">Shreyansh Solutions (Integrated)</t>
  </si>
  <si>
    <t xml:space="preserve">New celebrity couple; small independent incumbent</t>
  </si>
  <si>
    <t xml:space="preserve">Shreyansh Solutions created Manyavar Mohey's 360 campaign with Rashmika Mandanna and Vijay Deverakonda (Mar 2026).</t>
  </si>
  <si>
    <t xml:space="preserve">https://www.medianews4u.com/manyavar-mohey-onboards-rashmika-mandanna-vijay-deverakonda-as-its-brand-ambassadors-for-its-new-campaign-made-for-each-other/</t>
  </si>
  <si>
    <t xml:space="preserve">Mokobara</t>
  </si>
  <si>
    <t xml:space="preserve">Moonshot (Creative)</t>
  </si>
  <si>
    <t xml:space="preserve">Diljit ad drew plagiarism comparisons with a Carlton campaign, possible brand friction; Premium D2C luggage with growing offline sales</t>
  </si>
  <si>
    <t xml:space="preserve">Medianews4u search for Mokobara returned no agency credit.</t>
  </si>
  <si>
    <t xml:space="preserve">Monte Carlo</t>
  </si>
  <si>
    <t xml:space="preserve">Oswal Woollen Mills</t>
  </si>
  <si>
    <t xml:space="preserve">Hashtag Orange (Digital) unconfirmed</t>
  </si>
  <si>
    <t xml:space="preserve">Hashtag Orange case studies list Monte Carlo across tech, SEO, creative, social and media.</t>
  </si>
  <si>
    <t xml:space="preserve">https://www.hashtagorange.in/case-studies</t>
  </si>
  <si>
    <t xml:space="preserve">MPJ</t>
  </si>
  <si>
    <t xml:space="preserve">Curry Nation won gemstone jewellery brand MPJ covering digital ecosystem, social and growth.</t>
  </si>
  <si>
    <t xml:space="preserve">Mufti</t>
  </si>
  <si>
    <t xml:space="preserve">Credo Brands Marketing</t>
  </si>
  <si>
    <t xml:space="preserve">Hashtag Orange (Performance) unconfirmed</t>
  </si>
  <si>
    <t xml:space="preserve">SEO and media only; creative and social scope open.</t>
  </si>
  <si>
    <t xml:space="preserve">Hashtag Orange case studies list Mufti for tech, SEO and media.</t>
  </si>
  <si>
    <t xml:space="preserve">Park Avenue</t>
  </si>
  <si>
    <t xml:space="preserve">Glad U Came (PR, since 2023) unconfirmed</t>
  </si>
  <si>
    <t xml:space="preserve">Event-specific PR; Kinnect held digital in 2019; roster looks stale</t>
  </si>
  <si>
    <t xml:space="preserve">Glad U Came won Park Avenue's PR mandate for Lakme Fashion Week x FDCI (Oct 2023).</t>
  </si>
  <si>
    <t xml:space="preserve">https://www.medianews4u.com/glad-u-came-bagged-the-pr-mandate-of-park-avenue-for-lakme-fashion-week-x-fdci/</t>
  </si>
  <si>
    <t xml:space="preserve">PCPL (Pranav Constructions)</t>
  </si>
  <si>
    <t xml:space="preserve">Pranav Constructions</t>
  </si>
  <si>
    <t xml:space="preserve">Tonic Worldwide won PCPL's integrated digital mandate (social, SEO, performance) after a multi-agency pitch.</t>
  </si>
  <si>
    <t xml:space="preserve">https://www.medianews4u.com/tonic-worldwide-wins-digital-mandate-for-pcpl/</t>
  </si>
  <si>
    <t xml:space="preserve">PN Gadgil &amp; Sons (PNGS)</t>
  </si>
  <si>
    <t xml:space="preserve">PN Gadgil &amp; Sons Ltd</t>
  </si>
  <si>
    <t xml:space="preserve">Hovers (Performance, since 2025)</t>
  </si>
  <si>
    <t xml:space="preserve">Performance only; brand, social and PR for a listed jeweller not assigned publicly.; Listed 2024; new ambassador; sub-brand Gargi active with Mithila Palkar</t>
  </si>
  <si>
    <t xml:space="preserve">Hovers won the performance marketing mandate for PN Gadgil &amp; Sons.</t>
  </si>
  <si>
    <t xml:space="preserve">https://www.afaqs.com/news/newbizwins/hovers-wins-performance-marketing-mandate-for-pn-gadgil-sons-8984830</t>
  </si>
  <si>
    <t xml:space="preserve">https://www.medianews4u.com/p-n-gadgil-and-sons-welcomes-sonali-bendre-as-brand-ambassador/</t>
  </si>
  <si>
    <t xml:space="preserve">Rustomjee</t>
  </si>
  <si>
    <t xml:space="preserve">Keystone Realtors</t>
  </si>
  <si>
    <t xml:space="preserve">Ogilvy India (Integrated)</t>
  </si>
  <si>
    <t xml:space="preserve">Lost its luxury sales and marketing chief Rakesh Setia to Runwal (Apr 2026).</t>
  </si>
  <si>
    <t xml:space="preserve">Rustomjee partnered with Ogilvy India on an integrated campaign shifting from property features to family life.</t>
  </si>
  <si>
    <t xml:space="preserve">https://www.campaignindia.in/article/rustomjee-and-ogilvy-redefine-family-through-new-campaign/421rnxh59t4z2v5yzjh762yr5a</t>
  </si>
  <si>
    <t xml:space="preserve">Samsonite</t>
  </si>
  <si>
    <t xml:space="preserve">Samsonite South Asia</t>
  </si>
  <si>
    <t xml:space="preserve">Grapes Worldwide (Content)</t>
  </si>
  <si>
    <t xml:space="preserve">Content-only scope; social and brand storytelling not in Grapes' remit per case study.</t>
  </si>
  <si>
    <t xml:space="preserve">Grapes case study: built the Autonomic AI-led e-commerce content system for Samsonite, extended to Prime Day creative.</t>
  </si>
  <si>
    <t xml:space="preserve">https://www.grapesworldwide.com/case-study/samsonite-autonomic</t>
  </si>
  <si>
    <t xml:space="preserve">Saundh</t>
  </si>
  <si>
    <t xml:space="preserve">Saundh India</t>
  </si>
  <si>
    <t xml:space="preserve">Alphabet Media (PR, since 2023) unconfirmed</t>
  </si>
  <si>
    <t xml:space="preserve">Three years in.</t>
  </si>
  <si>
    <t xml:space="preserve">Alphabet Media won the PR mandate for luxury ethnic wear brand Saundh after a multi-agency pitch.</t>
  </si>
  <si>
    <t xml:space="preserve">https://www.afaqs.com/corporate-communications-and-pr/alphabet-media-wins-the-pr-mandate-for-luxury-fashion-brand-saundh</t>
  </si>
  <si>
    <t xml:space="preserve">Savills India</t>
  </si>
  <si>
    <t xml:space="preserve">Savills</t>
  </si>
  <si>
    <t xml:space="preserve">Communicate India (PR) unconfirmed</t>
  </si>
  <si>
    <t xml:space="preserve">Communicate India's site shows a Savills India real estate PR case study.</t>
  </si>
  <si>
    <t xml:space="preserve">https://www.communicateindia.com/</t>
  </si>
  <si>
    <t xml:space="preserve">Skybags</t>
  </si>
  <si>
    <t xml:space="preserve">Schbang (Creative) unconfirmed</t>
  </si>
  <si>
    <t xml:space="preserve">Schbang work page shows the repositioning of Skybags from a bag to an adventure identity.</t>
  </si>
  <si>
    <t xml:space="preserve">https://www.schbang.com/work</t>
  </si>
  <si>
    <t xml:space="preserve">Sterling Holidays</t>
  </si>
  <si>
    <t xml:space="preserve">Thomas Cook India</t>
  </si>
  <si>
    <t xml:space="preserve">Webenza (Digital) unconfirmed</t>
  </si>
  <si>
    <t xml:space="preserve">Webenza's homepage features Sterling Holidays among client logos and case study tiles.</t>
  </si>
  <si>
    <t xml:space="preserve">Superdry Sport</t>
  </si>
  <si>
    <t xml:space="preserve">Reliance Brands</t>
  </si>
  <si>
    <t xml:space="preserve">SoCheers work page lists Superdry Sport under Fashion / Beauty / Luxury.</t>
  </si>
  <si>
    <t xml:space="preserve">Swiss Military</t>
  </si>
  <si>
    <t xml:space="preserve">Compass Communications (PR, since 2026)</t>
  </si>
  <si>
    <t xml:space="preserve">PR appointed 2026-03; creative not disclosed</t>
  </si>
  <si>
    <t xml:space="preserve">Swiss Military appointed Compass Communications as strategic communications partner.</t>
  </si>
  <si>
    <t xml:space="preserve">https://www.afaqs.com/news/newbizwins/swiss-military-appoints-compass-communications-as-strategic-comms-partner-11224671</t>
  </si>
  <si>
    <t xml:space="preserve">Tasva</t>
  </si>
  <si>
    <t xml:space="preserve">Dentsu Creative India (Creative, since 2022) unconfirmed</t>
  </si>
  <si>
    <t xml:space="preserve">Shubman Gill became face of Tasva (Oct 2025); Olympics ceremonial dress partner 2024</t>
  </si>
  <si>
    <t xml:space="preserve">Taproot Dentsu created Tasva's men's ethnic wear launch campaign (Jan 2022); no later credit found.</t>
  </si>
  <si>
    <t xml:space="preserve">2022-01</t>
  </si>
  <si>
    <t xml:space="preserve">https://www.medianews4u.com/taproot-dentsu-and-aditya-birla-group-unshackle-mens-ethnic-wear-from-codes-of-conduct-in-their-latest-campaign/</t>
  </si>
  <si>
    <t xml:space="preserve">Tata Group IPL (Tata Motors, Air India Express and others)</t>
  </si>
  <si>
    <t xml:space="preserve">Tata Group</t>
  </si>
  <si>
    <t xml:space="preserve">Dentsu Creative India (Media, since 2026)</t>
  </si>
  <si>
    <t xml:space="preserve">Group-level consolidation trend at Tata; creative still brand by brand.</t>
  </si>
  <si>
    <t xml:space="preserve">Dentsu India won Tata Group's integrated IPL media mandate covering Tata Motors, Voltas, TATA AIG, CaratLane and Air India Express.</t>
  </si>
  <si>
    <t xml:space="preserve">https://www.storyboard18.com/agency-news/dentsu-india-wins-tata-groups-integrated-ipl-media-mandate-across-key-brands-99912.htm</t>
  </si>
  <si>
    <t xml:space="preserve">Tata Housing</t>
  </si>
  <si>
    <t xml:space="preserve">Tonic Worldwide (Digital) unconfirmed</t>
  </si>
  <si>
    <t xml:space="preserve">Tata Housing appears in Tonic Worldwide client list.</t>
  </si>
  <si>
    <t xml:space="preserve">https://www.tonicworldwide.com/</t>
  </si>
  <si>
    <t xml:space="preserve">The Pant Project</t>
  </si>
  <si>
    <t xml:space="preserve">Confiance Communications (PR, since 2026)</t>
  </si>
  <si>
    <t xml:space="preserve">The Pant Project named Confiance Communications as PR partner.</t>
  </si>
  <si>
    <t xml:space="preserve">https://www.afaqs.com/news/newbizwins/the-pant-project-names-confiance-communications-as-pr-partner-12186958</t>
  </si>
  <si>
    <t xml:space="preserve">The Park Hotels</t>
  </si>
  <si>
    <t xml:space="preserve">Apeejay Surrendra Park Hotels</t>
  </si>
  <si>
    <t xml:space="preserve">Brand Catapult (Digital) unconfirmed</t>
  </si>
  <si>
    <t xml:space="preserve">The Park appears among Brand Catapult client logos.</t>
  </si>
  <si>
    <t xml:space="preserve">https://www.brandcatapult.in/</t>
  </si>
  <si>
    <t xml:space="preserve">Titan Company (group influencer)</t>
  </si>
  <si>
    <t xml:space="preserve">Qoruz (Social, since 2025)</t>
  </si>
  <si>
    <t xml:space="preserve">Platform partner, not a creative agency; influencer strategy open</t>
  </si>
  <si>
    <t xml:space="preserve">Titan partnered with Qoruz for data-driven influencer marketing (Feb 2025).</t>
  </si>
  <si>
    <t xml:space="preserve">https://www.socialsamosa.com/industry-updates/titan-partners-qoruz-data-driven-influencer-marketing-8758644</t>
  </si>
  <si>
    <t xml:space="preserve">Triumph</t>
  </si>
  <si>
    <t xml:space="preserve">Triumph International</t>
  </si>
  <si>
    <t xml:space="preserve">Triumph appears in Tonic Worldwide client list.</t>
  </si>
  <si>
    <t xml:space="preserve">Underneat</t>
  </si>
  <si>
    <t xml:space="preserve">One Hand Clap (Creative)</t>
  </si>
  <si>
    <t xml:space="preserve">Underneat's 'Underwoman' superhero campaign is tagged to One Hand Clap (Feb 2026).</t>
  </si>
  <si>
    <t xml:space="preserve">https://www.afaqs.com/news/advertising/underneat-turns-wardrobe-drama-into-a-superhero-story-with-underwoman-11082470</t>
  </si>
  <si>
    <t xml:space="preserve">Uniqlo India</t>
  </si>
  <si>
    <t xml:space="preserve">Uniqlo India (Fast Retailing)</t>
  </si>
  <si>
    <t xml:space="preserve">Creativeland Asia (Creative)</t>
  </si>
  <si>
    <t xml:space="preserve">Frequent celebrity films (Dravid, Bumrah, Kriti Sanon)</t>
  </si>
  <si>
    <t xml:space="preserve">Creativeland Asia conceptualised Uniqlo's Jasprit Bumrah ad film, produced by Entourage Films (Apr 2026).</t>
  </si>
  <si>
    <t xml:space="preserve">https://www.medianews4u.com/entourage-films-brings-jasprit-bumrahs-off-field-ease-to-life-in-uniqlos-newest-campaign-ad-film/</t>
  </si>
  <si>
    <t xml:space="preserve">United Colors of Benetton</t>
  </si>
  <si>
    <t xml:space="preserve">Benetton India</t>
  </si>
  <si>
    <t xml:space="preserve">Lyxel&amp;Flamingo (Performance) unconfirmed</t>
  </si>
  <si>
    <t xml:space="preserve">Lyxel&amp;Flamingo case study covers a Diwali e-commerce performance campaign for UCB.</t>
  </si>
  <si>
    <t xml:space="preserve">https://lyxelandflamingo.com/case-studies/third-party-marketplaces/united-colors-of-benetton-diwali-ecommerce-performance-case-study/</t>
  </si>
  <si>
    <t xml:space="preserve">Van Heusen Innerwear</t>
  </si>
  <si>
    <t xml:space="preserve">Social Panga (Social, since 2021) unconfirmed</t>
  </si>
  <si>
    <t xml:space="preserve">Five-year-old mandate, no recent confirmation</t>
  </si>
  <si>
    <t xml:space="preserve">Van Heusen's innerwear range onboarded Social Panga as social media partner (Feb 2021).</t>
  </si>
  <si>
    <t xml:space="preserve">2021-02</t>
  </si>
  <si>
    <t xml:space="preserve">https://www.medianews4u.com/van-heusens-innerwear-range-onboards-social-panga-as-its-social-media-marketing-partner/</t>
  </si>
  <si>
    <t xml:space="preserve">Woodland</t>
  </si>
  <si>
    <t xml:space="preserve">Aero Club</t>
  </si>
  <si>
    <t xml:space="preserve">Liqvd Asia (Digital, since 2026); Liqvd Asia (Social, since 2026)</t>
  </si>
  <si>
    <t xml:space="preserve">Digital moved 2026-03</t>
  </si>
  <si>
    <t xml:space="preserve">Liqvd Asia won the digital communications mandate for Woodland.</t>
  </si>
  <si>
    <t xml:space="preserve">https://www.afaqs.com/news/newbizwins/liqvd-asia-bags-digital-communications-mandate-for-woodland-11187958</t>
  </si>
  <si>
    <t xml:space="preserve">Gulf Oil Lubricants India</t>
  </si>
  <si>
    <t xml:space="preserve">Gulf Oil Lubricants India (Hinduja Group)</t>
  </si>
  <si>
    <t xml:space="preserve">Curativity (Creative, since 2026); Mudra (ex DDB Mudra, BBDO Group) (Creative) unconfirmed; Dentsu Creative India (Creative) unconfirmed</t>
  </si>
  <si>
    <t xml:space="preserve">Moved 2026-04; DDB brand retired Jan 2026 and DDB Mudra split across McCann, BBDO Group (Mudra) and TBWA\Lintas; destination of this account not announced</t>
  </si>
  <si>
    <t xml:space="preserve">Curativity followed its Gulf Oil win with the Gulf Pride campaign starring MS Dhoni (Sep 2026).</t>
  </si>
  <si>
    <t xml:space="preserve">https://www.afaqs.com/news/newbizwins/curativity-bags-creative-mandate-for-gulf-oil-lubricants-india-11773577</t>
  </si>
  <si>
    <t xml:space="preserve">https://www.afaqs.com/news/advertising/gulf-pride-dhoni-12480108</t>
  </si>
  <si>
    <t xml:space="preserve">McDowell's No.1</t>
  </si>
  <si>
    <t xml:space="preserve">Incumbent turmoil, Split roster, Long tenure, Fresh budget or launch</t>
  </si>
  <si>
    <t xml:space="preserve">Incumbent for over a decade (fatigue); FSSAI flavouring action on some Diageo products Aug 2026 raises crisis comms need; DDB brand retired Jan 2026 and DDB Mudra split across McCann, BBDO Group (Mudra) and TBWA\Lintas; destination of this account not announced</t>
  </si>
  <si>
    <t xml:space="preserve">McDowell's No.1 is listed among DDB Mudra Group clients on The Work 2024 hot list.</t>
  </si>
  <si>
    <t xml:space="preserve">MyGlamm</t>
  </si>
  <si>
    <t xml:space="preserve">Good Glamm Group</t>
  </si>
  <si>
    <t xml:space="preserve">Parent Good Glamm Group restructuring and brand sell-offs reported 2025 [unverified, check before outreach]</t>
  </si>
  <si>
    <t xml:space="preserve">Only a 2021 CMO appointment surfaced on Social Samosa; no agency found.</t>
  </si>
  <si>
    <t xml:space="preserve">Nissan Magnite</t>
  </si>
  <si>
    <t xml:space="preserve">Nissan Motor India</t>
  </si>
  <si>
    <t xml:space="preserve">TBWA\Lintas (Integrated, since 2009)</t>
  </si>
  <si>
    <t xml:space="preserve">Nissan United MD Ranjeev Vij exited Apr 2025; long incumbency since 2009; TBWA India merged into TBWA\Lintas Jan 2026; co-lead Prateek Bharadwaj reported exiting Feb 2026</t>
  </si>
  <si>
    <t xml:space="preserve">Nissan United (TBWA\India with OMD) created the Magnite Kuro 'Boldest Black' campaign shot in Ladakh in Aug 2025.</t>
  </si>
  <si>
    <t xml:space="preserve">https://www.afaqs.com/news/advertising/nissan-turns-ladakhs-night-sky-into-stage-for-magnite-kuro-edition-9673862</t>
  </si>
  <si>
    <t xml:space="preserve">Whisper</t>
  </si>
  <si>
    <t xml:space="preserve">BBDO India (Creative); Leo India (Creative)</t>
  </si>
  <si>
    <t xml:space="preserve">Leo India won the Spikes Asia 2026 Glass Grand Prix for Whisper 'Project Early Periods' and a Gold Effie 2025 for Whisper.</t>
  </si>
  <si>
    <t xml:space="preserve">https://www.socialsamosa.com/industry-updates/spikes-asia-winners-leo-india-apac-agency-of-year-11208984</t>
  </si>
  <si>
    <t xml:space="preserve">Bata</t>
  </si>
  <si>
    <t xml:space="preserve">Bata India</t>
  </si>
  <si>
    <t xml:space="preserve">FCB India tag lists Bata's festive 'Celebrate Every Step' campaign with Kartik Aaryan.</t>
  </si>
  <si>
    <t xml:space="preserve">https://www.medianews4u.com/bata-launches-festive-collection-featuring-kartik-aaryan-with-celebrate-every-step-campaign/</t>
  </si>
  <si>
    <t xml:space="preserve">Flite</t>
  </si>
  <si>
    <t xml:space="preserve">Relaxo Footwears</t>
  </si>
  <si>
    <t xml:space="preserve">Saatchi &amp; Saatchi India (Creative)</t>
  </si>
  <si>
    <t xml:space="preserve">Campaign led by CCO Rohit Malkani, who moved to an advisory role Sep 2026</t>
  </si>
  <si>
    <t xml:space="preserve">Saatchi &amp; Saatchi India refreshed Flite's 'Sar Utha, Kadam Badha' tagline with Sanya Malhotra (Sep 2025).</t>
  </si>
  <si>
    <t xml:space="preserve">https://www.medianews4u.com/saatchi-saatchi-india-elevates-flites-iconic-tagline-with-sanya-malhotra/</t>
  </si>
  <si>
    <t xml:space="preserve">Ginger Hotels</t>
  </si>
  <si>
    <t xml:space="preserve">Rapid rollout creates launch and local digital briefs; lower tier fit for a luxury agency.</t>
  </si>
  <si>
    <t xml:space="preserve">No agency credit found; IHCL signed 10 plus Ginger hotels in South India (Aug 2025) and a 7-hotel framework deal (Feb 2026).</t>
  </si>
  <si>
    <t xml:space="preserve">https://www.ihcltata.com/press-room/ihcl-enters-into-strategic-partnership-for-10-hotels-and-1000-plus-keys-expanding-the-ginger-brand-in-south-india</t>
  </si>
  <si>
    <t xml:space="preserve">The Souled Store</t>
  </si>
  <si>
    <t xml:space="preserve">Team Pumpkin (PR, since 2019) unconfirmed</t>
  </si>
  <si>
    <t xml:space="preserve">Acquired Redwolf (Apr 2025); Hardik Pandya investor (Oct 2024)</t>
  </si>
  <si>
    <t xml:space="preserve">Team Pumpkin was appointed PR agency for The Souled Store (Jan 2019).</t>
  </si>
  <si>
    <t xml:space="preserve">2019-01</t>
  </si>
  <si>
    <t xml:space="preserve">https://www.medianews4u.com/team-pumpkin-appointed-pr-agency-souled-store/</t>
  </si>
  <si>
    <t xml:space="preserve">Yousta</t>
  </si>
  <si>
    <t xml:space="preserve">TBWA\Lintas (Creative, since 2023) unconfirmed</t>
  </si>
  <si>
    <t xml:space="preserve">Mullen Lintas retired</t>
  </si>
  <si>
    <t xml:space="preserve">Reliance Retail's Yousta partnered Mullen Lintas as creative agency.</t>
  </si>
  <si>
    <t xml:space="preserve">https://www.medianews4u.com/reliance-retails-fashion-brand-yousta-partners-mullen-lintas/</t>
  </si>
  <si>
    <t xml:space="preserve">OBEETEE</t>
  </si>
  <si>
    <t xml:space="preserve">Obeetee Carpets</t>
  </si>
  <si>
    <t xml:space="preserve">Incumbent 7+ years.</t>
  </si>
  <si>
    <t xml:space="preserve">Crosshairs case study: luxury carpet maker OBEETEE has been a client for 7+ years.</t>
  </si>
  <si>
    <t xml:space="preserve">Smoor</t>
  </si>
  <si>
    <t xml:space="preserve">Smoor Chocolates</t>
  </si>
  <si>
    <t xml:space="preserve">First Sight (Digital, since 2022) unconfirmed</t>
  </si>
  <si>
    <t xml:space="preserve">Four-year-old mandate</t>
  </si>
  <si>
    <t xml:space="preserve">First Sight won the digital mandate of luxury chocolate brand Smoor (Aug 2022).</t>
  </si>
  <si>
    <t xml:space="preserve">2022-08</t>
  </si>
  <si>
    <t xml:space="preserve">https://www.medianews4u.com/first-sight-wings-digital-mandate-of-luxury-chocolate-brand-smoor/</t>
  </si>
  <si>
    <t xml:space="preserve">Cialfo</t>
  </si>
  <si>
    <t xml:space="preserve">Education</t>
  </si>
  <si>
    <t xml:space="preserve">Social Beat won the digital mandate for edtech company Cialfo.</t>
  </si>
  <si>
    <t xml:space="preserve">https://www.medianews4u.com/social-beat-wins-digital-mandate-for-edtech-company-cialfo/</t>
  </si>
  <si>
    <t xml:space="preserve">Apple</t>
  </si>
  <si>
    <t xml:space="preserve">Apple India</t>
  </si>
  <si>
    <t xml:space="preserve">TBWA\Media Arts Lab India (Creative)</t>
  </si>
  <si>
    <t xml:space="preserve">Global dedicated unit; only local retail, experiential or creator projects are open</t>
  </si>
  <si>
    <t xml:space="preserve">Apple India work via TBWA\Media Arts Lab India (iPhone 17 royal court, Apr 2026) is credited in The Work 2026.</t>
  </si>
  <si>
    <t xml:space="preserve">https://campaignbriefasia.com/2026/09/18/omnicom-advertising-india-dominates-the-work-2026-with-mccann-taking-out-apac-agency-of-the-year-title-and-tbwalintas-2-in-india/</t>
  </si>
  <si>
    <t xml:space="preserve">Asian Paints</t>
  </si>
  <si>
    <t xml:space="preserve">Asian Paints Ltd</t>
  </si>
  <si>
    <t xml:space="preserve">Ogilvy India (Integrated); McCann India (Creative)</t>
  </si>
  <si>
    <t xml:space="preserve">Long incumbency; Ogilvy India in post Piyush Pandey era (he died Oct 2025), cut 30 to 40 jobs Sep 2025, now folded into WPP Creative India (Apr 2026); Paints conflict inside Omnicom: Berger (FCB Neo), Nerolac (Ulka), JSW Paints and Dulux on TBWA\Lintas roster</t>
  </si>
  <si>
    <t xml:space="preserve">Ogilvy India created Asian Paints' 'Rangon Ki Warranty' campaign in Apr 2026 plus Damp Proof and waterproofing work.</t>
  </si>
  <si>
    <t xml:space="preserve">https://campaignbriefasia.com/2026/04/17/asian-paints-and-ogilvy-india-celebrate-colour-as-identity-in-new-rangon-ki-warranty-campaign/</t>
  </si>
  <si>
    <t xml:space="preserve">https://www.medianews4u.com/mccann-worldgroup-crafts-visual-symphony-for-asian-paints-royale-glitz-featuring-deepika-padukone/</t>
  </si>
  <si>
    <t xml:space="preserve">Berger Paints (Silk Glamor)</t>
  </si>
  <si>
    <t xml:space="preserve">Berger Paints India</t>
  </si>
  <si>
    <t xml:space="preserve">FCB Neo (absorbed into McCann) (Creative) unconfirmed</t>
  </si>
  <si>
    <t xml:space="preserve">Direct conflict: rival Asian Paints sits at McCann, which absorbed FCB India; Nerolac at Ulka</t>
  </si>
  <si>
    <t xml:space="preserve">FCB Neo credited for Berger Silk Glamor with Kareena Kapoor Khan.</t>
  </si>
  <si>
    <t xml:space="preserve">https://www.medianews4u.com/berger-paints-and-kareena-kapoor-khan-turn-up-the-shine-in-new-berger-silk-glamor-campaign/</t>
  </si>
  <si>
    <t xml:space="preserve">Cadbury Dairy Milk Silk</t>
  </si>
  <si>
    <t xml:space="preserve">Mondelez India</t>
  </si>
  <si>
    <t xml:space="preserve">Long incumbency; Ogilvy India in post Piyush Pandey era (he died Oct 2025), cut 30 to 40 jobs Sep 2025, now folded into WPP Creative India (Apr 2026)</t>
  </si>
  <si>
    <t xml:space="preserve">Ogilvy India revived 'Say It With Silk' for Cadbury Dairy Milk Silk's Valentine's Day 2026 campaign.</t>
  </si>
  <si>
    <t xml:space="preserve">https://campaignbriefasia.com/2026/02/03/cadbury-dairy-milk-silk-and-ogilvy-india-bring-back-say-it-with-silk-for-valentines-day-2026/</t>
  </si>
  <si>
    <t xml:space="preserve">Centrum</t>
  </si>
  <si>
    <t xml:space="preserve">Healthcare</t>
  </si>
  <si>
    <t xml:space="preserve">Haleon</t>
  </si>
  <si>
    <t xml:space="preserve">FCB Interface tag lists Centrum's Kajal Aggarwal ambassador launch.</t>
  </si>
  <si>
    <t xml:space="preserve">https://www.medianews4u.com/centrum-onboards-kajal-aggarwal-as-brand-ambassador-for-multivitamin-protein-powders/</t>
  </si>
  <si>
    <t xml:space="preserve">Himalayan Natural Mineral Water</t>
  </si>
  <si>
    <t xml:space="preserve">Tata Consumer Products</t>
  </si>
  <si>
    <t xml:space="preserve">Grey 82.5 (Ogilvy) (Creative, since 2025)</t>
  </si>
  <si>
    <t xml:space="preserve">82.5 Communications folded into Grey 82.5 in Jun 2026; team and brand transition; Premium water, luxury hospitality adjacency</t>
  </si>
  <si>
    <t xml:space="preserve">82.5 won Himalayan's creative mandate in Apr 2025 and ran its Himalayan Day campaign in Sep 2025.</t>
  </si>
  <si>
    <t xml:space="preserve">https://www.medianews4u.com/82-5-communications-secures-creative-mandate-for-tata-coffee-grand-cold-coffee-and-himalayan-natural-mineral-water/</t>
  </si>
  <si>
    <t xml:space="preserve">https://www.medianews4u.com/82-5-communications-and-tcpl-bring-the-soul-of-the-himalayas-alive-with-himalayan-day-campaign/</t>
  </si>
  <si>
    <t xml:space="preserve">Hindware Italian Collection</t>
  </si>
  <si>
    <t xml:space="preserve">Hindware (Somany group)</t>
  </si>
  <si>
    <t xml:space="preserve">Premium bath brand; Mullen Lintas retired; rival CERA at McCann</t>
  </si>
  <si>
    <t xml:space="preserve">Mullen Lintas created Hindware Italian Collection '5 Star Bathrooms' with RCB.</t>
  </si>
  <si>
    <t xml:space="preserve">https://www.medianews4u.com/hindware-italian-collection-launches-5-star-bathrooms-ad-campaign-featuring-rcb-icons/</t>
  </si>
  <si>
    <t xml:space="preserve">IKEA India</t>
  </si>
  <si>
    <t xml:space="preserve">Ingka Group (IKEA)</t>
  </si>
  <si>
    <t xml:space="preserve">Leo India (Creative)</t>
  </si>
  <si>
    <t xml:space="preserve">New CMO Jessamine Avila joined Jul 2026; new CMOs often review rosters. Leo won IKEA from Dentsu Creative after a pitch (per exchange4media)</t>
  </si>
  <si>
    <t xml:space="preserve">Leo (Publicis Groupe South Asia) crafted IKEA India's new brand positioning 'It All Starts at Home' (Feb 2026).</t>
  </si>
  <si>
    <t xml:space="preserve">https://www.medianews4u.com/ikea-india-unveils-new-brand-position-it-all-starts-at-home-deepens-emotional-connect/</t>
  </si>
  <si>
    <t xml:space="preserve">Kajaria Ceramics</t>
  </si>
  <si>
    <t xml:space="preserve">Kajaria Ceramics Ltd</t>
  </si>
  <si>
    <t xml:space="preserve">Grey 82.5 (Ogilvy) (Creative, since 2023) unconfirmed</t>
  </si>
  <si>
    <t xml:space="preserve">82.5 Communications folded into Grey 82.5 in Jun 2026; team and brand transition</t>
  </si>
  <si>
    <t xml:space="preserve">82.5 Communications announced a Kajaria win in Aug 2023.</t>
  </si>
  <si>
    <t xml:space="preserve">https://www.medianews4u.com/82-5-communications-announces-kajaria-win/</t>
  </si>
  <si>
    <t xml:space="preserve">Manipal Hospitals</t>
  </si>
  <si>
    <t xml:space="preserve">Manipal Health Enterprises</t>
  </si>
  <si>
    <t xml:space="preserve">Mullen Lintas created Manipal Hospitals' self-care brand campaign.</t>
  </si>
  <si>
    <t xml:space="preserve">https://www.medianews4u.com/manipal-hospitals-urges-people-to-take-care-of-themselves-to-be-there-for-their-loved-ones/</t>
  </si>
  <si>
    <t xml:space="preserve">Nestle Health Science</t>
  </si>
  <si>
    <t xml:space="preserve">Nestle</t>
  </si>
  <si>
    <t xml:space="preserve">Nestle Health Sciences is named among Mumbai clients built by departing Hashtag Orange MP Gaurang Menon.</t>
  </si>
  <si>
    <t xml:space="preserve">ROCA India</t>
  </si>
  <si>
    <t xml:space="preserve">Roca Bathroom Products</t>
  </si>
  <si>
    <t xml:space="preserve">Hashtag Orange won ROCA India's end-to-end digital mandate: social storytelling, media planning and SEO.</t>
  </si>
  <si>
    <t xml:space="preserve">https://www.afaqs.com/news/newbizwins/hashtag-orange-wins-digital-mandate-for-roca-8988699</t>
  </si>
  <si>
    <t xml:space="preserve">Tata Coffee Grand Cold Coffee</t>
  </si>
  <si>
    <t xml:space="preserve">Recently pitched; 82.5 Communications folded into Grey 82.5 in Jun 2026; team and brand transition</t>
  </si>
  <si>
    <t xml:space="preserve">82.5 Communications won creative duties for Tata Coffee Grand Cold Coffee after a multi-agency pitch (Apr 2025).</t>
  </si>
  <si>
    <t xml:space="preserve">Tata Communications</t>
  </si>
  <si>
    <t xml:space="preserve">Social Samosa (Mar 2025) names Tata Communications among Schbang's major clients.</t>
  </si>
  <si>
    <t xml:space="preserve">Tata Tele Business Services</t>
  </si>
  <si>
    <t xml:space="preserve">Gozoop (now YAAP) (Creative)</t>
  </si>
  <si>
    <t xml:space="preserve">Gozoop merged into YAAP (Rs 150 cr+ deal, Apr 2026); post-merger integration can unsettle client teams.</t>
  </si>
  <si>
    <t xml:space="preserve">Gozoop Creative launched the MSME Day campaign for Tata Tele Business Services.</t>
  </si>
  <si>
    <t xml:space="preserve">https://www.medianews4u.com/gozoop-creative-launches-msme-day-campaign-for-tata-tele-business-services/</t>
  </si>
  <si>
    <t xml:space="preserve">Aditya Birla Capital</t>
  </si>
  <si>
    <t xml:space="preserve">Dentsu Creative India (Creative, since 2023)</t>
  </si>
  <si>
    <t xml:space="preserve">Multi-year relationship; possible fatigue</t>
  </si>
  <si>
    <t xml:space="preserve">Appointed lead brand communications agency for corporate brand and five subsidiaries; KL Rahul campaign for Aditya Birla Finance in Feb 2024.</t>
  </si>
  <si>
    <t xml:space="preserve">https://www.dentsu.com/in/en/our-news/-aditya-birla-capital-appoints-dentsu-creative-india-as-its-lead-brand-communications-agency</t>
  </si>
  <si>
    <t xml:space="preserve">Groww</t>
  </si>
  <si>
    <t xml:space="preserve">Billionbrains Garage Ventures</t>
  </si>
  <si>
    <t xml:space="preserve">Listed Nov 2025 with a funded brand budget, though it trimmed branding spend in Q3 FY26.</t>
  </si>
  <si>
    <t xml:space="preserve">Groww's 'Jo aage ki sochte hain' campaign (Oct 2025) credited no agency; IPO documents earmarked Rs 225 crore for brand building.</t>
  </si>
  <si>
    <t xml:space="preserve">https://www.storyboard18.com/brand-marketing/ipo-bound-groww-allocates-rs-225-crore-for-brand-building-rs-205-crore-on-subsidiaries-81220.htm</t>
  </si>
  <si>
    <t xml:space="preserve">Hunger Inc (The Bombay Canteen, O Pedro, Bombay Sweet Shop)</t>
  </si>
  <si>
    <t xml:space="preserve">Hunger Inc Hospitality</t>
  </si>
  <si>
    <t xml:space="preserve">Chef-led premium restaurants, in-house</t>
  </si>
  <si>
    <t xml:space="preserve">Medianews4u search for Hunger Inc returned no results.</t>
  </si>
  <si>
    <t xml:space="preserve">ICICI Prudential Life and ICICI Prudential MF</t>
  </si>
  <si>
    <t xml:space="preserve">ICICI Group and Prudential</t>
  </si>
  <si>
    <t xml:space="preserve">Low agency visibility; frequent digital films.</t>
  </si>
  <si>
    <t xml:space="preserve">ICICI Prudential's Mother's Day film (May 2025) and MF flexicap football campaign (Sep 2026) credited no agency.</t>
  </si>
  <si>
    <t xml:space="preserve">https://www.afaqs.com/news/advertising/icici-prudentials-mothers-day-campaign-urges-smart-investing-9052419</t>
  </si>
  <si>
    <t xml:space="preserve">Keenai Wealth</t>
  </si>
  <si>
    <t xml:space="preserve">Keenai</t>
  </si>
  <si>
    <t xml:space="preserve">22feet Tribal Worldwide (Creative, since 2025)</t>
  </si>
  <si>
    <t xml:space="preserve">Wealth-tech start-up; launch-phase mandate may be re-pitched</t>
  </si>
  <si>
    <t xml:space="preserve">Keenai Wealth appointed 22Feet Tribal Worldwide as creative partner.</t>
  </si>
  <si>
    <t xml:space="preserve">https://www.afaqs.com/news/newbizwins/keenai-wealth-appoints-22feet-tribal-worldwide-as-creative-partner-9059980</t>
  </si>
  <si>
    <t xml:space="preserve">Kotak Securities</t>
  </si>
  <si>
    <t xml:space="preserve">Kotak Mahindra Group</t>
  </si>
  <si>
    <t xml:space="preserve">Team Pumpkin (Social, since 2024); NP Digital India (Content, since 2025)</t>
  </si>
  <si>
    <t xml:space="preserve">Two years in; content marketing split with NP Digital.; Group runs many specialist agencies; premium wealth and Kotak Private are separate briefs.</t>
  </si>
  <si>
    <t xml:space="preserve">NP Digital India won the content marketing mandate for Kotak Securities focused on off-site content and search visibility.</t>
  </si>
  <si>
    <t xml:space="preserve">https://www.socialsamosa.com/industry-updates/team-pumpkin-social-media-mandate-kotak-securities-6950753</t>
  </si>
  <si>
    <t xml:space="preserve">https://www.afaqs.com/news/newbizwins/np-digital-india-wins-content-marketing-mandate-for-kotak-securities-8751172</t>
  </si>
  <si>
    <t xml:space="preserve">OneCard</t>
  </si>
  <si>
    <t xml:space="preserve">FPL Technologies</t>
  </si>
  <si>
    <t xml:space="preserve">Design-led metal card brand; likely in-house growth team.</t>
  </si>
  <si>
    <t xml:space="preserve">Paul and Mike</t>
  </si>
  <si>
    <t xml:space="preserve">No Paul and Mike agency credit surfaced.</t>
  </si>
  <si>
    <t xml:space="preserve">Tata Capital</t>
  </si>
  <si>
    <t xml:space="preserve">Schbang (Integrated)</t>
  </si>
  <si>
    <t xml:space="preserve">Long-running relationship; fatigue risk.</t>
  </si>
  <si>
    <t xml:space="preserve">Schbang news centre lists multiple Tata Capital campaigns incl. #StopBlamingHer and Sab Shubh Hoga.</t>
  </si>
  <si>
    <t xml:space="preserve">https://www.schbang.com/news-centre</t>
  </si>
  <si>
    <t xml:space="preserve">Third Wave Coffee</t>
  </si>
  <si>
    <t xml:space="preserve">Marketing Director Akshat Arora (Jan 2025); new CTO (Sep 2026)</t>
  </si>
  <si>
    <t xml:space="preserve">Third Wave Coffee named a Marketing Director (Jan 2025); no agency found.</t>
  </si>
  <si>
    <t xml:space="preserve">https://www.medianews4u.com/third-wave-coffee-names-akshat-arora-as-marketing-director/</t>
  </si>
  <si>
    <t xml:space="preserve">Zerodha</t>
  </si>
  <si>
    <t xml:space="preserve">Zerodha Broking</t>
  </si>
  <si>
    <t xml:space="preserve">In-house by philosophy; low poachability.</t>
  </si>
  <si>
    <t xml:space="preserve">No agency relationship found; Zerodha shut its new-age media network Zero1 (Apr 2026) and leans on referrals and founder-led content.</t>
  </si>
  <si>
    <t xml:space="preserve">https://www.storyboard18.com/brand-marketing/zerodha-kills-its-new-age-media-network-zero1-exposing-the-limits-of-the-finfluencer-boom-95898.htm</t>
  </si>
  <si>
    <t xml:space="preserve">Anytime Fitness India</t>
  </si>
  <si>
    <t xml:space="preserve">Anytime Fitness (India master franchise)</t>
  </si>
  <si>
    <t xml:space="preserve">SW Network (Sociowash) (Creative, since 2025)</t>
  </si>
  <si>
    <t xml:space="preserve">SW Network bagged the creative mandate for Anytime Fitness India.</t>
  </si>
  <si>
    <t xml:space="preserve">https://www.afaqs.com/news/newbizwins/sw-network-bags-creative-mandate-for-anytime-fitness-india-9530353</t>
  </si>
  <si>
    <t xml:space="preserve">https://www.medianews4u.com/sw-network-bags-creative-mandate-for-anytime-fitness-india/</t>
  </si>
  <si>
    <t xml:space="preserve">Bajaj Chetak</t>
  </si>
  <si>
    <t xml:space="preserve">Bajaj Auto Ltd</t>
  </si>
  <si>
    <t xml:space="preserve">Bajaj Chetak is listed among One Hand Clap's clients.</t>
  </si>
  <si>
    <t xml:space="preserve">Bombay Shaving Company</t>
  </si>
  <si>
    <t xml:space="preserve">Enormous Brands (Creative, since 2026); Enormous Brands (Integrated, since 2026)</t>
  </si>
  <si>
    <t xml:space="preserve">Moved 2026-02</t>
  </si>
  <si>
    <t xml:space="preserve">Enormous won the creative mandate for Bombay Shaving Company.</t>
  </si>
  <si>
    <t xml:space="preserve">https://www.afaqs.com/news/newbizwins/enormous-wins-creative-mandate-for-bombay-shaving-company-11133665</t>
  </si>
  <si>
    <t xml:space="preserve">Brushers Co</t>
  </si>
  <si>
    <t xml:space="preserve">Scribbld (Digital, since 2026)</t>
  </si>
  <si>
    <t xml:space="preserve">Scribbld bagged the digital mandate for Brushers Co.</t>
  </si>
  <si>
    <t xml:space="preserve">https://www.medianews4u.com/scribbld-bags-digital-mandate-for-brushers-co/</t>
  </si>
  <si>
    <t xml:space="preserve">Campari</t>
  </si>
  <si>
    <t xml:space="preserve">Campari Group</t>
  </si>
  <si>
    <t xml:space="preserve">Campari appears among Grapes Worldwide client logos.</t>
  </si>
  <si>
    <t xml:space="preserve">Cult.Sport</t>
  </si>
  <si>
    <t xml:space="preserve">VML India (Creative, since 2023) unconfirmed</t>
  </si>
  <si>
    <t xml:space="preserve">Mandate 3 years old; No recent credit visible</t>
  </si>
  <si>
    <t xml:space="preserve">Wunderman Thompson India won Cult.Sport's integrated creative business after a review (Jul 2023).</t>
  </si>
  <si>
    <t xml:space="preserve">https://www.medianews4u.com/wunderman-thompson-india-wins-cult-sports-creative-biz/</t>
  </si>
  <si>
    <t xml:space="preserve">Diageo India (portfolio)</t>
  </si>
  <si>
    <t xml:space="preserve">The Glitch (VML) (Integrated, since 2020) unconfirmed</t>
  </si>
  <si>
    <t xml:space="preserve">Six-year-old digital mandate; Diageo marketing team reshaped 2025</t>
  </si>
  <si>
    <t xml:space="preserve">The Glitch won a 360-degree mandate from Diageo India (Feb 2020).</t>
  </si>
  <si>
    <t xml:space="preserve">https://www.socialsamosa.com/2020/02/the-glitch-bags-360-degree-mandate-of-diageo-india/</t>
  </si>
  <si>
    <t xml:space="preserve">Eze Perfumes</t>
  </si>
  <si>
    <t xml:space="preserve">Sawai fragrance venture</t>
  </si>
  <si>
    <t xml:space="preserve">Glad U Came (PR, since 2024) unconfirmed</t>
  </si>
  <si>
    <t xml:space="preserve">Glad U Came won the PR mandate for Eze Perfumes, a Sawai fragrance venture.</t>
  </si>
  <si>
    <t xml:space="preserve">https://www.afaqs.com/corporate-communications-and-pr/glad-u-came-wins-pr-mandate-for-eze-perfumes-a-sawai-fragrance-venture</t>
  </si>
  <si>
    <t xml:space="preserve">Foxtale</t>
  </si>
  <si>
    <t xml:space="preserve">Foxtale Consumer</t>
  </si>
  <si>
    <t xml:space="preserve">a Simple agency (Media, since 2026); a Simple agency (Creative, since 2026)</t>
  </si>
  <si>
    <t xml:space="preserve">Big celebrity spend (SRK); brand creative and social not visible; OOH only assigned 2026-08; brand scaling with a superstar ambassador; Project OOH mandate only, brand film and social likely with other agencies</t>
  </si>
  <si>
    <t xml:space="preserve">a simple agency won Foxtale's OOH mandate for its Shah Rukh Khan campaign (Aug 2026).</t>
  </si>
  <si>
    <t xml:space="preserve">https://www.medianews4u.com/a-simple-agency-wins-ooh-mandate-for-foxtale-featuring-shah-rukh-khan/</t>
  </si>
  <si>
    <t xml:space="preserve">https://www.afaqs.com/news/newbizwins/a-simple-agency-bags-foxtales-ooh-mandate-featuring-shah-rukh-khan-12394815</t>
  </si>
  <si>
    <t xml:space="preserve">Godrej Professional</t>
  </si>
  <si>
    <t xml:space="preserve">Godrej Consumer Products</t>
  </si>
  <si>
    <t xml:space="preserve">Dentsu Creative Webchutney (Digital, since 2024)</t>
  </si>
  <si>
    <t xml:space="preserve">Salon-professional haircare; two-plus years into mandate</t>
  </si>
  <si>
    <t xml:space="preserve">Won digital mandate after multi-agency pitch, Mumbai office, to lead digital strategy and campaigns.</t>
  </si>
  <si>
    <t xml:space="preserve">https://www.storyboard18.com/agency-news/dentsu-creative-webchutney-wins-digital-mandate-of-godrej-professional-35235.htm</t>
  </si>
  <si>
    <t xml:space="preserve">Harley-Davidson</t>
  </si>
  <si>
    <t xml:space="preserve">Harley-Davidson Inc.</t>
  </si>
  <si>
    <t xml:space="preserve">Undated logo wall; verify India scope and current status.; Youth push around X440; Hero MotoCorp media account was put to pitch in 2024.</t>
  </si>
  <si>
    <t xml:space="preserve">Harley-Davidson appears among Grapes Worldwide client logos.</t>
  </si>
  <si>
    <t xml:space="preserve">https://www.afaqs.com/news/mktg/harley-davidson-india-names-ahaan-panday-as-brand-ambassador-10884803</t>
  </si>
  <si>
    <t xml:space="preserve">HDOR (Hundred Days of Running)</t>
  </si>
  <si>
    <t xml:space="preserve">Procam International</t>
  </si>
  <si>
    <t xml:space="preserve">BC Web Wise (Social, since 2026)</t>
  </si>
  <si>
    <t xml:space="preserve">BC Web Wise won the digital and social media mandate for Procam International's HDOR.</t>
  </si>
  <si>
    <t xml:space="preserve">https://www.medianews4u.com/bc-web-wise-wins-digital-and-social-media-mandate-for-procam-internationals-hdor/</t>
  </si>
  <si>
    <t xml:space="preserve">Hero Vida</t>
  </si>
  <si>
    <t xml:space="preserve">Creativeland Asia rolled out the 'VIDA VAKA VOOM' anthem for Hero Vida.</t>
  </si>
  <si>
    <t xml:space="preserve">https://www.afaqs.com/news/advertising/creativeland-asia-rolls-out-vida-vaka-voom-anthem-for-hero-vida-11458758</t>
  </si>
  <si>
    <t xml:space="preserve">Jack Daniel's</t>
  </si>
  <si>
    <t xml:space="preserve">Brown-Forman</t>
  </si>
  <si>
    <t xml:space="preserve">22feet Tribal Worldwide (Integrated, since 2026)</t>
  </si>
  <si>
    <t xml:space="preserve">BBDO India (Integrated)</t>
  </si>
  <si>
    <t xml:space="preserve">Won 2026-04; agency sits inside the Omnicom-IPG India integration; marketing director Vinay Joshi; New AOR; premium sub-brands (Gentleman Jack, Single Barrel) need luxury-grade experiences that a digital shop may subcontract.; Scope spans packaging, experiential and retail (carve-out opportunities); Kinnect and 22feet leadership merged under Chandni Shah; unit says it will take only five new clients in 2026; Lost via multi-agency pitch; brand willing to switch</t>
  </si>
  <si>
    <t xml:space="preserve">Jack Daniel's appointed 22feet (Omnicom Advertising India) as integrated creative agency of record for India after a multi-agency pitch.</t>
  </si>
  <si>
    <t xml:space="preserve">https://www.storyboard18.com/advertising/jack-daniels-appoints-22feet-as-its-integrated-creative-agency-of-record-for-india-96423.htm</t>
  </si>
  <si>
    <t xml:space="preserve">https://www.afaqs.com/news/newbizwins/jack-daniels-appoints-22feet-as-its-creative-agency-of-record-for-india-11771184</t>
  </si>
  <si>
    <t xml:space="preserve">Kia India</t>
  </si>
  <si>
    <t xml:space="preserve">Kia Corporation</t>
  </si>
  <si>
    <t xml:space="preserve">Captive agency; Kia hired new sales leadership (Aug 2026) and signed Tennis Premier League (May 2026).</t>
  </si>
  <si>
    <t xml:space="preserve">Innocean India created the integrated Kia Seltos launch campaign (Feb 2026) and hired a VP Media to lead Kia's media transformation (Sep 2025).</t>
  </si>
  <si>
    <t xml:space="preserve">https://www.campaignindia.in/article/kia-seltos-campaign-builds-badass-identity-through-integrated-storytelling/4x2pkfh8eenqww367gj0cwagxk</t>
  </si>
  <si>
    <t xml:space="preserve">Kimirica</t>
  </si>
  <si>
    <t xml:space="preserve">Kimirica Hunter International</t>
  </si>
  <si>
    <t xml:space="preserve">Lyxel&amp;Flamingo (Digital)</t>
  </si>
  <si>
    <t xml:space="preserve">Retention and CRM scope only; brand, social and content open.</t>
  </si>
  <si>
    <t xml:space="preserve">Lyxel&amp;Flamingo case study covers retention marketing and lifecycle automation for Kimirica.</t>
  </si>
  <si>
    <t xml:space="preserve">https://lyxelandflamingo.com/case-studies/retention/kimirica-retention-marketing-lifecycle-automation-case-study/</t>
  </si>
  <si>
    <t xml:space="preserve">Lakme</t>
  </si>
  <si>
    <t xml:space="preserve">HUL-level roster, hard to move; Aneet Padda new face Sep 2025</t>
  </si>
  <si>
    <t xml:space="preserve">Ogilvy's Beauty &amp; Luxury team created Lakme 9to5's 'I Earned It' campaign with Aneet Padda (Mar 2026).</t>
  </si>
  <si>
    <t xml:space="preserve">https://www.medianews4u.com/lakme-launches-i-earned-it-campaign-for-9to5-hya-beach-edit-featuring-aneet-padda/</t>
  </si>
  <si>
    <t xml:space="preserve">Laneige</t>
  </si>
  <si>
    <t xml:space="preserve">Amorepacific</t>
  </si>
  <si>
    <t xml:space="preserve">Filter Coffee Co. (Digital, since 2025)</t>
  </si>
  <si>
    <t xml:space="preserve">Small agency on a global prestige K-beauty brand.</t>
  </si>
  <si>
    <t xml:space="preserve">Laneige appointed Filter Coffee Co. as its digital communication partner in India.</t>
  </si>
  <si>
    <t xml:space="preserve">https://www.afaqs.com/news/newbizwins/laneige-appoints-filter-coffee-co-as-its-digital-communication-partner-in-india-8941193</t>
  </si>
  <si>
    <t xml:space="preserve">LivWell</t>
  </si>
  <si>
    <t xml:space="preserve">Grapes Worldwide (Digital, since 2025)</t>
  </si>
  <si>
    <t xml:space="preserve">Grapes Worldwide's Bangalore team won LivWell's digital mandate incl. digital strategy and UI/UX.</t>
  </si>
  <si>
    <t xml:space="preserve">https://www.medianews4u.com/grapes-worldwide-bags-digital-mandate-for-livwell/</t>
  </si>
  <si>
    <t xml:space="preserve">Matter</t>
  </si>
  <si>
    <t xml:space="preserve">Matter Motor Works</t>
  </si>
  <si>
    <t xml:space="preserve">Publicis Digital Experience (ex Digitas) (Digital, since 2022) unconfirmed</t>
  </si>
  <si>
    <t xml:space="preserve">Matter appointed Digitas India for digital communications, media, CX and digital assets (Jul 2022).</t>
  </si>
  <si>
    <t xml:space="preserve">https://whatnews.in/digitas-india-bags-digital-mandate-for-matter/</t>
  </si>
  <si>
    <t xml:space="preserve">Modi Illva</t>
  </si>
  <si>
    <t xml:space="preserve">Modi Illva India</t>
  </si>
  <si>
    <t xml:space="preserve">The Reppro (PR, since 2026)</t>
  </si>
  <si>
    <t xml:space="preserve">PR appointed 2026-05; creative agency not disclosed</t>
  </si>
  <si>
    <t xml:space="preserve">Modi Illva appointed The Reppro as strategic communications partner.</t>
  </si>
  <si>
    <t xml:space="preserve">https://www.afaqs.com/news/newbizwins/modi-illva-appoints-the-reppro-as-strategic-communications-partner-11857700</t>
  </si>
  <si>
    <t xml:space="preserve">Moroccanoil</t>
  </si>
  <si>
    <t xml:space="preserve">Moroccanoil listed under beauty on Crosshairs client page.</t>
  </si>
  <si>
    <t xml:space="preserve">Mumbai Indians</t>
  </si>
  <si>
    <t xml:space="preserve">Kinnect (Creative, since 2026)</t>
  </si>
  <si>
    <t xml:space="preserve">Intra-Omnicom reshuffle; Kinnect says it will add only five new clients a year; Moved to Kinnect Mar 2026</t>
  </si>
  <si>
    <t xml:space="preserve">Kinnect replaced long-standing agency Lintas for IPL launch films across TV, digital and social.</t>
  </si>
  <si>
    <t xml:space="preserve">https://sportzpower.com/kinnect-wins-mumbai-indians-creative-mandate/</t>
  </si>
  <si>
    <t xml:space="preserve">Nua</t>
  </si>
  <si>
    <t xml:space="preserve">Nua Wellness</t>
  </si>
  <si>
    <t xml:space="preserve">Enormous Brands (Creative, since 2025)</t>
  </si>
  <si>
    <t xml:space="preserve">Nua launched a pad irritation campaign with Enormous in May 2026.</t>
  </si>
  <si>
    <t xml:space="preserve">https://www.afaqs.com/news/advertising/nua-launches-new-campaign-on-pad-irritation-with-enormous-11822719</t>
  </si>
  <si>
    <t xml:space="preserve">O3+</t>
  </si>
  <si>
    <t xml:space="preserve">O3+ (Meghdoot Herbals)</t>
  </si>
  <si>
    <t xml:space="preserve">Retention scope only.</t>
  </si>
  <si>
    <t xml:space="preserve">Lyxel&amp;Flamingo lists an O3+ retention case study on its site.</t>
  </si>
  <si>
    <t xml:space="preserve">https://lyxelandflamingo.com/case-studies/retention/o3/</t>
  </si>
  <si>
    <t xml:space="preserve">Oaksmith</t>
  </si>
  <si>
    <t xml:space="preserve">Surrogate extension work only; Teacher's refresh (Jun 2025) not credited to BBH</t>
  </si>
  <si>
    <t xml:space="preserve">BBH India created the Oaksmith Style Studio platform with Vijay Varma (Nov 2024) after Oaksmith's 2023 World Cup work.</t>
  </si>
  <si>
    <t xml:space="preserve">https://www.medianews4u.com/oaksmith-brand-partners-with-vijay-varma-for-oaksmith-style-studio-to-enhance-indian-mens-style/</t>
  </si>
  <si>
    <t xml:space="preserve">Pilgrim</t>
  </si>
  <si>
    <t xml:space="preserve">Heavenly Secrets</t>
  </si>
  <si>
    <t xml:space="preserve">Madison Media (Media, since 2024)</t>
  </si>
  <si>
    <t xml:space="preserve">Jennifer Winget face (Dec 2024); creative and social agency not visible</t>
  </si>
  <si>
    <t xml:space="preserve">Madison Media Alpha was appointed Pilgrim India's media AOR (Jul 2024).</t>
  </si>
  <si>
    <t xml:space="preserve">https://www.socialsamosa.com/media-samosa/madison-media-alpha-pilgrim-india-media-aor-6140769</t>
  </si>
  <si>
    <t xml:space="preserve">Plum</t>
  </si>
  <si>
    <t xml:space="preserve">Pureplay Skin Sciences</t>
  </si>
  <si>
    <t xml:space="preserve">Team Pumpkin (Performance, since 2023) unconfirmed</t>
  </si>
  <si>
    <t xml:space="preserve">Brand creative agency not visible</t>
  </si>
  <si>
    <t xml:space="preserve">Plum Goodness retained Team Pumpkin for performance marketing (Jul 2023).</t>
  </si>
  <si>
    <t xml:space="preserve">https://www.medianews4u.com/plum-goodness-retains-team-pumpkin-for-performance-marketing/</t>
  </si>
  <si>
    <t xml:space="preserve">Riya Perfumes</t>
  </si>
  <si>
    <t xml:space="preserve">Story Digital (Digital, since 2024) unconfirmed</t>
  </si>
  <si>
    <t xml:space="preserve">Story Digital won the digital and creative mandate for Riya Perfumes.</t>
  </si>
  <si>
    <t xml:space="preserve">https://www.medianews4u.com/story-digital-wins-the-digital-creative-mandate-for-riya-perfumes/</t>
  </si>
  <si>
    <t xml:space="preserve">Seven Islands Whisky</t>
  </si>
  <si>
    <t xml:space="preserve">Tonic Worldwide (Integrated); Tonic Worldwide (Digital) unconfirmed</t>
  </si>
  <si>
    <t xml:space="preserve">Tilaknagar is building a luxury spirits portfolio and moved PR to Apostrophe Ventures (Aug 2026).; Undated logo wall; verify India scope and current status.</t>
  </si>
  <si>
    <t xml:space="preserve">Tonic case study: brand launch strategy, visual identity, social content and digital rollout for Seven Islands Whisky.</t>
  </si>
  <si>
    <t xml:space="preserve">https://www.tonicworldwide.com/work/seven-islands-whisky-bombay-brand-launch-case-study</t>
  </si>
  <si>
    <t xml:space="preserve">Studio Blo</t>
  </si>
  <si>
    <t xml:space="preserve">Maars Communicates (PR, since 2026)</t>
  </si>
  <si>
    <t xml:space="preserve">PR appointed 2026-08; creative and social not disclosed</t>
  </si>
  <si>
    <t xml:space="preserve">Maars Communicates won the strategic communications mandate for Studio Blo.</t>
  </si>
  <si>
    <t xml:space="preserve">https://www.afaqs.com/news/newbizwins/maars-communicates-wins-strategic-communications-mandate-for-studio-blo-12256823</t>
  </si>
  <si>
    <t xml:space="preserve">SUGAR Cosmetics</t>
  </si>
  <si>
    <t xml:space="preserve">Vellvette Lifestyle</t>
  </si>
  <si>
    <t xml:space="preserve">OMD India (Media, since 2023) unconfirmed</t>
  </si>
  <si>
    <t xml:space="preserve">Creative agency not credited on 2024 #GRWS campaign; Festive push via Qcom, creators and experiences (Sep 2026 interview)</t>
  </si>
  <si>
    <t xml:space="preserve">OMD India won SUGAR Cosmetics' media mandate (Jul 2023).</t>
  </si>
  <si>
    <t xml:space="preserve">https://www.medianews4u.com/omd-india-bags-media-mandate-for-sugar-cosmetics/</t>
  </si>
  <si>
    <t xml:space="preserve">https://www.medianews4u.com/sugar-cosmetics-digital-campaign-unites-celebrities-of-diverse-backgrounds/</t>
  </si>
  <si>
    <t xml:space="preserve">Tata Ultra Marathon</t>
  </si>
  <si>
    <t xml:space="preserve">BBDO India (Creative) unconfirmed</t>
  </si>
  <si>
    <t xml:space="preserve">Event-led mandate, likely project based</t>
  </si>
  <si>
    <t xml:space="preserve">BBDO India entered 'Feet of Glory' for Tata Ultra Marathon in the Cannes 2025 Media category.</t>
  </si>
  <si>
    <t xml:space="preserve">Terrapy</t>
  </si>
  <si>
    <t xml:space="preserve">Scribbld (Social, since 2026)</t>
  </si>
  <si>
    <t xml:space="preserve">Scribbld will manage Terrapy's social media, content and digital storytelling.</t>
  </si>
  <si>
    <t xml:space="preserve">https://www.medianews4u.com/scribbld-wins-playnxt-and-terrapy-mandates-expands-consumer-and-lifestyle-brand-portfolio/</t>
  </si>
  <si>
    <t xml:space="preserve">Apostrophe Ventures (PR, since 2026)</t>
  </si>
  <si>
    <t xml:space="preserve">PR appointed 2026-08 while company integrates Imperial Blue; CMO Ahmed Rahimtoola; Tilaknagar acquired Imperial Blue from Pernod in 2025, creative for Imperial Blue went to Grey (WPP) in Jun 2026; Company rebuilding its agency roster; premium and luxury brandy line extensions need content partners.</t>
  </si>
  <si>
    <t xml:space="preserve">Apostrophe Ventures won Tilaknagar Industries' PR mandate.</t>
  </si>
  <si>
    <t xml:space="preserve">https://www.afaqs.com/news/newbizwins/apostrophe-ventures-wins-tilaknagar-industries-pr-mandate-12228000</t>
  </si>
  <si>
    <t xml:space="preserve">https://www.medianews4u.com/tilaknagar-industries-appoints-apostrophe-ventures-as-corporate-and-brand-pr-partner/</t>
  </si>
  <si>
    <t xml:space="preserve">Titan SKINN</t>
  </si>
  <si>
    <t xml:space="preserve">Kinnect (Creative)</t>
  </si>
  <si>
    <t xml:space="preserve">Premium fragrance; FCB branding dropped, Kinnect leadership reshuffled in 2026</t>
  </si>
  <si>
    <t xml:space="preserve">FCB Kinnect South created SKINN's festive fragrance campaign.</t>
  </si>
  <si>
    <t xml:space="preserve">https://www.afaqs.com/news/advertising/titans-skinn-wants-you-to-smell-like-a-celebration-this-festive-season-10498061</t>
  </si>
  <si>
    <t xml:space="preserve">Toyota Kirloskar Motor</t>
  </si>
  <si>
    <t xml:space="preserve">PMG India (Hakuhodo) (Experiential)</t>
  </si>
  <si>
    <t xml:space="preserve">Large advertiser with low public agency visibility; Hilux, Land Cruiser and Vellfire premium lines need premium content.</t>
  </si>
  <si>
    <t xml:space="preserve">PMG India won Contact Program and Concert of the Year for Toyota at WOW Awards Asia 2026.</t>
  </si>
  <si>
    <t xml:space="preserve">https://www.hakuhodo-global.com/news/pmg-india-earns-agency-of-the-year-and-21-awards-at-wow-awards-asia-2026-marking-another-milestone-for-the-hakuhodo-international-collective.html</t>
  </si>
  <si>
    <t xml:space="preserve">TRESemme</t>
  </si>
  <si>
    <t xml:space="preserve">Braindad (Creative)</t>
  </si>
  <si>
    <t xml:space="preserve">HUL runs a large network roster; indie foothold is project based</t>
  </si>
  <si>
    <t xml:space="preserve">Braindad created TRESemme's Ananya Panday and Anurag Kashyap ad.</t>
  </si>
  <si>
    <t xml:space="preserve">https://www.afaqs.com/news/advertising/ananya-panday-reads-the-riot-act-to-anurag-kashyap-in-a-tresemme-ad-10974026</t>
  </si>
  <si>
    <t xml:space="preserve">Triumph Motorcycles India</t>
  </si>
  <si>
    <t xml:space="preserve">Bajaj Auto</t>
  </si>
  <si>
    <t xml:space="preserve">Dentsu Creative India (Performance)</t>
  </si>
  <si>
    <t xml:space="preserve">Media and CTV only; premium motorcycle brand content and community open.</t>
  </si>
  <si>
    <t xml:space="preserve">Bajaj Auto ran a dynamic creative optimisation CTV campaign for Triumph with VDO.AI and Dentsu India.</t>
  </si>
  <si>
    <t xml:space="preserve">https://www.campaignindia.in/article/bajaj-auto-partners-with-vdo-ai-and-dentsu-india-for-triumph-ctv-campaign/4j6jvghpybpvr2mavhy9kbs1dp</t>
  </si>
  <si>
    <t xml:space="preserve">VinFast India</t>
  </si>
  <si>
    <t xml:space="preserve">Boomerang Collaborations (PR, since 2026)</t>
  </si>
  <si>
    <t xml:space="preserve">PR appointed 2026-09; sister company GSM ran a creative and media pitch 2026-01</t>
  </si>
  <si>
    <t xml:space="preserve">Campaign India reports VinFast India awarded its communications mandate to Boomerang Collaborations with Velocity Fintrust.</t>
  </si>
  <si>
    <t xml:space="preserve">https://www.campaignindia.in/article/pitch-update-coca-cola-mastercard-vinfast-sleepwell-and-more/42wq85ph1ex6qsf9ngpgb9ahxk</t>
  </si>
  <si>
    <t xml:space="preserve">VLCC</t>
  </si>
  <si>
    <t xml:space="preserve">VLCC Health Care</t>
  </si>
  <si>
    <t xml:space="preserve">Dentsu Creative India (Creative) unconfirmed; IMARTI Media (Social, since 2019) unconfirmed</t>
  </si>
  <si>
    <t xml:space="preserve">No 2024-26 credits found; CCPA fined VLCC for misleading ads (Aug 2025); reputation rebuild need</t>
  </si>
  <si>
    <t xml:space="preserve">Dentsu Creative created VLCC's #AbDhoopKyaRokegi sunscreen campaign.</t>
  </si>
  <si>
    <t xml:space="preserve">https://www.dentsu.com/in/en/our-news/vlcc-and-dentsu-creative-indias-new-campaign</t>
  </si>
  <si>
    <t xml:space="preserve">https://www.socialsamosa.com/2019/12/imarti-media-vlcc-social-media-mandate/</t>
  </si>
  <si>
    <t xml:space="preserve">World Pickleball League</t>
  </si>
  <si>
    <t xml:space="preserve">Famous Innovations (Integrated, since 2025)</t>
  </si>
  <si>
    <t xml:space="preserve">Famous Innovations was named to lead communications for the World Pickleball League.</t>
  </si>
  <si>
    <t xml:space="preserve">https://www.afaqs.com/news/newbizwins/famous-innovations-to-lead-communications-for-world-pickleball-league-9521850</t>
  </si>
  <si>
    <t xml:space="preserve">ACKO</t>
  </si>
  <si>
    <t xml:space="preserve">Leo India (Creative, since 2019); Mudra (ex DDB Mudra, BBDO Group) (Creative) unconfirmed</t>
  </si>
  <si>
    <t xml:space="preserve">Account started at Leo Burnett Orchard (2019); heavily awarded, hard to dislodge; ACKO CMO Ashish Mishra exited Apr 2026; DDB brand retired Jan 2026 and DDB Mudra split across McCann, BBDO Group (Mudra) and TBWA\Lintas; destination of this account not announced; CMO exit 2026-04 after six years</t>
  </si>
  <si>
    <t xml:space="preserve">Ashish Mishra parted ways with ACKO after nearly six years as CMO.</t>
  </si>
  <si>
    <t xml:space="preserve">https://campaignbriefasia.com/2024/06/26/ddb-mudra-south-creates-new-acko-pola-varuma-campaign-for-acko-in-chennai/</t>
  </si>
  <si>
    <t xml:space="preserve">https://www.afaqs.com/people-spotting/ashish-mishra-parts-ways-with-acko-after-nearly-six-years-as-cmo-11745894</t>
  </si>
  <si>
    <t xml:space="preserve">Ageas Federal Life Insurance</t>
  </si>
  <si>
    <t xml:space="preserve">Ageas Federal</t>
  </si>
  <si>
    <t xml:space="preserve">Ageas Federal Life Insurance named Erum Kidwai as CMO.</t>
  </si>
  <si>
    <t xml:space="preserve">https://www.afaqs.com/people-spotting/ageas-federal-life-insurance-names-erum-kidwai-as-cmo-11876935</t>
  </si>
  <si>
    <t xml:space="preserve">Air India Express</t>
  </si>
  <si>
    <t xml:space="preserve">Air India Group (Tata)</t>
  </si>
  <si>
    <t xml:space="preserve">TBWA\Lintas (Creative, since 2024); Dentsu Sports &amp; Entertainment (Content, since 2026)</t>
  </si>
  <si>
    <t xml:space="preserve">Account lead Ranjeev Vij exited Apr 2025; parent Air India uses McCann; TBWA India merged into TBWA\Lintas Jan 2026; co-lead Prateek Bharadwaj reported exiting Feb 2026; Dentsu also holds Tata Group IPL media; Air India CEO mulling Air India Express merger (Sep 2026) could consolidate agencies.</t>
  </si>
  <si>
    <t xml:space="preserve">Omnicom won the mandate in Feb 2024; OAG India made 'Xplore More, Xpress More' in Oct 2025 and TBWA\Lintas holds The Work 2026 credits.</t>
  </si>
  <si>
    <t xml:space="preserve">https://campaignbriefasia.com/2025/10/15/air-india-express-embarks-on-a-new-journey-with-xplore-more-xpress-more/</t>
  </si>
  <si>
    <t xml:space="preserve">https://www.afaqs.com/news/digital/edstead-air-india-express-and-dentsu-se-unveil-voices-of-the-land-12126455</t>
  </si>
  <si>
    <t xml:space="preserve">Bharat Connect (Bharat BillPay)</t>
  </si>
  <si>
    <t xml:space="preserve">NPCI</t>
  </si>
  <si>
    <t xml:space="preserve">NPCI spreads work across agencies (5W1H made RuPay AI films May 2026); DDB brand retired Jan 2026 and DDB Mudra split across McCann, BBDO Group (Mudra) and TBWA\Lintas; destination of this account not announced</t>
  </si>
  <si>
    <t xml:space="preserve">DDB Mudra's July 2025 campaign for NPCI Bharat BillPay showcased the reliability of Bharat Connect.</t>
  </si>
  <si>
    <t xml:space="preserve">https://campaignbriefasia.com/2025/07/02/npci-bharat-billpays-new-campaign-by-ddb-mudra-showcases-the-quiet-reliability-of-bharat-connect/</t>
  </si>
  <si>
    <t xml:space="preserve">General Insurance Council</t>
  </si>
  <si>
    <t xml:space="preserve">General Insurance Council is among TBWA\Lintas clients credited at The Work 2026.</t>
  </si>
  <si>
    <t xml:space="preserve">KFC India</t>
  </si>
  <si>
    <t xml:space="preserve">Yum! Brands</t>
  </si>
  <si>
    <t xml:space="preserve">FCB Neo (absorbed into McCann) (Integrated, since 2024)</t>
  </si>
  <si>
    <t xml:space="preserve">FCB retired; QSR conflict inside Omnicom with Burger King (Kinnect), McDonald's and Domino's; New CMO 2026-07</t>
  </si>
  <si>
    <t xml:space="preserve">Yum! Brands appointed Rishab Mukherjee as CMO for KFC South Asia.</t>
  </si>
  <si>
    <t xml:space="preserve">https://www.afaqs.com/news/advertising/kfc-turns-up-the-heat-with-a-saucy-new-campaign-for-its-dunked-range-10987101</t>
  </si>
  <si>
    <t xml:space="preserve">https://www.afaqs.com/people-spotting/yum-brands-appoints-rishab-mukherjee-as-cmo-for-kfc-south-asia-12141444</t>
  </si>
  <si>
    <t xml:space="preserve">McDonald's India (West &amp; South)</t>
  </si>
  <si>
    <t xml:space="preserve">Westlife Foodworld</t>
  </si>
  <si>
    <t xml:space="preserve">McCann India (Creative, since 2026)</t>
  </si>
  <si>
    <t xml:space="preserve">Mudra (ex DDB Mudra, BBDO Group) (Integrated); Leo India (Creative)</t>
  </si>
  <si>
    <t xml:space="preserve">Inherited from DDB Mudra in the merger; new relationship still settling; New head of marketing 2026-07; Moved inside Omnicom to McCann India in 2026; W&amp;S and N&amp;E franchisees now on different Omnicom agencies; Work moved to DDB Mudra after about 29 years with Leo; CBO Arvind R P exited Mar 2026; PR moved to The Good Edge Apr 2026</t>
  </si>
  <si>
    <t xml:space="preserve">McDonald's India (W&amp;S) named Mehak Jaini head of marketing.</t>
  </si>
  <si>
    <t xml:space="preserve">https://campaignbriefasia.com/2025/10/17/mcdonalds-india-turns-social-media-feedback-into-a-feast-in-new-ddb-mudra-campaign/</t>
  </si>
  <si>
    <t xml:space="preserve">https://campaignbriefasia.com/2026/06/05/mcdonalds-india-celebrates-30-years-with-lets-family-at-mcd-campaign-via-mccann-india/</t>
  </si>
  <si>
    <t xml:space="preserve">SBI Card</t>
  </si>
  <si>
    <t xml:space="preserve">SBI</t>
  </si>
  <si>
    <t xml:space="preserve">New brand head 2026-09; Freshly elevated brand head; premium cards (Aurum, Elite) need premium content.</t>
  </si>
  <si>
    <t xml:space="preserve">Vishal Wadhwa was elevated to SVP, brand and digital marketing at SBI Card.</t>
  </si>
  <si>
    <t xml:space="preserve">https://www.afaqs.com/people-spotting/vishal-wadhwa-elevated-to-svp-brand-digital-marketing-at-sbi-card-12548569</t>
  </si>
  <si>
    <t xml:space="preserve">Zuno General Insurance</t>
  </si>
  <si>
    <t xml:space="preserve">Hashtag Orange (Creative, since 2025); BC Web Wise (Digital, since 2024)</t>
  </si>
  <si>
    <t xml:space="preserve">Leadership change, Split roster</t>
  </si>
  <si>
    <t xml:space="preserve">Split with BC Web Wise (digital). Gaurang Menon, Managing Partner and Creative Head West who built the Mumbai business, stepped down Sep 2026.; Zuno also listed as a Hashtag Orange Mumbai client, suggesting a split roster.</t>
  </si>
  <si>
    <t xml:space="preserve">Zuno renewed its digital mandate with BC Web Wise for a second consecutive year in Jul 2025.</t>
  </si>
  <si>
    <t xml:space="preserve">https://www.socialsamosa.com/industry-updates/hashtag-orange-zuno-insurances-communications-mandate-9402773</t>
  </si>
  <si>
    <t xml:space="preserve">https://www.medianews4u.com/zuno-general-insurance-renews-digital-mandate-with-bc-web-wise-for-the-second-consecutive-year/</t>
  </si>
  <si>
    <t xml:space="preserve">Bajaj Almond Drops</t>
  </si>
  <si>
    <t xml:space="preserve">Bajaj Consumer Care</t>
  </si>
  <si>
    <t xml:space="preserve">Ulka (BBDO Group) (Creative, since 2025)</t>
  </si>
  <si>
    <t xml:space="preserve">TBWA\Lintas (Integrated)</t>
  </si>
  <si>
    <t xml:space="preserve">Won weeks before Ulka moved into BBDO Group; Ulka moved into BBDO Group; new group CEO Jitender Dabas from Feb 2026; Moved to FCB Ulka Nov 2025 (inferred)</t>
  </si>
  <si>
    <t xml:space="preserve">FCB Ulka appointed creative agency on record after a multi-agency pitch; CMO Sanath R Pulikkal.</t>
  </si>
  <si>
    <t xml:space="preserve">https://www.medianews4u.com/fcb-ulka-bags-creative-mandate-for-bajaj-almond-drops-hair-oil-and-bajaj-no-marks/</t>
  </si>
  <si>
    <t xml:space="preserve">https://www.medianews4u.com/bajaj-almond-launches-its-new-integrated-campaign-featuring-parineeti-chopra/</t>
  </si>
  <si>
    <t xml:space="preserve">CarDekho</t>
  </si>
  <si>
    <t xml:space="preserve">CarDekho Group</t>
  </si>
  <si>
    <t xml:space="preserve">Dentsu Creative India (Social, since 2022) unconfirmed</t>
  </si>
  <si>
    <t xml:space="preserve">WATConsult brand merged into Dentsu Creative in 2022; account status unknown</t>
  </si>
  <si>
    <t xml:space="preserve">WATConsult won CarDekho creative, social, content and ORM mandate, Delhi office.</t>
  </si>
  <si>
    <t xml:space="preserve">2022-05</t>
  </si>
  <si>
    <t xml:space="preserve">https://marketech-apac.com/watconsult-bags-creative-social-media-mandate-for-cardekho/</t>
  </si>
  <si>
    <t xml:space="preserve">Decathlon India</t>
  </si>
  <si>
    <t xml:space="preserve">Decathlon</t>
  </si>
  <si>
    <t xml:space="preserve">CMO Gaudham Ganesh; KIPRUN launch; community and experience led</t>
  </si>
  <si>
    <t xml:space="preserve">Decathlon's KIPRUN (Sep 2026) and Simond (Mar 2026) campaigns credit no agency.</t>
  </si>
  <si>
    <t xml:space="preserve">https://www.medianews4u.com/decathlon-launches-kiprun-in-india-with-more-runs-more-life-campaign/</t>
  </si>
  <si>
    <t xml:space="preserve">Eastman Auto &amp; Power</t>
  </si>
  <si>
    <t xml:space="preserve">Eastman Group</t>
  </si>
  <si>
    <t xml:space="preserve">Havas Creative India (Creative, since 2024); Burson India (PR, since 2024)</t>
  </si>
  <si>
    <t xml:space="preserve">Havas, WPP</t>
  </si>
  <si>
    <t xml:space="preserve">Eastman Auto &amp; Power partnered Burson to enhance brand presence in Dec 2024.</t>
  </si>
  <si>
    <t xml:space="preserve">https://www.afaqs.com/news/media/havas-creative-india-wins-creative-aor-mandate-for-eastman-auto-power-7594341</t>
  </si>
  <si>
    <t xml:space="preserve">https://www.medianews4u.com/eastman-auto-power-partners-with-burson-to-enhance-brand-presence/</t>
  </si>
  <si>
    <t xml:space="preserve">Kingfisher</t>
  </si>
  <si>
    <t xml:space="preserve">DNA Entertainment Networks (Experiential, since 2026); VML India (Creative) unconfirmed</t>
  </si>
  <si>
    <t xml:space="preserve">United Breweries appointed a new communications lead in Aug 2026 (afaqs).; No recent visible agency credit</t>
  </si>
  <si>
    <t xml:space="preserve">DNA lists 'Kingfisher x Women's Premier League' (2026) among its special events.</t>
  </si>
  <si>
    <t xml:space="preserve">https://dnanetworks.com/our-work/special-events/</t>
  </si>
  <si>
    <t xml:space="preserve">https://www.medianews4u.com/wunderman-thompson-south-asias-music-video-for-brand-kingfisher-helps-build-positive-community-spirit/</t>
  </si>
  <si>
    <t xml:space="preserve">Super League Kerala</t>
  </si>
  <si>
    <t xml:space="preserve">Interactive Avenues (Omnicom Media) (Integrated, since 2024) unconfirmed</t>
  </si>
  <si>
    <t xml:space="preserve">Interactive Avenues won creative and media for Super League Kerala.</t>
  </si>
  <si>
    <t xml:space="preserve">https://www.medianews4u.com/interactive-avenues-wins-creative-and-media-mandate-for-super-league-kerala/</t>
  </si>
  <si>
    <t xml:space="preserve">Swaraj Tractors</t>
  </si>
  <si>
    <t xml:space="preserve">afaqs FCB Interface topic lists the Swaraj Dhoni farm campaign.</t>
  </si>
  <si>
    <t xml:space="preserve">https://afaqs.com/topic/fcb-interface</t>
  </si>
  <si>
    <t xml:space="preserve">Swiss Beauty</t>
  </si>
  <si>
    <t xml:space="preserve">Swiss Beauty Cosmetics</t>
  </si>
  <si>
    <t xml:space="preserve">Gaurang Menon, Managing Partner and Creative Head West who built the Mumbai business, stepped down Sep 2026.; New CMO Vidushi Goyal (Aug 2024) and AVP Marketing Shalini Kochar (Feb 2026)</t>
  </si>
  <si>
    <t xml:space="preserve">Swiss Beauty is named among Mumbai clients handled by departing Hashtag Orange MP Gaurang Menon.</t>
  </si>
  <si>
    <t xml:space="preserve">https://www.socialsamosa.com/industry-updates/swiss-beauty-vidushi-goyal-cmo-6906450</t>
  </si>
  <si>
    <t xml:space="preserve">Palmonas</t>
  </si>
  <si>
    <t xml:space="preserve">Shraddha Kapoor co-founder and face; scaling awareness</t>
  </si>
  <si>
    <t xml:space="preserve">Mar 2026 profile of Palmonas' star, influencer and awareness strategy names no agency.</t>
  </si>
  <si>
    <t xml:space="preserve">https://www.socialsamosa.com/marketing-shorts/palmonas-star-power-influencers-awareness-win-consumers-11257986</t>
  </si>
  <si>
    <t xml:space="preserve">Aqua Plumbings (Plumber Bathware, Aquini)</t>
  </si>
  <si>
    <t xml:space="preserve">Aqua Plumbings Pvt Ltd</t>
  </si>
  <si>
    <t xml:space="preserve">Ogilvy India (Creative, since 2025)</t>
  </si>
  <si>
    <t xml:space="preserve">Aqua Plumbings partnered Ogilvy Delhi in Jun 2025 to build its Plumber and ultra luxury Aquini bathware brands.</t>
  </si>
  <si>
    <t xml:space="preserve">https://www.medianews4u.com/aqua-plumbings-joins-hands-with-ogilvy-to-redefine-bathware-branding-in-india/</t>
  </si>
  <si>
    <t xml:space="preserve">Asian Paints Emporio</t>
  </si>
  <si>
    <t xml:space="preserve">Luxury sub brand serviced by a mass team inside a long running Asian Paints relationship</t>
  </si>
  <si>
    <t xml:space="preserve">Ogilvy Mumbai made the Emporio luxury wood finish campaign starring Dino Morea, positioned on Italian craftsmanship.</t>
  </si>
  <si>
    <t xml:space="preserve">https://campaignbriefasia.com/2025/11/11/ogilvy-india-brings-italian-flair-to-asian-paints-emporios-latest-campaign-starring-dino-morea/</t>
  </si>
  <si>
    <t xml:space="preserve">KLUDI India</t>
  </si>
  <si>
    <t xml:space="preserve">KLUDI RAK / RAK Ceramics</t>
  </si>
  <si>
    <t xml:space="preserve">Dentsu Creative Webchutney (Creative, since 2025)</t>
  </si>
  <si>
    <t xml:space="preserve">Luxury brand bundled with mass sibling; may want a luxury specialist for design-led content</t>
  </si>
  <si>
    <t xml:space="preserve">Luxury German sanitaryware brand assigned strategy and creative to Webchutney Bengaluru alongside RAK Ceramics.</t>
  </si>
  <si>
    <t xml:space="preserve">https://www.afaqs.com/news/newbizwins/dentsu-creative-webchutney-wins-rak-ceramics-and-kludi-india-mandate-10500325</t>
  </si>
  <si>
    <t xml:space="preserve">World Luxury Chamber of Commerce</t>
  </si>
  <si>
    <t xml:space="preserve">Glad U Came (PR, since 2026)</t>
  </si>
  <si>
    <t xml:space="preserve">Agency positioning itself for luxury clients; watch for its pitches.</t>
  </si>
  <si>
    <t xml:space="preserve">Glad U Came became official PR partner of the World Luxury Chamber of Commerce in India.</t>
  </si>
  <si>
    <t xml:space="preserve">https://www.socialsamosa.com/industry-updates/glad-u-came-pr-mandate-world-luxury-chamber-of-commerce-12575269</t>
  </si>
  <si>
    <t xml:space="preserve">Duolingo</t>
  </si>
  <si>
    <t xml:space="preserve">Talented (Creative); Publicis Digital Experience (ex Digitas) (Digital, since 2023) unconfirmed</t>
  </si>
  <si>
    <t xml:space="preserve">Publicis Digital Experience (ex Digitas) (Social)</t>
  </si>
  <si>
    <t xml:space="preserve">Tara Kapur elevated to Head of Marketing DET (Mar 2026); Duolingo app work now with Talented; Moved to Talented</t>
  </si>
  <si>
    <t xml:space="preserve">Talented conceptualised the 'Ullu Da Pattha' launch campaign for Duolingo's Punjabi to English course.</t>
  </si>
  <si>
    <t xml:space="preserve">https://www.afaqs.com/news/advertising/duolingo-enters-punjab-with-ullu-da-pattha-campaign-for-english-course-12501089</t>
  </si>
  <si>
    <t xml:space="preserve">https://www.medianews4u.com/duolingo-english-test-unveils-why-i-took-the-det-campaign-showcasing-study-abroad-success/</t>
  </si>
  <si>
    <t xml:space="preserve">Android</t>
  </si>
  <si>
    <t xml:space="preserve">Google</t>
  </si>
  <si>
    <t xml:space="preserve">Google work split across FCB (Android) and Lintas (Google Pay, Gemini)</t>
  </si>
  <si>
    <t xml:space="preserve">FCB India reimagined 'Call Me Bae' scenes for an Android Gen Z campaign.</t>
  </si>
  <si>
    <t xml:space="preserve">https://www.medianews4u.com/fcb-india-reimagines-call-me-bae-scenes-for-android-campaign-to-engage-gen-z/</t>
  </si>
  <si>
    <t xml:space="preserve">Asus</t>
  </si>
  <si>
    <t xml:space="preserve">ASUSTeK</t>
  </si>
  <si>
    <t xml:space="preserve">SoCheers (Digital, since 2024); The Womb (Creative)</t>
  </si>
  <si>
    <t xml:space="preserve">ASUS creative also credited to The Womb, split mandates; Two-plus years in; consumer tech brands typically re-pitch digital every 2 to 3 years.</t>
  </si>
  <si>
    <t xml:space="preserve">Asus is listed among The Womb's clients.</t>
  </si>
  <si>
    <t xml:space="preserve">https://www.afaqs.com/news/advertising/socheers-wins-digital-mandate-for-asus-india</t>
  </si>
  <si>
    <t xml:space="preserve">https://www.medianews4u.com/socheers-secures-the-digital-mandate-for-asus-india/</t>
  </si>
  <si>
    <t xml:space="preserve">Happilo</t>
  </si>
  <si>
    <t xml:space="preserve">Happilo International</t>
  </si>
  <si>
    <t xml:space="preserve">Sideways (Creative, since 2022) unconfirmed</t>
  </si>
  <si>
    <t xml:space="preserve">Four year old appointment, no recent work seen, likely fatigue or dormant</t>
  </si>
  <si>
    <t xml:space="preserve">Happilo appointed Sideways for its creative mandate without a multi agency pitch.</t>
  </si>
  <si>
    <t xml:space="preserve">https://www.campaignindia.in/article/happilo-appoints-sideways-for-its-creative-mandate/4xy5wmxrg1rzbvvd76w7t1c1nx</t>
  </si>
  <si>
    <t xml:space="preserve">Medanta</t>
  </si>
  <si>
    <t xml:space="preserve">Global Health Ltd</t>
  </si>
  <si>
    <t xml:space="preserve">Bang in the Middle (Creative)</t>
  </si>
  <si>
    <t xml:space="preserve">Public brand and agency friction; Medanta relationship ended acrimoniously</t>
  </si>
  <si>
    <t xml:space="preserve">Bang in the Middle publicly called out former client Medanta for using a campaign idea it rejected during their year long relationship.</t>
  </si>
  <si>
    <t xml:space="preserve">https://www.afaqs.com/news/advertising/bang-in-the-middle-hollers-at-former-client-mendanta-for-using-a-campaign-idea-it-rejected-during-their-year-long-relationship</t>
  </si>
  <si>
    <t xml:space="preserve">Prime Video</t>
  </si>
  <si>
    <t xml:space="preserve">Amazon</t>
  </si>
  <si>
    <t xml:space="preserve">One Hand Clap (Content); The New Thing (Content)</t>
  </si>
  <si>
    <t xml:space="preserve">Prime Video also works with One Hand Clap, split roster</t>
  </si>
  <si>
    <t xml:space="preserve">afaqs credits The New Thing with cultural campaigns for Amazon Prime.</t>
  </si>
  <si>
    <t xml:space="preserve">https://www.afaqs.com/news/advertising/when-the-star-client-stumbles-building-resilience-in-indias-new-age-ad-agencies-10477604</t>
  </si>
  <si>
    <t xml:space="preserve">Whiskas</t>
  </si>
  <si>
    <t xml:space="preserve">Mars Petcare India</t>
  </si>
  <si>
    <t xml:space="preserve">BBDO India (Creative); 22feet Tribal Worldwide (Creative)</t>
  </si>
  <si>
    <t xml:space="preserve">Split mandate: 22feet made a Whiskas film in Jul 2026; Split with BBDO Delhi inside Omnicom</t>
  </si>
  <si>
    <t xml:space="preserve">22feet created the Whiskas Indian Fish Range launch with Mrunal Thakur in Jul 2026.</t>
  </si>
  <si>
    <t xml:space="preserve">https://www.medianews4u.com/whiskas-spotlights-texture-and-taste-with-new-pockets-campaign/</t>
  </si>
  <si>
    <t xml:space="preserve">https://www.medianews4u.com/whiskas-introduces-a-cat-food-range-with-a-campaign-featuring-mrunal-thakur/</t>
  </si>
  <si>
    <t xml:space="preserve">4700BC</t>
  </si>
  <si>
    <t xml:space="preserve">Pollinate Labs (Creative, since 2026)</t>
  </si>
  <si>
    <t xml:space="preserve">Rebrand underway 2026-09; launch campaign and social likely to follow</t>
  </si>
  <si>
    <t xml:space="preserve">Pollinate Labs won the rebranding mandate for gourmet popcorn brand 4700BC.</t>
  </si>
  <si>
    <t xml:space="preserve">https://www.afaqs.com/news/newbizwins/pollinate-labs-wins-the-rebranding-mandate-for-4700bc-12506207</t>
  </si>
  <si>
    <t xml:space="preserve">Adani Airports</t>
  </si>
  <si>
    <t xml:space="preserve">Ogilvy India made the Nov 2025 Adani Group film on human first service at its airports.</t>
  </si>
  <si>
    <t xml:space="preserve">https://campaignbriefasia.com/2025/11/19/adani-group-highlights-human-first-service-through-airports-via-new-ogilvy-india-film/</t>
  </si>
  <si>
    <t xml:space="preserve">Air Canada</t>
  </si>
  <si>
    <t xml:space="preserve">Actimedia PR (PR, since 2025)</t>
  </si>
  <si>
    <t xml:space="preserve">Air Canada appointed Actimedia PR as its India communications partner.</t>
  </si>
  <si>
    <t xml:space="preserve">https://www.afaqs.com/news/newbizwins/air-canada-appoints-actimedia-pr-as-communications-partner-for-india-8686842</t>
  </si>
  <si>
    <t xml:space="preserve">AU Small Finance Bank</t>
  </si>
  <si>
    <t xml:space="preserve">AU Small Finance Bank Ltd</t>
  </si>
  <si>
    <t xml:space="preserve">Adfactors PR (PR, since 2026)</t>
  </si>
  <si>
    <t xml:space="preserve">Signed Ranbir Kapoor and Rashmika Mandanna (Dec 2025) and new deputy CEO (Jul 2026); creative agency not publicly named.</t>
  </si>
  <si>
    <t xml:space="preserve">AU SFB appointed Adfactors PR as strategic communications partner.</t>
  </si>
  <si>
    <t xml:space="preserve">https://www.campaignindia.in/article/au-small-finance-bank-appoints-adfactors-pr-as-its-strategic-communications-partner/47xnxqj38v1a16xfs0r0z4nc5p</t>
  </si>
  <si>
    <t xml:space="preserve">Bajaj Finserv insurance (Bajaj Life, Bajaj General)</t>
  </si>
  <si>
    <t xml:space="preserve">Bajaj Finserv</t>
  </si>
  <si>
    <t xml:space="preserve">Dentsu Creative India (Creative) unconfirmed</t>
  </si>
  <si>
    <t xml:space="preserve">No 2024-26 credits found; Rebrand from Bajaj Allianz to Bajaj Life and Bajaj General creates brand-building briefs; CMO Chandramohan Mehra experimenting with AI channels.</t>
  </si>
  <si>
    <t xml:space="preserve">Dentsu Creative conceptualised the 'Kum Padega' health insurance campaign.</t>
  </si>
  <si>
    <t xml:space="preserve">https://www.dentsu.com/in/en/our-news/bajaj-allianz-gic-and-dentsu-creative-indias-new-campaign-</t>
  </si>
  <si>
    <t xml:space="preserve">https://www.storyboard18.com/brand-marketing/bajaj-finserv-rebrands-insurance-arms-after-full-ownership-acquisition-82190.htm</t>
  </si>
  <si>
    <t xml:space="preserve">Birdy's</t>
  </si>
  <si>
    <t xml:space="preserve">Grill Splendour Services</t>
  </si>
  <si>
    <t xml:space="preserve">Spek Digital (Schbang Network) (Integrated, since 2025)</t>
  </si>
  <si>
    <t xml:space="preserve">Spek Digital, part of the Schbang network, was appointed creative brand and marketing partner for patisserie brand Birdy's on a 360 mandate.</t>
  </si>
  <si>
    <t xml:space="preserve">https://www.socialsamosa.com/industry-updates/spek-digital-creative-marketing-mandate-birdys-9607484</t>
  </si>
  <si>
    <t xml:space="preserve">California Almonds</t>
  </si>
  <si>
    <t xml:space="preserve">Almond Board of California</t>
  </si>
  <si>
    <t xml:space="preserve">Leo India (Digital)</t>
  </si>
  <si>
    <t xml:space="preserve">Social and content brief suited to a premium food specialist</t>
  </si>
  <si>
    <t xml:space="preserve">California Almonds named as a Leo India digital account in the Jul 2026 VP Digital appointment.</t>
  </si>
  <si>
    <t xml:space="preserve">https://www.socialsamosa.com/industry-updates/leo-india-alin-choubey-vice-president-digital-12151129</t>
  </si>
  <si>
    <t xml:space="preserve">CookieMan India</t>
  </si>
  <si>
    <t xml:space="preserve">Gozoop (now YAAP) (Integrated, since 2025)</t>
  </si>
  <si>
    <t xml:space="preserve">Gozoop Creative will handle CookieMan India's digital and creative mandate.</t>
  </si>
  <si>
    <t xml:space="preserve">https://www.afaqs.com/news/newbizwins/gozoop-creative-to-handle-cookieman-indias-digital-and-creative-mandate-10940065</t>
  </si>
  <si>
    <t xml:space="preserve">DSP Mutual Fund</t>
  </si>
  <si>
    <t xml:space="preserve">DSP Asset Managers</t>
  </si>
  <si>
    <t xml:space="preserve">Dentsu Creative Webchutney (Creative) unconfirmed</t>
  </si>
  <si>
    <t xml:space="preserve">Innovation project credit; retainer unconfirmed</t>
  </si>
  <si>
    <t xml:space="preserve">Webchutney partnered DSP Mutual Fund on 'Garuda Rakshak' drone initiative at Maha Kumbh.</t>
  </si>
  <si>
    <t xml:space="preserve">https://www.medianews4u.com/dsp-mutual-fund-dentsu-creative-webchutney-falco-robotics-launch-garuda-rakshak-to-safeguard-children-at-purna-maha-kumbh/</t>
  </si>
  <si>
    <t xml:space="preserve">Dunkin' India</t>
  </si>
  <si>
    <t xml:space="preserve">Jubilant FoodWorks (Inspire Brands franchise)</t>
  </si>
  <si>
    <t xml:space="preserve">Saatchi &amp; Saatchi India (Integrated, since 2023) unconfirmed; Propagate India (Publicis) (Social, since 2023) unconfirmed</t>
  </si>
  <si>
    <t xml:space="preserve">No 2025 to 2026 Dunkin' work credited to Saatchi found; Premium QSR social brief; no recent work found</t>
  </si>
  <si>
    <t xml:space="preserve">L&amp;K Saatchi &amp; Saatchi secured Dunkin' India's integrated creative and digital mandate for its relaunch (Sep 2023).</t>
  </si>
  <si>
    <t xml:space="preserve">https://www.afaqs.com/news/advertising/lk-saatchi-saatchi-bags-dunkin-indias-integrated-creative-and-digital-mandate</t>
  </si>
  <si>
    <t xml:space="preserve">EquBot</t>
  </si>
  <si>
    <t xml:space="preserve">Publicis Digital Experience (ex Digitas) (Digital, since 2023) unconfirmed</t>
  </si>
  <si>
    <t xml:space="preserve">EquBot chose Digitas India for digital and media to generate marketing qualified leads (Apr 2023).</t>
  </si>
  <si>
    <t xml:space="preserve">2023-04</t>
  </si>
  <si>
    <t xml:space="preserve">https://www.afaqs.com/news/advertising/digitas-india-bags-digital-and-media-mandate-for-ai-platform-equbot</t>
  </si>
  <si>
    <t xml:space="preserve">HDFC Bank</t>
  </si>
  <si>
    <t xml:space="preserve">HDFC Bank Ltd</t>
  </si>
  <si>
    <t xml:space="preserve">Kinnect (Content)</t>
  </si>
  <si>
    <t xml:space="preserve">Long-running Vigil Aunty platform; CEO Sashidhar Jagdishan retires Oct 2026 and CMO Ravi Santhanam is pushing content at scale; premium banking and wealth content are separate briefs.</t>
  </si>
  <si>
    <t xml:space="preserve">HDFC Bank and Kinnect extended the Vigil Aunty fraud-awareness platform into a seven-episode stand-up special on JioHotstar.</t>
  </si>
  <si>
    <t xml:space="preserve">https://www.afaqs.com/news/advertising/hdfc-bank-kinnect-turn-laziness-saves-into-fraud-awareness-12482592</t>
  </si>
  <si>
    <t xml:space="preserve">Hershey's</t>
  </si>
  <si>
    <t xml:space="preserve">Hershey India</t>
  </si>
  <si>
    <t xml:space="preserve">TBWA\Lintas created 'Life Is Hard, Par Hershey's Hai Na Yaar'.</t>
  </si>
  <si>
    <t xml:space="preserve">https://www.medianews4u.com/hersheys-turns-lifes-everyday-setbacks-into-moments-of-comfort-in-new-campaign/</t>
  </si>
  <si>
    <t xml:space="preserve">HSBC India</t>
  </si>
  <si>
    <t xml:space="preserve">HSBC</t>
  </si>
  <si>
    <t xml:space="preserve">Contract Advertising created HSBC India's 'My Account Starts Today' film with Virat Kohli in Jun 2023.</t>
  </si>
  <si>
    <t xml:space="preserve">2023-06</t>
  </si>
  <si>
    <t xml:space="preserve">https://campaignbriefasia.com/2023/06/06/contract-advertising-creates-my-account-starts-today-for-hsbc-india-starring-virat-kohli/</t>
  </si>
  <si>
    <t xml:space="preserve">ICICI Bank</t>
  </si>
  <si>
    <t xml:space="preserve">ICICI Bank Ltd</t>
  </si>
  <si>
    <t xml:space="preserve">Wit &amp; Chai Group (Digital)</t>
  </si>
  <si>
    <t xml:space="preserve">Scope not disclosed; ICICI's premium (Emeralde, private banking) and Times Black card work carry no visible agency.</t>
  </si>
  <si>
    <t xml:space="preserve">Storyboard18 profiled Wit &amp; Chai as the agency that landed Starbucks and ICICI Bank, working across production, influencer, events and performance.</t>
  </si>
  <si>
    <t xml:space="preserve">https://www.storyboard18.com/brand-makers/the-accidental-agency-how-wit-chai-swapped-vanity-metrics-for-business-growth-to-land-starbucks-and-icici-bank-91910.htm</t>
  </si>
  <si>
    <t xml:space="preserve">IndusInd General Insurance</t>
  </si>
  <si>
    <t xml:space="preserve">IndusInd International Holdings</t>
  </si>
  <si>
    <t xml:space="preserve">SoCheers work page lists IndusInd General Insurance under BFSI.</t>
  </si>
  <si>
    <t xml:space="preserve">Kotak Mahindra Prime</t>
  </si>
  <si>
    <t xml:space="preserve">Jack in the Box Worldwide (Social, since 2025)</t>
  </si>
  <si>
    <t xml:space="preserve">Multi-vendor social setup at Kotak group.</t>
  </si>
  <si>
    <t xml:space="preserve">Jack in the Box Worldwide won social media for Kotak Mahindra Prime, the car finance arm, as one of its service providers.</t>
  </si>
  <si>
    <t xml:space="preserve">https://www.afaqs.com/news/newbizwins/jack-in-the-box-worldwide-wins-social-media-mandate-for-kotak-mahindra-prime-9306900</t>
  </si>
  <si>
    <t xml:space="preserve">Kotak811</t>
  </si>
  <si>
    <t xml:space="preserve">Schbang news centre lists Kotak811 Metal Card and lifestyle campaigns.</t>
  </si>
  <si>
    <t xml:space="preserve">Libertario Coffee India</t>
  </si>
  <si>
    <t xml:space="preserve">Libertario Coffee</t>
  </si>
  <si>
    <t xml:space="preserve">Confiance bagged the communications mandate for Libertario Coffee India.</t>
  </si>
  <si>
    <t xml:space="preserve">https://www.afaqs.com/news/newbizwins/confiance-communications-bags-communications-mandate-for-libertario-coffee-india-11777538</t>
  </si>
  <si>
    <t xml:space="preserve">Licious</t>
  </si>
  <si>
    <t xml:space="preserve">Delightful Gourmet</t>
  </si>
  <si>
    <t xml:space="preserve">Sideways (Creative, since 2024) unconfirmed</t>
  </si>
  <si>
    <t xml:space="preserve">No Sideways work for Licious seen after early 2024</t>
  </si>
  <si>
    <t xml:space="preserve">Licious ran 'Licious Mangaiye, Sunday Manaiye' and juiciest chicken campaigns with Sideways in 2024.</t>
  </si>
  <si>
    <t xml:space="preserve">https://www.afaqs.com/tags/sideways-consulting</t>
  </si>
  <si>
    <t xml:space="preserve">Luxmi Tea</t>
  </si>
  <si>
    <t xml:space="preserve">Luxmi Tea Group</t>
  </si>
  <si>
    <t xml:space="preserve">Crosshairs case study: 2+ years of PR and influencer marketing for heritage tea brand Luxmi.</t>
  </si>
  <si>
    <t xml:space="preserve">Nippon India Mutual Fund</t>
  </si>
  <si>
    <t xml:space="preserve">Nippon Life India Asset Management</t>
  </si>
  <si>
    <t xml:space="preserve">Rediffusion (Creative, since 2024)</t>
  </si>
  <si>
    <t xml:space="preserve">Nearly two years in; Rediffusion lost BMW in Jan 2026.</t>
  </si>
  <si>
    <t xml:space="preserve">Rediffusion was appointed creative agency of record for Nippon India Mutual Fund after a four-round pitch.</t>
  </si>
  <si>
    <t xml:space="preserve">https://www.storyboard18.com/agency-news/rediffusion-wins-creative-mandate-for-nippon-india-mutual-fund-46728.htm</t>
  </si>
  <si>
    <t xml:space="preserve">https://www.medianews4u.com/rediffusion-bags-creative-mandate-for-nippon-india-mutual-fund/</t>
  </si>
  <si>
    <t xml:space="preserve">PizzaExpress India</t>
  </si>
  <si>
    <t xml:space="preserve">PizzaExpress</t>
  </si>
  <si>
    <t xml:space="preserve">Punt Creative (Integrated, since 2026); Punt Creative (Creative, since 2026)</t>
  </si>
  <si>
    <t xml:space="preserve">Just awarded; GIHG also runs Olive Garden, Chili's and P.F. Chang's in India, adjacent brands may be up for grabs; Appointed 2026-08; social, PR and experiential scope not disclosed</t>
  </si>
  <si>
    <t xml:space="preserve">Punt Creative won the communications mandate for PizzaExpress India after a competitive pitch (Aug 2026).</t>
  </si>
  <si>
    <t xml:space="preserve">https://www.medianews4u.com/punt-creative-bags-communications-mandate-for-pizzaexpress-india/</t>
  </si>
  <si>
    <t xml:space="preserve">https://www.afaqs.com/news/newbizwins/punt-creative-wins-communication-mandate-for-pizzaexpress-india-12235291</t>
  </si>
  <si>
    <t xml:space="preserve">SafeTree</t>
  </si>
  <si>
    <t xml:space="preserve">Hashtag Orange (Integrated, since 2026)</t>
  </si>
  <si>
    <t xml:space="preserve">Hashtag Orange won SafeTree's brand and media mandate to build a fertility insurance brand.</t>
  </si>
  <si>
    <t xml:space="preserve">https://www.medianews4u.com/hashtag-orange-secures-safetree-mandate-to-build-indias-first-fertility-insurance-brand/</t>
  </si>
  <si>
    <t xml:space="preserve">Sunfeast Dark Fantasy</t>
  </si>
  <si>
    <t xml:space="preserve">ITC</t>
  </si>
  <si>
    <t xml:space="preserve">Ulka (BBDO Group) (Creative)</t>
  </si>
  <si>
    <t xml:space="preserve">Ulka moved into BBDO Group; new group CEO Jitender Dabas from Feb 2026</t>
  </si>
  <si>
    <t xml:space="preserve">FCB Ulka topic lists the Dark Fantasy 'power of imagination' campaign with Shah Rukh Khan.</t>
  </si>
  <si>
    <t xml:space="preserve">https://www.afaqs.com/topic/fcb-ulka</t>
  </si>
  <si>
    <t xml:space="preserve">Suzette</t>
  </si>
  <si>
    <t xml:space="preserve">Suzette Gourmet</t>
  </si>
  <si>
    <t xml:space="preserve">Scribbld (Performance, since 2026)</t>
  </si>
  <si>
    <t xml:space="preserve">Performance only; brand, social and content open for a premium cafe brand.</t>
  </si>
  <si>
    <t xml:space="preserve">afaqs newbizwins lists Scribbld winning the performance marketing mandate for Suzette Gourmet.</t>
  </si>
  <si>
    <t xml:space="preserve">https://www.afaqs.com/news/newbizwins/scribbld-wins-performance-marketing-mandate-for-suzette-gourmet-11871446</t>
  </si>
  <si>
    <t xml:space="preserve">Tata AIA Life Insurance</t>
  </si>
  <si>
    <t xml:space="preserve">Tata Sons and AIA</t>
  </si>
  <si>
    <t xml:space="preserve">Admatazz (Creative, since 2024)</t>
  </si>
  <si>
    <t xml:space="preserve">Long-standing independent partner; CMO Girish Kalra.</t>
  </si>
  <si>
    <t xml:space="preserve">Admatazz conceptualised and executed Tata AIA's 25-year city-led campaign (Mar 2026) after earlier stand-up comedy and OOH campaigns.</t>
  </si>
  <si>
    <t xml:space="preserve">https://www.campaignindia.in/article/tata-aia-marks-25-years-with-city-led-campaign/40h4xznpb8afwsycdf1j2w5n5e</t>
  </si>
  <si>
    <t xml:space="preserve">Tata Starbucks</t>
  </si>
  <si>
    <t xml:space="preserve">Tata Starbucks (Tata Consumer JV)</t>
  </si>
  <si>
    <t xml:space="preserve">Madison Media (Media, since 2025) unconfirmed</t>
  </si>
  <si>
    <t xml:space="preserve">Project-level OOH only; Head of Product and Marketing Mitali Maheshwari; content-led, no visible creative agency</t>
  </si>
  <si>
    <t xml:space="preserve">MOMS ran a 3D anamorphic OOH campaign for Starbucks Blonde Roast in Bangalore (Jul 2025).</t>
  </si>
  <si>
    <t xml:space="preserve">https://www.medianews4u.com/moms-starbucks-conduct-a-3d-anamorphic-campaign-in-bangalore-to-spotlight-the-blonde-roast/</t>
  </si>
  <si>
    <t xml:space="preserve">https://www.medianews4u.com/tata-starbucks-introduces-a-film-spotlighting-indian-single-origin-coffee/</t>
  </si>
  <si>
    <t xml:space="preserve">The Belgian Waffle Co.</t>
  </si>
  <si>
    <t xml:space="preserve">Belgian Waffle Co.</t>
  </si>
  <si>
    <t xml:space="preserve">SoCheers work page and client marquee list The Belgian Waffle Co.</t>
  </si>
  <si>
    <t xml:space="preserve">The Coffee Bean &amp; Tea Leaf India</t>
  </si>
  <si>
    <t xml:space="preserve">The Coffee Bean &amp; Tea Leaf</t>
  </si>
  <si>
    <t xml:space="preserve">popkorn (Value 360) (Creative, since 2026)</t>
  </si>
  <si>
    <t xml:space="preserve">Just awarded; Appointed 2026-05</t>
  </si>
  <si>
    <t xml:space="preserve">popkorn won the creative AOR mandate for The Coffee Bean &amp; Tea Leaf India (May 2026).</t>
  </si>
  <si>
    <t xml:space="preserve">https://www.medianews4u.com/popkorn-bags-creative-mandate-for-the-coffee-bean-tea-leaf-india/</t>
  </si>
  <si>
    <t xml:space="preserve">https://www.afaqs.com/news/newbizwins/popkorn-wins-creative-mandate-for-the-coffee-bean-tea-leaf-india-11802116</t>
  </si>
  <si>
    <t xml:space="preserve">Theobroma</t>
  </si>
  <si>
    <t xml:space="preserve">Theobroma Foods (ChrysCapital majority)</t>
  </si>
  <si>
    <t xml:space="preserve">DViO Digital (Digital, since 2019) unconfirmed</t>
  </si>
  <si>
    <t xml:space="preserve">PE ownership since 2024; roster likely stale</t>
  </si>
  <si>
    <t xml:space="preserve">DViO Digital won Theobroma's creative and digital mandate (Feb 2019); Puretech Digital partnered in 2021.</t>
  </si>
  <si>
    <t xml:space="preserve">https://www.medianews4u.com/dvio-digital-wins-the-creative-and-digital-marketing-mandate-for-theobroma/</t>
  </si>
  <si>
    <t xml:space="preserve">Vedas Fund</t>
  </si>
  <si>
    <t xml:space="preserve">Verve Media (Digital, since 2026)</t>
  </si>
  <si>
    <t xml:space="preserve">Verve Media bagged the digital mandate for Vedas Fund.</t>
  </si>
  <si>
    <t xml:space="preserve">https://www.medianews4u.com/verve-media-bags-digital-mandate-for-vedas-fund/</t>
  </si>
  <si>
    <t xml:space="preserve">ALKEM</t>
  </si>
  <si>
    <t xml:space="preserve">Alkem Laboratories</t>
  </si>
  <si>
    <t xml:space="preserve">TBWA\Lintas' 'DawAI Reader' for ALKEM features on The Work 2026 hot list.</t>
  </si>
  <si>
    <t xml:space="preserve">Ariel</t>
  </si>
  <si>
    <t xml:space="preserve">BBDO India (Creative, since 2015)</t>
  </si>
  <si>
    <t xml:space="preserve">Incumbent 10+ years; BBDO India CEO Suraja Kishore exited Apr 2025; Jitender Dabas named BBDO Group CEO Feb 2026 as Mudra and Ulka folded in</t>
  </si>
  <si>
    <t xml:space="preserve">BBDO India won a Cannes 2025 SDG Silver Lion for Ariel #ShareTheLoad (10 years).</t>
  </si>
  <si>
    <t xml:space="preserve">https://campaignbriefasia.com/2025/06/20/bbdo-india-takes-out-sustainable-development-goals-silver-lion-for-ariel-sharetheload-10-years/</t>
  </si>
  <si>
    <t xml:space="preserve">BGMI (Krafton India)</t>
  </si>
  <si>
    <t xml:space="preserve">KRAFTON India</t>
  </si>
  <si>
    <t xml:space="preserve">tgthr (Creative); Dentsu Creative Isobar (Creative); Leo India (Creative, since 2026); 22feet Tribal Worldwide (Integrated)</t>
  </si>
  <si>
    <t xml:space="preserve">Dentsu, Independent, Omnicom, Publicis</t>
  </si>
  <si>
    <t xml:space="preserve">Project style partnership rather than AOR; Kinnect and 22feet leadership merged under Chandni Shah; unit says it will take only five new clients in 2026; Account moved to sister unit 22feet in 2026</t>
  </si>
  <si>
    <t xml:space="preserve">afaqs credits tgthr with Krafton's Khali led campaign.</t>
  </si>
  <si>
    <t xml:space="preserve">https://www.adgully.com/post/2275/from-period-shame-to-in-game-weddings-ddb-mudra-groups-cannes-lions-2025-hopefuls</t>
  </si>
  <si>
    <t xml:space="preserve">BirlaNu</t>
  </si>
  <si>
    <t xml:space="preserve">HIL Ltd (CK Birla Group)</t>
  </si>
  <si>
    <t xml:space="preserve">DDB Mudra Group made BirlaNu's leakproof campaign film in Aug 2025.</t>
  </si>
  <si>
    <t xml:space="preserve">https://campaignbriefasia.com/2025/08/13/birlanu-reinforces-its-leakproof-commitment-in-new-campaign-film-by-ddb-mudra-group/</t>
  </si>
  <si>
    <t xml:space="preserve">Boomer</t>
  </si>
  <si>
    <t xml:space="preserve">DDB Mudra made the Jasprit Bumrah Boomer bubblegum spot in June 2025.</t>
  </si>
  <si>
    <t xml:space="preserve">https://campaignbriefasia.com/2025/06/19/jasprit-bumrah-revives-the-swagger-associated-with-gum-via-new-ddb-mudra-and-boomers-spot/</t>
  </si>
  <si>
    <t xml:space="preserve">Candid</t>
  </si>
  <si>
    <t xml:space="preserve">Glenmark Pharmaceuticals</t>
  </si>
  <si>
    <t xml:space="preserve">BBDO India's 'Scratch Music' for Candid was a Cannes 2025 Health entry after a Sep 2024 itch-relief spot.</t>
  </si>
  <si>
    <t xml:space="preserve">Cargill edible oils</t>
  </si>
  <si>
    <t xml:space="preserve">Cargill India</t>
  </si>
  <si>
    <t xml:space="preserve">BBDO India (Creative, since 2022) unconfirmed</t>
  </si>
  <si>
    <t xml:space="preserve">BBDO India bagged the creative mandate for Cargill's edible oil portfolio in Nov 2022.</t>
  </si>
  <si>
    <t xml:space="preserve">Cipla</t>
  </si>
  <si>
    <t xml:space="preserve">Social Samosa lists Cipla among TBWA India's clients (Dec 2025).</t>
  </si>
  <si>
    <t xml:space="preserve">Dhara</t>
  </si>
  <si>
    <t xml:space="preserve">Mother Dairy</t>
  </si>
  <si>
    <t xml:space="preserve">afaqs' DDB Mudra Group tag carries the Sep 2024 Dhara cooking oil purity TVC, and Dhara is on The Work 2025 list.</t>
  </si>
  <si>
    <t xml:space="preserve">https://www.afaqs.com/tags/ddb-mudra-group</t>
  </si>
  <si>
    <t xml:space="preserve">Doublemint</t>
  </si>
  <si>
    <t xml:space="preserve">DDB Tribal India created the #StartSomethingFresh campaign for Doublemint.</t>
  </si>
  <si>
    <t xml:space="preserve">https://campaignbriefasia.com/2023/06/26/doublemint-encourages-real-conversations-with-startsometingfresh-via-ddb-tribal-india/</t>
  </si>
  <si>
    <t xml:space="preserve">Dream11</t>
  </si>
  <si>
    <t xml:space="preserve">Dream Sports</t>
  </si>
  <si>
    <t xml:space="preserve">Mudra (ex DDB Mudra, BBDO Group) (Creative) unconfirmed; Tilt Brand Solutions (Creative) unconfirmed</t>
  </si>
  <si>
    <t xml:space="preserve">DDB brand retired Jan 2026 and DDB Mudra split across McCann, BBDO Group (Mudra) and TBWA\Lintas; destination of this account not announced; CMO exit 2026-06; Real money gaming ban (Aug 2025) hit Dream11 spend; Tilt needs replacement billings</t>
  </si>
  <si>
    <t xml:space="preserve">Dream11 CMO Vikrant Mudaliar stepped down.</t>
  </si>
  <si>
    <t xml:space="preserve">https://campaignbriefasia.com/2024/05/30/dream11-unveils-new-yeh-sabka-dream-hai-t20-world-cup-campaign-via-ddb-mudra/</t>
  </si>
  <si>
    <t xml:space="preserve">https://www.afaqs.com/people-spotting/dream11-cmo-vikrant-mudaliar-steps-down-12116888</t>
  </si>
  <si>
    <t xml:space="preserve">Excitel Broadband</t>
  </si>
  <si>
    <t xml:space="preserve">Excitel</t>
  </si>
  <si>
    <t xml:space="preserve">Excitel Broadband appointed Aditya Jain as chief marketing officer.</t>
  </si>
  <si>
    <t xml:space="preserve">https://www.afaqs.com/people-spotting/excitel-broadband-appoints-aditya-jain-as-chief-marketing-officer-12186970</t>
  </si>
  <si>
    <t xml:space="preserve">Flipkart</t>
  </si>
  <si>
    <t xml:space="preserve">E-commerce &amp; quick commerce</t>
  </si>
  <si>
    <t xml:space="preserve">Flipkart (Walmart)</t>
  </si>
  <si>
    <t xml:space="preserve">Publicis Media (Media, since 2026); 22feet Tribal Worldwide (Digital, since 2023); Talented (Creative); McCann India (Creative); Leo India (Creative); Kinnect (Digital) unconfirmed</t>
  </si>
  <si>
    <t xml:space="preserve">Mudra (ex DDB Mudra, BBDO Group) (Integrated); WPP Media (Media)</t>
  </si>
  <si>
    <t xml:space="preserve">Media moved 2026-01; Split roster with McCann on creative; Kinnect and 22feet leadership merged under Chandni Shah; unit says it will take only five new clients in 2026; Flipkart runs a multi-agency roster, Talented handles regional BBD work, so mandate is fragmented; Flipkart work split across McCann, Kinnect and Lintas in 2024 to 2026; fragmented roster; Split roster: McCann India and Talented also credited on Flipkart 2026 work; media moved to Starcom (Publicis) in 2025; BBD 2026 campaign credited to McCann; split roster; Moved to McCann India in 2026 with ex DDB Mudra CCO Rahul Mathew; roster now split McCann (creative) and 22feet (digital); Lost 2026-01</t>
  </si>
  <si>
    <t xml:space="preserve">Talented created the Kolkata Big Billion Days 2026 film and bus activation 'Kothaye Jaabe Dada?'.</t>
  </si>
  <si>
    <t xml:space="preserve">https://campaignbriefasia.com/2025/09/25/ddb-mudra-and-flipkart-bring-tradition-to-big-billion-days-with-shubh-muhurat-deals/</t>
  </si>
  <si>
    <t xml:space="preserve">https://www.afaqs.com/news/newbizwins/publicis-starcom-wins-flipkart-groups-750-crore-media-mandate-replaces-essencemediacom-10981998</t>
  </si>
  <si>
    <t xml:space="preserve">Fortune</t>
  </si>
  <si>
    <t xml:space="preserve">Social Beat created a digital campaign marking Fortune's 25-year legacy.</t>
  </si>
  <si>
    <t xml:space="preserve">https://www.medianews4u.com/social-beat-captures-fortunes-25-year-legacy-with-a-digital-campaign/</t>
  </si>
  <si>
    <t xml:space="preserve">Glenmark</t>
  </si>
  <si>
    <t xml:space="preserve">New marketing head 2026-09</t>
  </si>
  <si>
    <t xml:space="preserve">Glenmark Pharmaceuticals appointed Priyanka Tewari as head of marketing.</t>
  </si>
  <si>
    <t xml:space="preserve">https://www.afaqs.com/people-spotting/glenmark-pharmaceuticals-appoints-priyanka-tewari-as-head-of-marketing-12490366</t>
  </si>
  <si>
    <t xml:space="preserve">Godrej Industries Group</t>
  </si>
  <si>
    <t xml:space="preserve">CEO change 2026-08; global media moved to WPP Media 2026-09 (India separate with EssenceMediacom)</t>
  </si>
  <si>
    <t xml:space="preserve">Aasif Malbari succeeded Sudhir Sitapati as MD and CEO of GCPL.</t>
  </si>
  <si>
    <t xml:space="preserve">https://www.afaqs.com/people-spotting/sudhir-sitapati-quits-gcpl-as-md-and-ceo-aasif-malbari-named-successor-12250851</t>
  </si>
  <si>
    <t xml:space="preserve">Haier India</t>
  </si>
  <si>
    <t xml:space="preserve">Haier</t>
  </si>
  <si>
    <t xml:space="preserve">Pitch or review live, Incumbent turmoil</t>
  </si>
  <si>
    <t xml:space="preserve">Media pitch reported 2026-07; digital incumbent could be folded into a consolidated award</t>
  </si>
  <si>
    <t xml:space="preserve">Haier Appliances India's Rs 80 to 100 crore media mandate is up for review; SW Network has held its digital mandate since 2024.</t>
  </si>
  <si>
    <t xml:space="preserve">https://www.storyboard18.com/agency-news/haier-india-media-mandate-under-review-ws-l-105850.htm</t>
  </si>
  <si>
    <t xml:space="preserve">Indeed</t>
  </si>
  <si>
    <t xml:space="preserve">Recruit Holdings</t>
  </si>
  <si>
    <t xml:space="preserve">Indeed is listed among DDB Mudra Group clients on The Work 2025 hot list.</t>
  </si>
  <si>
    <t xml:space="preserve">JSW Paints</t>
  </si>
  <si>
    <t xml:space="preserve">JSW Group</t>
  </si>
  <si>
    <t xml:space="preserve">Social Samosa lists JSW Paints among TBWA India's clients (Dec 2025); TBWA made its Alia Bhatt films.</t>
  </si>
  <si>
    <t xml:space="preserve">JSW Steel</t>
  </si>
  <si>
    <t xml:space="preserve">Ogilvy India (Creative) IN REVIEW</t>
  </si>
  <si>
    <t xml:space="preserve">Account in review 2026-04; JSW hired Partha Ghosh as group head of communications 2026-09; WPP folding Grey and 82.5 under Ogilvy</t>
  </si>
  <si>
    <t xml:space="preserve">Storyboard18 reports JSW Steel's creative account is up for review, with Ogilvy India as incumbent.</t>
  </si>
  <si>
    <t xml:space="preserve">https://www.storyboard18.com/brand-makers/exclusive-jsw-steels-creative-account-up-for-review-95404.htm</t>
  </si>
  <si>
    <t xml:space="preserve">Meesho</t>
  </si>
  <si>
    <t xml:space="preserve">Meesho is listed among DDB Mudra Group clients on The Work 2024 hot list.</t>
  </si>
  <si>
    <t xml:space="preserve">Orient Electric</t>
  </si>
  <si>
    <t xml:space="preserve">CK Birla Group</t>
  </si>
  <si>
    <t xml:space="preserve">New CMO 2026-09</t>
  </si>
  <si>
    <t xml:space="preserve">Orient Electric appointed Sandhya Biswas, ex Fenesta and Kohler, as chief marketing and customer experience officer.</t>
  </si>
  <si>
    <t xml:space="preserve">https://www.storyboard18.com/brand-makers/orient-electric-appoints-sandhya-biswas-as-chief-marketing-and-customer-experience-officer-110669.htm</t>
  </si>
  <si>
    <t xml:space="preserve">Steadfast</t>
  </si>
  <si>
    <t xml:space="preserve">Steadfast (shredders and stationery)</t>
  </si>
  <si>
    <t xml:space="preserve">TBWA\Lintas (Creative, since 2026)</t>
  </si>
  <si>
    <t xml:space="preserve">TBWA India merged into TBWA\Lintas Jan 2026; co-lead Prateek Bharadwaj reported exiting Feb 2026; Moved inside Omnicom to TBWA\Lintas</t>
  </si>
  <si>
    <t xml:space="preserve">TBWA\Lintas Mumbai's 'Don't Look Up' for Steadfast won India's only Lion on Cannes 2026 Day 2 (Film Craft Bronze).</t>
  </si>
  <si>
    <t xml:space="preserve">https://campaignbriefasia.com/2026/06/23/wolf-bkk-tbwalintas-mumbai-kodansha-tokyo-geek-pictures-tokyo-win-film-craft-bronze-lions/</t>
  </si>
  <si>
    <t xml:space="preserve">Swiggy Instamart</t>
  </si>
  <si>
    <t xml:space="preserve">Swiggy Ltd</t>
  </si>
  <si>
    <t xml:space="preserve">One Hand Clap (Creative, since 2024); Moonshot (Creative, since 2024); Dentsu Creative Isobar (Experiential) unconfirmed</t>
  </si>
  <si>
    <t xml:space="preserve">Swiggy splits creative across Moonshot, Talented and One Hand Clap; New CEO 2026-07; Project-led work; no retainer confirmed</t>
  </si>
  <si>
    <t xml:space="preserve">Former Myntra CEO Nandita Sinha was named Swiggy Instamart CEO.</t>
  </si>
  <si>
    <t xml:space="preserve">Tata Tea (Premium, Gold)</t>
  </si>
  <si>
    <t xml:space="preserve">Decades-long incumbency; Mullen Lintas retired into TBWA\Lintas</t>
  </si>
  <si>
    <t xml:space="preserve">Mullen Lintas credited for Tata Tea Gold (Sep 2024) and Tata Tea Premium hyperlocal (Aug 2024) work.</t>
  </si>
  <si>
    <t xml:space="preserve">https://www.medianews4u.com/tata-tea-golds-campaign-continues-to-celebrate-the-bengali-way-of-living-and-their-no-compromise-attitude/</t>
  </si>
  <si>
    <t xml:space="preserve">TTK Prestige</t>
  </si>
  <si>
    <t xml:space="preserve">TTK Group</t>
  </si>
  <si>
    <t xml:space="preserve">Mudra (ex DDB Mudra, BBDO Group) (Experiential) unconfirmed</t>
  </si>
  <si>
    <t xml:space="preserve">DDB Mudra India created a life-size anti-spill lid installation for TTK Prestige in Aug 2025.</t>
  </si>
  <si>
    <t xml:space="preserve">https://campaignbriefasia.com/2025/08/07/ttk-prestige-bebuts-life-size-anti-spill-lid-installation-created-via-ddb-mudra-india/</t>
  </si>
  <si>
    <t xml:space="preserve">ZEE TV</t>
  </si>
  <si>
    <t xml:space="preserve">Zee Entertainment Enterprises</t>
  </si>
  <si>
    <t xml:space="preserve">BBH India (ex Publicis India) (Creative, since 2017)</t>
  </si>
  <si>
    <t xml:space="preserve">Nine-year incumbent; same MD exit and BBH fold</t>
  </si>
  <si>
    <t xml:space="preserve">Publicis India made ZEE TV's 'Thank You TV' campaign (Nov 2024); Publicis has served ZEEL since 2017.</t>
  </si>
  <si>
    <t xml:space="preserve">https://www.medianews4u.com/publicis-india-launches-heartfelt-thank-you-tv-campaign-for-zee-tv/</t>
  </si>
  <si>
    <t xml:space="preserve">Aadhar Housing Finance</t>
  </si>
  <si>
    <t xml:space="preserve">Blackstone</t>
  </si>
  <si>
    <t xml:space="preserve">Ketchum Sampark won the PR mandate for Aadhar Housing Finance in Sep 2023.</t>
  </si>
  <si>
    <t xml:space="preserve">Bandhan Mutual Fund</t>
  </si>
  <si>
    <t xml:space="preserve">Bandhan Financial Holdings</t>
  </si>
  <si>
    <t xml:space="preserve">Grey 82.5 (Ogilvy) (Integrated, since 2025)</t>
  </si>
  <si>
    <t xml:space="preserve">Bandhan Mutual Fund and Grey 82.5 launched the 'Kya Azaad Ho Tum?' Independence Day 2026 campaign after 2025 'Salary Wala Plan' work.</t>
  </si>
  <si>
    <t xml:space="preserve">https://www.medianews4u.com/bandhan-mutual-fund-and-grey-82-5-india-launch-kya-azaad-ho-tum-campaign/</t>
  </si>
  <si>
    <t xml:space="preserve">Federal Bank</t>
  </si>
  <si>
    <t xml:space="preserve">Federal Bank Ltd</t>
  </si>
  <si>
    <t xml:space="preserve">Hogarth India (Digital)</t>
  </si>
  <si>
    <t xml:space="preserve">WPP Production India CEO Karthik Nagarajan exited Aug 2026; UAE diaspora angle suits an India plus UAE agency</t>
  </si>
  <si>
    <t xml:space="preserve">Hogarth built Federal Bank's AI and AR powered Onam 2025 experience for Kerala and UAE diaspora audiences.</t>
  </si>
  <si>
    <t xml:space="preserve">https://www.medianews4u.com/federal-bank-partners-with-hogarth-to-deliver-ai-powered-immersive-onam-campaign/</t>
  </si>
  <si>
    <t xml:space="preserve">Fibe</t>
  </si>
  <si>
    <t xml:space="preserve">EarlySalary Services</t>
  </si>
  <si>
    <t xml:space="preserve">Blink Digital (Digital, since 2022) unconfirmed</t>
  </si>
  <si>
    <t xml:space="preserve">Meta disabled four Blink Digital Business Manager accounts and pages; agency sued Meta in Bombay HC (Sep 2026), a live operational risk for its clients.</t>
  </si>
  <si>
    <t xml:space="preserve">Fibe awarded its digital mandate to Blink Digital in Oct 2022.</t>
  </si>
  <si>
    <t xml:space="preserve">https://www.afaqs.com/news/advertising/fibe-awards-its-digital-mandate-to-blink-digital</t>
  </si>
  <si>
    <t xml:space="preserve">Future Generali</t>
  </si>
  <si>
    <t xml:space="preserve">Generali</t>
  </si>
  <si>
    <t xml:space="preserve">Krazy Kebab Co</t>
  </si>
  <si>
    <t xml:space="preserve">Krazy Kebab Co is named among Mumbai clients handled by departing Hashtag Orange MP Gaurang Menon.</t>
  </si>
  <si>
    <t xml:space="preserve">Pramerica Life Insurance</t>
  </si>
  <si>
    <t xml:space="preserve">BBH India (ex Publicis India) (Integrated, since 2024)</t>
  </si>
  <si>
    <t xml:space="preserve">Agency brand retired twice (Publicis Worldwide to Publicis India to BBH)</t>
  </si>
  <si>
    <t xml:space="preserve">Publicis Worldwide India bagged the integrated creative mandate for Pramerica Life Insurance (early 2024).</t>
  </si>
  <si>
    <t xml:space="preserve">https://www.exchange4media.com/advertising-news/publicis-worldwide-india-bags-integrated-creative-mandate-for-pramerica-life-insurance-132070.html</t>
  </si>
  <si>
    <t xml:space="preserve">SBI Life</t>
  </si>
  <si>
    <t xml:space="preserve">State Bank of India</t>
  </si>
  <si>
    <t xml:space="preserve">Cricket sponsorship creates content volume; parent SBI just moved digital to Omnicom Media India.</t>
  </si>
  <si>
    <t xml:space="preserve">SBI Life's Rishabh Pant and Ravindra Jadeja campaign (Jan 2026) credited no agency; SBI Life became a BCCI associate partner (Sep 2026).</t>
  </si>
  <si>
    <t xml:space="preserve">https://www.afaqs.com/marketing/sbi-lifes-ad-trades-fear-for-fun-with-rishabh-pant-and-ravindra-jadeja-11016724</t>
  </si>
  <si>
    <t xml:space="preserve">Bajaj Pulsar</t>
  </si>
  <si>
    <t xml:space="preserve">Ogilvy India (Integrated, since 2001); Ogilvy India (Creative)</t>
  </si>
  <si>
    <t xml:space="preserve">25 year incumbency on Pulsar; Mass brand; relevant as Bajaj group context for Triumph and KTM premium lines.</t>
  </si>
  <si>
    <t xml:space="preserve">Ogilvy made the Sep 2026 'It's a bad boy' Pulsar 150 sequel to its own 2001 launch ad.</t>
  </si>
  <si>
    <t xml:space="preserve">https://www.afaqs.com/news/advertising/bajaj-pulsar-ogilvy-12535918</t>
  </si>
  <si>
    <t xml:space="preserve">Biotique</t>
  </si>
  <si>
    <t xml:space="preserve">No Biotique agency credit surfaced in beauty and skincare mandate sweeps.</t>
  </si>
  <si>
    <t xml:space="preserve">Lifebuoy</t>
  </si>
  <si>
    <t xml:space="preserve">Decades-long incumbency</t>
  </si>
  <si>
    <t xml:space="preserve">MullenLowe Lintas Group topic lists Lifebuoy's Moo Deng handwashing work.</t>
  </si>
  <si>
    <t xml:space="preserve">https://www.afaqs.com/news/advertising/h-is-for-handwashing-baby-hippo-moo-deng-spreads-lifebuoys-message-7569894</t>
  </si>
  <si>
    <t xml:space="preserve">Officer's Choice</t>
  </si>
  <si>
    <t xml:space="preserve">Allied Blenders and Distillers</t>
  </si>
  <si>
    <t xml:space="preserve">TBWA\Lintas (ex Lintas Live) (PR, since 2021) unconfirmed</t>
  </si>
  <si>
    <t xml:space="preserve">Launched Rangeela vodka with Ranveer Singh (Nov 2025); listed 2024</t>
  </si>
  <si>
    <t xml:space="preserve">Lintas Live was named PR firm for Allied Blenders and Distillers (Feb 2021).</t>
  </si>
  <si>
    <t xml:space="preserve">https://www.medianews4u.com/lintas-live-named-pr-firm-for-allied-blenders-and-distillers/</t>
  </si>
  <si>
    <t xml:space="preserve">Stayfree</t>
  </si>
  <si>
    <t xml:space="preserve">Mudra (ex DDB Mudra, BBDO Group) (Creative); McCann India (Creative)</t>
  </si>
  <si>
    <t xml:space="preserve">Account moved twice in a year (McCann India then Team WPP); Kenvue in ownership flux [unverified, check before outreach]; Now with Team WPP; brand has shown willingness to move agencies quickly</t>
  </si>
  <si>
    <t xml:space="preserve">The Work 2026 credits McCann India with Stayfree, but the Sep 2026 Daughter's Day film was conceptualised by Team WPP.</t>
  </si>
  <si>
    <t xml:space="preserve">https://manifest-media.in/video/campaigns/280926/stayfree-puts-boys-at-the-centre-of-its-latest-push-to-normalise-perio.html</t>
  </si>
  <si>
    <t xml:space="preserve">TVS NTORQ</t>
  </si>
  <si>
    <t xml:space="preserve">AdGlobal360 (Hakuhodo) (Digital); Dentsu Creative India (Creative)</t>
  </si>
  <si>
    <t xml:space="preserve">Dentsu, Hakuhodo</t>
  </si>
  <si>
    <t xml:space="preserve">Split with Dentsu Creative on NTORQ brand creative; Split: Hakuhodo's AdGlobal360 won awards for TVS Ntorq digital</t>
  </si>
  <si>
    <t xml:space="preserve">Dentsu Creative credited for 'The Streets Remember' football campaign.</t>
  </si>
  <si>
    <t xml:space="preserve">https://www.afaqs.com/news/advertising/tvs-ntorq-celebrates-footballs-champions-through-the-streets-remember-12054342</t>
  </si>
  <si>
    <t xml:space="preserve">TVS Raider</t>
  </si>
  <si>
    <t xml:space="preserve">TVS Motor</t>
  </si>
  <si>
    <t xml:space="preserve">Kinnect (Creative) unconfirmed</t>
  </si>
  <si>
    <t xml:space="preserve">TVS split between Kinnect and Lintas</t>
  </si>
  <si>
    <t xml:space="preserve">FCB Kinnect credited for TVS Raider 'Call of the Wicked'.</t>
  </si>
  <si>
    <t xml:space="preserve">https://www.medianews4u.com/tvs-raider-launches-bold-new-campaign-call-of-the-wicked/</t>
  </si>
  <si>
    <t xml:space="preserve">American Tourister</t>
  </si>
  <si>
    <t xml:space="preserve">Samsonite Group</t>
  </si>
  <si>
    <t xml:space="preserve">Famous Innovations now lists American Tourister and won Samsonite's Kamiliant in 2026, account may have shifted</t>
  </si>
  <si>
    <t xml:space="preserve">Makani created American Tourister's 'Give Her Space' (Mar 2024) and Rollioverse campaigns.</t>
  </si>
  <si>
    <t xml:space="preserve">https://www.afaqs.com/news/advertising/makani-creatives-challenges-gender-stereotypes-with-give-her-space-campaign-for-american-tourister</t>
  </si>
  <si>
    <t xml:space="preserve">Campus Activewear</t>
  </si>
  <si>
    <t xml:space="preserve">Campus Activewear Ltd</t>
  </si>
  <si>
    <t xml:space="preserve">Moonshot (Creative, since 2025)</t>
  </si>
  <si>
    <t xml:space="preserve">Moonshot won IndIAA 2025 for Campus; Vikrant Massey 'Move Your Way' campaign launched Feb 2025.</t>
  </si>
  <si>
    <t xml:space="preserve">Dharavi Redevelopment (DRPPL)</t>
  </si>
  <si>
    <t xml:space="preserve">YAAP Digital built the Dharavi Didi AI platform for Adani Navbharat Developers in Jul 2026</t>
  </si>
  <si>
    <t xml:space="preserve">DRPPL is listed among DDB Mudra Group clients on The Work 2025 hot list.</t>
  </si>
  <si>
    <t xml:space="preserve">Dollar Missy and Dollar Rainguard</t>
  </si>
  <si>
    <t xml:space="preserve">Dollar Industries</t>
  </si>
  <si>
    <t xml:space="preserve">Dollar Missy and Lowe Lintas launched a leggings campaign with Yami Gautam.</t>
  </si>
  <si>
    <t xml:space="preserve">https://www.medianews4u.com/dollar-missy-and-lowe-lintas-launch-campaign-on-fashions-perfect-pairing/</t>
  </si>
  <si>
    <t xml:space="preserve">ibis (Accor India)</t>
  </si>
  <si>
    <t xml:space="preserve">Mirum India (VML) (Digital, since 2024)</t>
  </si>
  <si>
    <t xml:space="preserve">Two and a half years in; Accor's luxury brands in India are handled separately.</t>
  </si>
  <si>
    <t xml:space="preserve">Mirum India, a VML company, won the digital mandate for ibis Hotels covering planning, media, production and campaigns.</t>
  </si>
  <si>
    <t xml:space="preserve">https://www.socialsamosa.com/industry-updates/mirum-india-digital-mandate-ibis-hotels-4419184</t>
  </si>
  <si>
    <t xml:space="preserve">Kamiliant</t>
  </si>
  <si>
    <t xml:space="preserve">Famous Innovations (Integrated, since 2026); TBWA\Lintas (Creative)</t>
  </si>
  <si>
    <t xml:space="preserve">Creative lead Prateek Bharadwaj reported exiting Feb 2026; premium siblings Samsonite, American Tourister</t>
  </si>
  <si>
    <t xml:space="preserve">Famous Innovations won Kamiliant's mainline and social mandate; it also lists American Tourister as an existing client.</t>
  </si>
  <si>
    <t xml:space="preserve">https://www.medianews4u.com/kamiliant-unveils-bold-campaign-naam-hai-kamiliant-kaam-hai-toughness/</t>
  </si>
  <si>
    <t xml:space="preserve">Lavie</t>
  </si>
  <si>
    <t xml:space="preserve">Team Pumpkin (Social, since 2026)</t>
  </si>
  <si>
    <t xml:space="preserve">Social consolidated 2026-08</t>
  </si>
  <si>
    <t xml:space="preserve">Team Pumpkin won the social media mandate for Lavie Sport, after winning Lavie World in 2026-05.</t>
  </si>
  <si>
    <t xml:space="preserve">https://www.afaqs.com/news/newbizwins/team-pumpkin-bags-social-media-mandate-for-lavie-sport-12256990</t>
  </si>
  <si>
    <t xml:space="preserve">https://www.medianews4u.com/team-pumpkin-wins-social-media-mandate-for-lavie/</t>
  </si>
  <si>
    <t xml:space="preserve">Lenskart</t>
  </si>
  <si>
    <t xml:space="preserve">Lenskart Solutions</t>
  </si>
  <si>
    <t xml:space="preserve">Moonshot (Creative) unconfirmed</t>
  </si>
  <si>
    <t xml:space="preserve">Lenskart is listed among Moonshot's clients.</t>
  </si>
  <si>
    <t xml:space="preserve">Lifestyle</t>
  </si>
  <si>
    <t xml:space="preserve">Landmark Group</t>
  </si>
  <si>
    <t xml:space="preserve">Three-year incumbent; Landmark's Home Centre social sits with Interactive Avenues</t>
  </si>
  <si>
    <t xml:space="preserve">Lowe Lintas bagged the mandate to lead brand Lifestyle.</t>
  </si>
  <si>
    <t xml:space="preserve">2023-01</t>
  </si>
  <si>
    <t xml:space="preserve">https://www.afaqs.com/news/advertising/lowe-lintas-bags-the-mandate-to-lead-brand-lifestyle</t>
  </si>
  <si>
    <t xml:space="preserve">Miniklub</t>
  </si>
  <si>
    <t xml:space="preserve">Social Panga (Social)</t>
  </si>
  <si>
    <t xml:space="preserve">Miniklub and Social Panga launched The Happy Parenting Strategy campaign (Dec 2025).</t>
  </si>
  <si>
    <t xml:space="preserve">https://www.medianews4u.com/miniklub-and-social-panga-launch-the-happy-parenting-strategy-campaign-celebrating-modern-fatherhood/</t>
  </si>
  <si>
    <t xml:space="preserve">OYO</t>
  </si>
  <si>
    <t xml:space="preserve">Oravel Stays (PRISM)</t>
  </si>
  <si>
    <t xml:space="preserve">OYO is listed among Moonshot's clients; MediaBrief also reported a Moonshot campaign for OYO on premium stays.</t>
  </si>
  <si>
    <t xml:space="preserve">Pantaloons</t>
  </si>
  <si>
    <t xml:space="preserve">Talented (Creative)</t>
  </si>
  <si>
    <t xml:space="preserve">New Head of Media and Digital Altamash Khan (Oct 2025)</t>
  </si>
  <si>
    <t xml:space="preserve">Talented created Pantaloons' 'Spark Your Imagination' festive film with first-ever ambassador Samantha (Oct 2025).</t>
  </si>
  <si>
    <t xml:space="preserve">https://www.medianews4u.com/pantaloons-names-samantha-ruth-prabhu-as-its-first-ever-brand-ambassador-launches-festive-campaign-spark-your-imagination/</t>
  </si>
  <si>
    <t xml:space="preserve">Snitch</t>
  </si>
  <si>
    <t xml:space="preserve">Verve Media (Creative, since 2025)</t>
  </si>
  <si>
    <t xml:space="preserve">Fast-growing D2C; sixth-anniversary push Jul 2026</t>
  </si>
  <si>
    <t xml:space="preserve">Verve Media conceptualised and executed Snitch's cinema campaign (Apr 2026) after its 2025 brand films.</t>
  </si>
  <si>
    <t xml:space="preserve">https://www.medianews4u.com/verve-media-turns-everyday-style-into-shared-moments-with-snitch-campaign-on-cinema-screens-nationwide/</t>
  </si>
  <si>
    <t xml:space="preserve">Stimulus and Eeken</t>
  </si>
  <si>
    <t xml:space="preserve">Paragon Footwear</t>
  </si>
  <si>
    <t xml:space="preserve">Makani Creatives (Creative, since 2023) unconfirmed</t>
  </si>
  <si>
    <t xml:space="preserve">Makani Creatives won the creative mandate for Paragon's Stimulus and Eeken.</t>
  </si>
  <si>
    <t xml:space="preserve">https://www.afaqs.com/news/advertising/makani-creatives-wins-creative-mandate-for-stimulus-and-eeken</t>
  </si>
  <si>
    <t xml:space="preserve">AFC Furniture Solutions</t>
  </si>
  <si>
    <t xml:space="preserve">The Minimalist (Integrated, since 2026)</t>
  </si>
  <si>
    <t xml:space="preserve">The Minimalist won AFC's strategic communications mandate incl. brand strategy and social media management.</t>
  </si>
  <si>
    <t xml:space="preserve">https://www.medianews4u.com/the-minimalist-wins-strategic-communications-mandate-from-afc-furniture-solutions/</t>
  </si>
  <si>
    <t xml:space="preserve">AGEasy</t>
  </si>
  <si>
    <t xml:space="preserve">Antara (Max Group)</t>
  </si>
  <si>
    <t xml:space="preserve">SW Network (Sociowash) (Media, since 2026)</t>
  </si>
  <si>
    <t xml:space="preserve">Sociowash secured the D2C media mandate for AGEasy.</t>
  </si>
  <si>
    <t xml:space="preserve">https://www.medianews4u.com/sociowash-secures-d2c-media-mandate-for-ageasy/</t>
  </si>
  <si>
    <t xml:space="preserve">Alcon PRECISION1</t>
  </si>
  <si>
    <t xml:space="preserve">Alcon</t>
  </si>
  <si>
    <t xml:space="preserve">Scarecrow M&amp;C Saatchi (Creative, since 2025)</t>
  </si>
  <si>
    <t xml:space="preserve">Alcon's PRECISION1 contact lens India launch campaign is tagged to Scarecrow M&amp;C Saatchi.</t>
  </si>
  <si>
    <t xml:space="preserve">https://www.afaqs.com/news/advertising/alcon-introduces-precision1-contact-lenses-in-india-with-a-new-launch-campaign-9014962</t>
  </si>
  <si>
    <t xml:space="preserve">AlphaTheta (Pioneer DJ)</t>
  </si>
  <si>
    <t xml:space="preserve">AlphaTheta Corporation</t>
  </si>
  <si>
    <t xml:space="preserve">Team Pumpkin won AlphaTheta's India social and digital mandate.</t>
  </si>
  <si>
    <t xml:space="preserve">https://www.medianews4u.com/team-pumpkin-wins-alphathetas-digital-mandate-to-drive-online-presence/</t>
  </si>
  <si>
    <t xml:space="preserve">AMD India (Ryzen AI)</t>
  </si>
  <si>
    <t xml:space="preserve">AMD</t>
  </si>
  <si>
    <t xml:space="preserve">Social Panga (Content)</t>
  </si>
  <si>
    <t xml:space="preserve">afaqs lists AMD and Social Panga's Durga Puja AI film (Oct 2025) and a Ryzen AI Pro film (Dec 2024).</t>
  </si>
  <si>
    <t xml:space="preserve">https://www.afaqs.com/tags/social-panga</t>
  </si>
  <si>
    <t xml:space="preserve">Asian Paints Beautiful Homes</t>
  </si>
  <si>
    <t xml:space="preserve">Ogilvy India showcased hassle free home painting in an Aug 2026 Beautiful Homes campaign.</t>
  </si>
  <si>
    <t xml:space="preserve">https://campaignbriefasia.com/2026/08/11/asian-paints-ogilvy-india-showcase-hassle-free-home-painting-with-beautiful-homes-campaign/</t>
  </si>
  <si>
    <t xml:space="preserve">Bosch, Siemens and Gaggenau (BSH)</t>
  </si>
  <si>
    <t xml:space="preserve">BSH Home Appliances</t>
  </si>
  <si>
    <t xml:space="preserve">Gaggenau is a luxury appliance brand, a natural Mask360 fit</t>
  </si>
  <si>
    <t xml:space="preserve">BSH Home Appliances partnered with The Womb for Bosch, Siemens and Gaggenau brand equity.</t>
  </si>
  <si>
    <t xml:space="preserve">https://www.afaqs.com/news/advertising/bsh-home-appliances-partners-with-the-womb-to-improve-brand-equity-7347140</t>
  </si>
  <si>
    <t xml:space="preserve">Brooke Bond Taj Mahal</t>
  </si>
  <si>
    <t xml:space="preserve">Ogilvy India (Experiential)</t>
  </si>
  <si>
    <t xml:space="preserve">HUL, Ogilvy and Mindshare built the Chai Bansuri experiential installation for Taj Mahal Tea in Apr 2025.</t>
  </si>
  <si>
    <t xml:space="preserve">https://www.medianews4u.com/hul-ogilvy-and-mindshare-usher-in-a-new-era-of-experiential-tea-marketing-with-the-chai-bansuri-installation/</t>
  </si>
  <si>
    <t xml:space="preserve">Bumble India</t>
  </si>
  <si>
    <t xml:space="preserve">Bumble Inc</t>
  </si>
  <si>
    <t xml:space="preserve">One Hand Clap (Social)</t>
  </si>
  <si>
    <t xml:space="preserve">Bumble India is listed among One Hand Clap's clients.</t>
  </si>
  <si>
    <t xml:space="preserve">Canon India</t>
  </si>
  <si>
    <t xml:space="preserve">Canon Inc.</t>
  </si>
  <si>
    <t xml:space="preserve">Dentsu Creative Isobar (Digital, since 2026); Dentsu Creative Webchutney (Creative) unconfirmed</t>
  </si>
  <si>
    <t xml:space="preserve">Split within Dentsu: Webchutney did brand creative in 2025, Isobar now holds digital; Moved 2026-07; Dentsu India tax searches 2026-09; Canon work now spread across two Dentsu units; creative lead unclear</t>
  </si>
  <si>
    <t xml:space="preserve">Won Canon India ICB digital and e-commerce mandate, serviced from Mumbai and Gurgaon.</t>
  </si>
  <si>
    <t xml:space="preserve">https://www.medianews4u.com/dentsu-creative-isobar-bags-canon-indias-digital-and-e-commerce-mandate/</t>
  </si>
  <si>
    <t xml:space="preserve">https://www.storyboard18.com/agency-news/dentsu-creative-isobar-wins-canon-indias-digital-and-e-commerce-mandate-105666.htm</t>
  </si>
  <si>
    <t xml:space="preserve">CenturyPly</t>
  </si>
  <si>
    <t xml:space="preserve">Century Plyboards (India) Ltd</t>
  </si>
  <si>
    <t xml:space="preserve">VML India (Integrated)</t>
  </si>
  <si>
    <t xml:space="preserve">VML created CenturyPly's Aug 2026 'Total Cover' campaign with Aamir Khan across TV, OTT, digital and print.</t>
  </si>
  <si>
    <t xml:space="preserve">https://www.afaqs.com/news/advertising/centuryply-ropes-in-aamir-khan-for-total-cover-campaign-12253476</t>
  </si>
  <si>
    <t xml:space="preserve">CERA Sanitaryware</t>
  </si>
  <si>
    <t xml:space="preserve">Cera Sanitaryware</t>
  </si>
  <si>
    <t xml:space="preserve">McCann India (Creative); VML India (Creative, since 2022) unconfirmed</t>
  </si>
  <si>
    <t xml:space="preserve">Premium bathroom repositioning under way; Four years in; no recent credit visible</t>
  </si>
  <si>
    <t xml:space="preserve">McCann India created 'Your Moment of CERA' featuring new ambassador Kriti Sanon.</t>
  </si>
  <si>
    <t xml:space="preserve">https://www.medianews4u.com/wunderman-thompson-india-wins-creative-mandate-for-cera-sanitaryware/</t>
  </si>
  <si>
    <t xml:space="preserve">https://www.afaqs.com/news/mktg/cera-names-kriti-sanon-as-brand-ambassador-12167225</t>
  </si>
  <si>
    <t xml:space="preserve">DAAWAT</t>
  </si>
  <si>
    <t xml:space="preserve">LT Foods</t>
  </si>
  <si>
    <t xml:space="preserve">BBDO India (Integrated, since 2026); WPP Media (Media, since 2026)</t>
  </si>
  <si>
    <t xml:space="preserve">Won 2026-07; BBDO Group India absorbing Ulka and Mudra after Omnicom-IPG merger; Fresh win, low near-term poach odds; Full agency roster reset 2026-07 to 2026-08</t>
  </si>
  <si>
    <t xml:space="preserve">WPP Media won the integrated media mandate for LT Foods' DAAWAT.</t>
  </si>
  <si>
    <t xml:space="preserve">https://www.storyboard18.com/brand-marketing/bbdo-india-wins-integrated-creative-mandate-for-lt-foods-daawat-in-india-105902.htm</t>
  </si>
  <si>
    <t xml:space="preserve">https://www.afaqs.com/news/newbizwins/bbdo-india-bags-integrated-creative-mandate-for-daawat-india-12207791</t>
  </si>
  <si>
    <t xml:space="preserve">Del Monte India</t>
  </si>
  <si>
    <t xml:space="preserve">Del Monte Foods</t>
  </si>
  <si>
    <t xml:space="preserve">Creativeland Asia (Integrated, since 2026)</t>
  </si>
  <si>
    <t xml:space="preserve">Moved 2026-06; incumbent not named</t>
  </si>
  <si>
    <t xml:space="preserve">Creativeland Asia Delhi won Del Monte India's creative mandate after a multi-agency evaluation.</t>
  </si>
  <si>
    <t xml:space="preserve">https://www.afaqs.com/news/newbizwins/creativeland-asia-delhi-bags-del-monte-indias-creative-mandate-12116891</t>
  </si>
  <si>
    <t xml:space="preserve">DP World</t>
  </si>
  <si>
    <t xml:space="preserve">Ogilvy India (Creative); BBH India (Creative) unconfirmed</t>
  </si>
  <si>
    <t xml:space="preserve">DP World and Ogilvy India drew cricket and logistics parallels in a Feb 2026 campaign.</t>
  </si>
  <si>
    <t xml:space="preserve">https://campaignbriefasia.com/2026/02/10/dp-world-ogilvy-india-draw-parallels-between-cricket-and-logistics-in-latest-campaign/</t>
  </si>
  <si>
    <t xml:space="preserve">https://www.medianews4u.com/dp-world-has-sachin-tendulkar-seeing-cricket-through-a-whole-new-lens/</t>
  </si>
  <si>
    <t xml:space="preserve">Dr. Reddy's</t>
  </si>
  <si>
    <t xml:space="preserve">Dr. Reddy's Laboratories</t>
  </si>
  <si>
    <t xml:space="preserve">HiveMinds (Madison) (Digital, since 2026); Hashtag Orange (Digital) unconfirmed</t>
  </si>
  <si>
    <t xml:space="preserve">Won 2026-06; Madison ownership in flux with Havas the remaining bidder (2026-08); Gaurang Menon, Managing Partner and Creative Head West who built the Mumbai business, stepped down Sep 2026. Dr Reddy's handed an integrated digital mandate to HiveMinds (Jun 2026).</t>
  </si>
  <si>
    <t xml:space="preserve">HiveMinds won the integrated digital mandate for Dr. Reddy's Laboratories.</t>
  </si>
  <si>
    <t xml:space="preserve">https://www.afaqs.com/news/newbizwins/hiveminds-bags-integrated-digital-mandate-for-dr-reddys-laboratories-12040344</t>
  </si>
  <si>
    <t xml:space="preserve">Duroflex and Sleepyhead</t>
  </si>
  <si>
    <t xml:space="preserve">Duroflex Pvt Ltd</t>
  </si>
  <si>
    <t xml:space="preserve">Enormous Brands (Integrated, since 2025)</t>
  </si>
  <si>
    <t xml:space="preserve">Enormous won the integrated creative mandate for Duroflex and Sleepyhead.</t>
  </si>
  <si>
    <t xml:space="preserve">https://www.afaqs.com/news/newbizwins/enormous-wins-the-integrated-creative-mandate-for-duroflex-and-sleepyhead-10061432</t>
  </si>
  <si>
    <t xml:space="preserve">FedEx India</t>
  </si>
  <si>
    <t xml:space="preserve">FedEx</t>
  </si>
  <si>
    <t xml:space="preserve">Saatchi &amp; Saatchi India (Creative, since 2025)</t>
  </si>
  <si>
    <t xml:space="preserve">Saatchi &amp; Saatchi India launched 'FedEx. The Move India Needs' with MS Dhoni (Apr 2026), following an Apr 2025 FedEx SME campaign.</t>
  </si>
  <si>
    <t xml:space="preserve">https://www.medianews4u.com/saatchi-saatchi-india-launches-fedex-the-move-india-needs-featuring-ms-dhoni-ruturaj-gaikwad-and-urvil-patel/</t>
  </si>
  <si>
    <t xml:space="preserve">Fujifilm India (instax, X Series)</t>
  </si>
  <si>
    <t xml:space="preserve">Fujifilm India</t>
  </si>
  <si>
    <t xml:space="preserve">SW Network (Sociowash) (Digital, since 2025)</t>
  </si>
  <si>
    <t xml:space="preserve">SW Network won the integrated digital mandate for Fujifilm's instax and renewed Fujifilm performance and media in Nov 2025.</t>
  </si>
  <si>
    <t xml:space="preserve">https://www.afaqs.com/news/newbizwins/sw-network-wins-integrated-digital-mandate-for-fujifilms-instax-in-india-9336522</t>
  </si>
  <si>
    <t xml:space="preserve">https://www.medianews4u.com/sw-network-bags-integrated-digital-mandate-for-fujifilm-indias-instax-brand/</t>
  </si>
  <si>
    <t xml:space="preserve">Godrej Interio</t>
  </si>
  <si>
    <t xml:space="preserve">Godrej &amp; Boyce</t>
  </si>
  <si>
    <t xml:space="preserve">22feet Tribal Worldwide (Social, since 2026)</t>
  </si>
  <si>
    <t xml:space="preserve">SoCheers (Social)</t>
  </si>
  <si>
    <t xml:space="preserve">Won 2026-06; agency inside Omnicom-IPG India integration; Fresh win; creative and content outside social may be open; Social mandate moved to 22feet (Jun 2026).</t>
  </si>
  <si>
    <t xml:space="preserve">22feet won the social media mandate for Interio by Godrej.</t>
  </si>
  <si>
    <t xml:space="preserve">https://www.storyboard18.com/agency-news/22feet-wins-social-media-mandate-for-interio-by-godrej-100832.htm</t>
  </si>
  <si>
    <t xml:space="preserve">https://www.afaqs.com/news/newbizwins/22feet-wins-social-media-mandate-for-interio-by-godrej-12027281</t>
  </si>
  <si>
    <t xml:space="preserve">Google Gemini</t>
  </si>
  <si>
    <t xml:space="preserve">Google India</t>
  </si>
  <si>
    <t xml:space="preserve">Google Gemini and Lowe Lintas launched an everyday-AI campaign.</t>
  </si>
  <si>
    <t xml:space="preserve">https://www.medianews4u.com/google-gemini-and-lowe-lintas-bring-ai-into-everyday-moments/</t>
  </si>
  <si>
    <t xml:space="preserve">Greenlam Laminates</t>
  </si>
  <si>
    <t xml:space="preserve">Greenlam Industries</t>
  </si>
  <si>
    <t xml:space="preserve">Dentsu Creative Webchutney (Creative)</t>
  </si>
  <si>
    <t xml:space="preserve">Webchutney credited for Greenlam's Diwali 2025 film and 'Taarifein Dikhayi Dengi' July 2026 campaign.</t>
  </si>
  <si>
    <t xml:space="preserve">https://www.afaqs.com/news/advertising/greenlam-turns-a-bollywood-classic-into-a-story-of-silent-admiration-12179969</t>
  </si>
  <si>
    <t xml:space="preserve">Groupe SEB India (Tefal, Maharaja Whiteline)</t>
  </si>
  <si>
    <t xml:space="preserve">Groupe SEB</t>
  </si>
  <si>
    <t xml:space="preserve">No public work since appointment, two years in</t>
  </si>
  <si>
    <t xml:space="preserve">Groupe SEB India appointed Bang in the Middle as its creative agency.</t>
  </si>
  <si>
    <t xml:space="preserve">https://www.afaqs.com/news/advertising/groupe-seb-india-appoints-bang-in-the-middle-as-its-creative-agency</t>
  </si>
  <si>
    <t xml:space="preserve">HCG (HealthCare Global)</t>
  </si>
  <si>
    <t xml:space="preserve">HealthCare Global Enterprises</t>
  </si>
  <si>
    <t xml:space="preserve">4AM Worldwide (Creative, since 2026)</t>
  </si>
  <si>
    <t xml:space="preserve">Creative appointed 2026-06</t>
  </si>
  <si>
    <t xml:space="preserve">HealthCare Global Enterprises appointed 4AM Worldwide as creative brand partner.</t>
  </si>
  <si>
    <t xml:space="preserve">https://www.afaqs.com/news/newbizwins/healthcare-global-enterprises-appoints-4am-worldwide-as-creative-brand-partner-12030869</t>
  </si>
  <si>
    <t xml:space="preserve">HCL Group</t>
  </si>
  <si>
    <t xml:space="preserve">Corporate brand; digital lead only just hired (Jul 2026)</t>
  </si>
  <si>
    <t xml:space="preserve">HCL Group named as a Leo India digital account in the Jul 2026 VP Digital appointment.</t>
  </si>
  <si>
    <t xml:space="preserve">Hershey's Brookside</t>
  </si>
  <si>
    <t xml:space="preserve">Communicate India's site shows a Hershey's Brookside launch PR campaign.</t>
  </si>
  <si>
    <t xml:space="preserve">Hettich India</t>
  </si>
  <si>
    <t xml:space="preserve">Hettich Group</t>
  </si>
  <si>
    <t xml:space="preserve">Wondrlab (Creative)</t>
  </si>
  <si>
    <t xml:space="preserve">Hettich's 'possibilities beyond storage' campaign was created with Wondrlab.</t>
  </si>
  <si>
    <t xml:space="preserve">https://www.afaqs.com/news/advertising/hettich-finds-possibilities-beyond-storage-in-new-campaign-with-wondrlab-12430362</t>
  </si>
  <si>
    <t xml:space="preserve">HomeLane</t>
  </si>
  <si>
    <t xml:space="preserve">22feet Tribal Worldwide (Digital, since 2023) unconfirmed; Talented (Creative) unconfirmed</t>
  </si>
  <si>
    <t xml:space="preserve">No recent credits</t>
  </si>
  <si>
    <t xml:space="preserve">HomeLane tapped 22feet Tribal Worldwide for digital and production in May 2023.</t>
  </si>
  <si>
    <t xml:space="preserve">https://news.google.com/rss/search?q=%2222feet+Tribal%22&amp;hl=en-IN&amp;gl=IN&amp;ceid=IN:en</t>
  </si>
  <si>
    <t xml:space="preserve">https://www.goodadsmatter.com/post/talented</t>
  </si>
  <si>
    <t xml:space="preserve">Intel India</t>
  </si>
  <si>
    <t xml:space="preserve">Intel Corporation</t>
  </si>
  <si>
    <t xml:space="preserve">Dentsu Creative Isobar (Creative); Kinnect (Creative) unconfirmed</t>
  </si>
  <si>
    <t xml:space="preserve">Isobar created Intel's 'Papa Kehta Hai' AI PC campaign.</t>
  </si>
  <si>
    <t xml:space="preserve">https://www.medianews4u.com/intel-launches-new-campaign-urging-parents-to-rethink-the-role-of-pcs-in-modern-education/</t>
  </si>
  <si>
    <t xml:space="preserve">https://www.afaqs.com/news/advertising/intels-latest-campaign-reboots-a-90s-tune-for-the-ai-generation-9610743</t>
  </si>
  <si>
    <t xml:space="preserve">Jaquar Lighting</t>
  </si>
  <si>
    <t xml:space="preserve">Jaquar Group</t>
  </si>
  <si>
    <t xml:space="preserve">Enormous Brands (Creative)</t>
  </si>
  <si>
    <t xml:space="preserve">Enormous won a Grand Effie in 2024 for Jaquar Lighting and still lists it as a client.</t>
  </si>
  <si>
    <t xml:space="preserve">https://www.afaqs.com/news/advertising/how-enormous-is-winning-most-of-its-new-business-without-pitching-10996334</t>
  </si>
  <si>
    <t xml:space="preserve">JBL</t>
  </si>
  <si>
    <t xml:space="preserve">HARMAN (Samsung)</t>
  </si>
  <si>
    <t xml:space="preserve">Havas Creative India (Creative)</t>
  </si>
  <si>
    <t xml:space="preserve">Havas Creative India created JBL's Independence Day print campaigns; Havas Media handles media.</t>
  </si>
  <si>
    <t xml:space="preserve">https://www.medianews4u.com/jbl-marks-independence-day-with-two-print-first-campaigns-for-personal-and-home-audio/</t>
  </si>
  <si>
    <t xml:space="preserve">Kansai Nerolac</t>
  </si>
  <si>
    <t xml:space="preserve">Kansai Nerolac Paints</t>
  </si>
  <si>
    <t xml:space="preserve">Paints conflict inside Omnicom (Asian Paints at McCann)</t>
  </si>
  <si>
    <t xml:space="preserve">Ulka sent Nerolac paint to 86,000 feet in a stratospheric durability campaign.</t>
  </si>
  <si>
    <t xml:space="preserve">https://www.medianews4u.com/kansai-nerolac-tests-paint-at-86000-feet-in-stratospheric-campaign-with-ulka/</t>
  </si>
  <si>
    <t xml:space="preserve">Koche</t>
  </si>
  <si>
    <t xml:space="preserve">Team Pumpkin (Digital, since 2026)</t>
  </si>
  <si>
    <t xml:space="preserve">Koche awarded its digital marketing mandate to Team Pumpkin.</t>
  </si>
  <si>
    <t xml:space="preserve">https://www.medianews4u.com/koche-awards-marketing-mandate-to-team-pumpkin/</t>
  </si>
  <si>
    <t xml:space="preserve">Lauritz Knudsen</t>
  </si>
  <si>
    <t xml:space="preserve">Schneider Electric (Lauritz Knudsen Electrical &amp; Automation)</t>
  </si>
  <si>
    <t xml:space="preserve">Saatchi &amp; Saatchi India (Creative, since 2024)</t>
  </si>
  <si>
    <t xml:space="preserve">Parent Schneider Electric gave its home electricals brand to Leo India (Aug 2025); consolidation risk</t>
  </si>
  <si>
    <t xml:space="preserve">Saatchi &amp; Saatchi made Lauritz Knudsen's 'Who Am I?' campaign with Rohit Sharma, Hardik Pandya and Suryakumar Yadav (Apr 2025).</t>
  </si>
  <si>
    <t xml:space="preserve">https://www.medianews4u.com/rohit-hardik-sky-light-up-lauritz-knudsens-who-am-i-campaign-by-saatchi-saatchi/</t>
  </si>
  <si>
    <t xml:space="preserve">Lenovo India</t>
  </si>
  <si>
    <t xml:space="preserve">Lenovo</t>
  </si>
  <si>
    <t xml:space="preserve">Leo India (Creative); Kinnect (Content) unconfirmed</t>
  </si>
  <si>
    <t xml:space="preserve">Lenovo India and Leo launched Legion 'Gamers on Duty' (Apr 2025), later a Spikes Asia 2026 Gold and Cannes 2026 shortlist.</t>
  </si>
  <si>
    <t xml:space="preserve">https://www.medianews4u.com/lenovo-intel-and-fcb-kinnect-transform-storytelling-with-ai-in-brave-new-art-3/</t>
  </si>
  <si>
    <t xml:space="preserve">https://www.medianews4u.com/lenovo-india-and-leo-launch-gamers-on-duty-campaign-to-target-campers-and-drive-laptop-upgrades/</t>
  </si>
  <si>
    <t xml:space="preserve">Liebherr Refrigerators</t>
  </si>
  <si>
    <t xml:space="preserve">Liebherr Appliances India</t>
  </si>
  <si>
    <t xml:space="preserve">Rediffusion (Creative)</t>
  </si>
  <si>
    <t xml:space="preserve">Premium German appliance brand; content and social likely open</t>
  </si>
  <si>
    <t xml:space="preserve">Rediffusion made the second Liebherr campaign 'Love Fresh Ideas Love Liebherr' with Neena Gupta.</t>
  </si>
  <si>
    <t xml:space="preserve">https://www.medianews4u.com/rediffusion-crafts-heartwarming-saas-bahu-campaign-for-liebherr-with-neena-gupta/</t>
  </si>
  <si>
    <t xml:space="preserve">LinkedIn India</t>
  </si>
  <si>
    <t xml:space="preserve">Microsoft</t>
  </si>
  <si>
    <t xml:space="preserve">afaqs files LinkedIn's May 2024 networking campaign under Leo Burnett India.</t>
  </si>
  <si>
    <t xml:space="preserve">Lumina CloudInfra</t>
  </si>
  <si>
    <t xml:space="preserve">22feet Tribal Worldwide (Digital, since 2023) unconfirmed</t>
  </si>
  <si>
    <t xml:space="preserve">22feet Tribal Worldwide bagged the digital mandate for Lumina CloudInfra in Jun 2023.</t>
  </si>
  <si>
    <t xml:space="preserve">https://www.afaqs.com/news/advertising/22feet-tribal-worldwide-bags-the-digital-mandate-for-lumina-cloudinfra</t>
  </si>
  <si>
    <t xml:space="preserve">Maple India</t>
  </si>
  <si>
    <t xml:space="preserve">Maple</t>
  </si>
  <si>
    <t xml:space="preserve">Verve Media won Maple India's social, AI-SEO, paid and creative design mandate.</t>
  </si>
  <si>
    <t xml:space="preserve">https://www.medianews4u.com/verve-media-bags-digital-and-creative-mandate-for-maple-india/</t>
  </si>
  <si>
    <t xml:space="preserve">Microsoft Azure</t>
  </si>
  <si>
    <t xml:space="preserve">Microsoft India</t>
  </si>
  <si>
    <t xml:space="preserve">Pulp Strategy (Content) unconfirmed</t>
  </si>
  <si>
    <t xml:space="preserve">Pulp Strategy case study: Cloud Champions partner engagement programme across three seasons and 90+ cities.</t>
  </si>
  <si>
    <t xml:space="preserve">Motorola Razr 60</t>
  </si>
  <si>
    <t xml:space="preserve">Motorola (Lenovo)</t>
  </si>
  <si>
    <t xml:space="preserve">SW Network (Sociowash) (Integrated) unconfirmed</t>
  </si>
  <si>
    <t xml:space="preserve">SW Network, Flipkart and Motorola ran a Swarovski-studded 360 launch campaign for Razr 60.</t>
  </si>
  <si>
    <t xml:space="preserve">https://www.medianews4u.com/sw-network-flipkart-and-motorola-reimagine-tech-launches-with-swarovski-studded-360-campaign-for-razr-60/</t>
  </si>
  <si>
    <t xml:space="preserve">Narayana Health</t>
  </si>
  <si>
    <t xml:space="preserve">Liqvd Asia (Social, since 2026); Mudra (ex DDB Mudra, BBDO Group) (Creative, since 2024) unconfirmed</t>
  </si>
  <si>
    <t xml:space="preserve">Social moved 2026-08; Social media and ORM mandate went to Liqvd Asia in Aug 2026 (split mandate); DDB brand retired Jan 2026 and DDB Mudra split across McCann, BBDO Group (Mudra) and TBWA\Lintas; destination of this account not announced</t>
  </si>
  <si>
    <t xml:space="preserve">Liqvd Asia won the social media and ORM mandate for Narayana Health.</t>
  </si>
  <si>
    <t xml:space="preserve">https://campaignbriefasia.com/2025/02/21/go-from-ayyo-to-oh-says-new-narayana-health-spot-via-ddb-mudra-ending-healthcare-worries/</t>
  </si>
  <si>
    <t xml:space="preserve">https://www.afaqs.com/news/newbizwins/liqvd-asia-bags-social-media-and-orm-mandate-for-narayana-health-12226137</t>
  </si>
  <si>
    <t xml:space="preserve">OnePlus India</t>
  </si>
  <si>
    <t xml:space="preserve">OnePlus</t>
  </si>
  <si>
    <t xml:space="preserve">Ruder Finn India (PR, since 2026)</t>
  </si>
  <si>
    <t xml:space="preserve">Ruder Finn India won the communications mandate for OnePlus India.</t>
  </si>
  <si>
    <t xml:space="preserve">https://www.afaqs.com/news/newbizwins/ruder-finn-india-wins-communications-mandate-for-oneplus-india-11111756</t>
  </si>
  <si>
    <t xml:space="preserve">RAK Ceramics India</t>
  </si>
  <si>
    <t xml:space="preserve">RAK Ceramics</t>
  </si>
  <si>
    <t xml:space="preserve">Webchutney CEO changed May 2026</t>
  </si>
  <si>
    <t xml:space="preserve">Won strategy and creative mandate after multi-agency pitch, Bengaluru office, ahead of brand refresh.</t>
  </si>
  <si>
    <t xml:space="preserve">https://www.dentsu.com/in/en/our-news/dentsu-creative-webchutney-wins-strategy-and-creative-mandate-for-rak-ceramics-india-and-kludi-india</t>
  </si>
  <si>
    <t xml:space="preserve">Red Bull India</t>
  </si>
  <si>
    <t xml:space="preserve">Red Bull</t>
  </si>
  <si>
    <t xml:space="preserve">Retained after review 2026-04; Red Bull fighting FSSAI energy drink label rule 2026-09</t>
  </si>
  <si>
    <t xml:space="preserve">Red Bull India renewed its integrated media mandate with Wavemaker.</t>
  </si>
  <si>
    <t xml:space="preserve">https://www.afaqs.com/news/newbizwins/red-bull-india-renews-media-mandate-with-wavemaker-11756549</t>
  </si>
  <si>
    <t xml:space="preserve">Royal Canin India</t>
  </si>
  <si>
    <t xml:space="preserve">22feet Tribal Worldwide (Digital, since 2026); 22feet Tribal Worldwide (Creative)</t>
  </si>
  <si>
    <t xml:space="preserve">Appointed 2026-05; agency inside Omnicom-IPG India integration; Kinnect and 22feet leadership merged under Chandni Shah; unit says it will take only five new clients in 2026</t>
  </si>
  <si>
    <t xml:space="preserve">22feet India made a Royal Canin film on healthier starts for puppies and kittens in Aug 2026.</t>
  </si>
  <si>
    <t xml:space="preserve">https://www.afaqs.com/news/newbizwins/22feet-bags-digital-mandate-for-royal-canin-india-11874973</t>
  </si>
  <si>
    <t xml:space="preserve">https://campaignbriefasia.com/2026/08/05/royal-canins-new-film-by-22feet-india-encourages-a-healthier-start-for-puppies-and-kittens/</t>
  </si>
  <si>
    <t xml:space="preserve">Royaloak</t>
  </si>
  <si>
    <t xml:space="preserve">Royaloak Furniture</t>
  </si>
  <si>
    <t xml:space="preserve">Royaloak appointed Team Pumpkin as digital marketing partner.</t>
  </si>
  <si>
    <t xml:space="preserve">https://www.afaqs.com/news/newbizwins/royaloak-appoints-team-pumpkin-as-digital-marketing-partner-12065166</t>
  </si>
  <si>
    <t xml:space="preserve">Salesforce</t>
  </si>
  <si>
    <t xml:space="preserve">McCann India (Creative, since 2024) unconfirmed</t>
  </si>
  <si>
    <t xml:space="preserve">Salesforce's first India campaign starring Rahul Dravid tagged to McCann Worldgroup.</t>
  </si>
  <si>
    <t xml:space="preserve">https://www.afaqs.com/news/advertising/salesforces-first-campaign-in-india-stars-rahul-dravid-7235070</t>
  </si>
  <si>
    <t xml:space="preserve">Samsung India</t>
  </si>
  <si>
    <t xml:space="preserve">Samsung Electronics</t>
  </si>
  <si>
    <t xml:space="preserve">Cheil India (Media, since 2026); Cheil India (Creative)</t>
  </si>
  <si>
    <t xml:space="preserve">Lodestar UM (Omnicom Media) (Media)</t>
  </si>
  <si>
    <t xml:space="preserve">Captive agency; not poachable; Media consolidated 2026-05; pitch triggered by Omnicom-IPG merger and Apple conflict; Captive in-house network agency; near-zero poach odds; New mobile marketing head 2026-05; media consolidated with Cheil 2026-05; Lost 2026-05 after 10 plus years; merger conflict cited</t>
  </si>
  <si>
    <t xml:space="preserve">Cheil India created the 'Trusted by India' Galaxy A Series anthem; ongoing Galaxy campaigns through 2025-26.</t>
  </si>
  <si>
    <t xml:space="preserve">https://www.storyboard18.com/agency-news/exclusive-cheil-india-secures-samsungs-consolidated-above-the-line-media-account-following-high-stakes-pitch-99615.htm</t>
  </si>
  <si>
    <t xml:space="preserve">https://www.afaqs.com/people-spotting/samsung-india-promotes-shirish-agarwal-as-head-of-marketing-for-mx-business-11846627</t>
  </si>
  <si>
    <t xml:space="preserve">Schneider Electric (home electricals)</t>
  </si>
  <si>
    <t xml:space="preserve">Schneider Electric</t>
  </si>
  <si>
    <t xml:space="preserve">Leo India (Integrated, since 2025)</t>
  </si>
  <si>
    <t xml:space="preserve">New relationship; Leo also runs Schneider digital (Jul 2026 hire note). Sister brand Lauritz Knudsen sits with Saatchi &amp; Saatchi India</t>
  </si>
  <si>
    <t xml:space="preserve">Schneider Electric India onboarded Leo India as creative partner for its home electrical segment, launching the integrated 'Bring Home the Smart' campaign.</t>
  </si>
  <si>
    <t xml:space="preserve">https://www.socialsamosa.com/industry-updates/leo-india-creative-mandate-schneider-electric-9653024</t>
  </si>
  <si>
    <t xml:space="preserve">Smytten</t>
  </si>
  <si>
    <t xml:space="preserve">80dB Communications (PR, since 2026)</t>
  </si>
  <si>
    <t xml:space="preserve">80 dB Communications won the PR mandate for premium trial platform Smytten.</t>
  </si>
  <si>
    <t xml:space="preserve">https://www.afaqs.com/news/newbizwins/80-db-communications-wins-the-pr-mandate-for-smytten-11720853</t>
  </si>
  <si>
    <t xml:space="preserve">Specta Quartz Surfaces</t>
  </si>
  <si>
    <t xml:space="preserve">Specta Surfaces</t>
  </si>
  <si>
    <t xml:space="preserve">Schbang (Creative, since 2026)</t>
  </si>
  <si>
    <t xml:space="preserve">Schbang created the Jim Sarbh voice-over film positioning Specta quartz surfaces around precision and design.</t>
  </si>
  <si>
    <t xml:space="preserve">https://www.medianews4u.com/specta-quartz-surfaces-partners-with-jim-sarbh-to-spotlight-quartz-through-new-campaign/</t>
  </si>
  <si>
    <t xml:space="preserve">Tata Consumer Products (portfolio)</t>
  </si>
  <si>
    <t xml:space="preserve">Premium brands (Sampann, Organic India, Soulfull) need creative</t>
  </si>
  <si>
    <t xml:space="preserve">Tata Consumer Products renewed Wavemaker as media agency partner (Dec 2024).</t>
  </si>
  <si>
    <t xml:space="preserve">https://www.medianews4u.com/tata-consumer-products-renews-wavemaker-as-media-agency-partner/</t>
  </si>
  <si>
    <t xml:space="preserve">The Hindu</t>
  </si>
  <si>
    <t xml:space="preserve">The Hindu Group (THG Publishing)</t>
  </si>
  <si>
    <t xml:space="preserve">Talented (Creative, since 2025)</t>
  </si>
  <si>
    <t xml:space="preserve">Talented conceptualised The Hindu's Labour Day star rating campaign, following its 147 years infographic ad.</t>
  </si>
  <si>
    <t xml:space="preserve">https://www.afaqs.com/news/advertising/the-hindu-turns-the-star-rating-on-its-readers-this-labour-day-11785404</t>
  </si>
  <si>
    <t xml:space="preserve">The Laughing Cow</t>
  </si>
  <si>
    <t xml:space="preserve">Britannia Bel Foods</t>
  </si>
  <si>
    <t xml:space="preserve">Schbang (Creative)</t>
  </si>
  <si>
    <t xml:space="preserve">Britannia The Laughing Cow's 'Snacking Ka New Angle' campaign is tagged to Schbang (Jan 2026).</t>
  </si>
  <si>
    <t xml:space="preserve">https://www.afaqs.com/news/advertising/britannia-the-laughing-cow-launches-snacking-ka-new-angle-campaign-10981152</t>
  </si>
  <si>
    <t xml:space="preserve">The Times of India</t>
  </si>
  <si>
    <t xml:space="preserve">Bennett, Coleman &amp; Co</t>
  </si>
  <si>
    <t xml:space="preserve">White Rivers Media (Digital, since 2025); White Rivers Media (Creative, since 2025); Havas Creative India (Creative)</t>
  </si>
  <si>
    <t xml:space="preserve">Veefin Group invested in the agency in Feb 2025, ownership change.</t>
  </si>
  <si>
    <t xml:space="preserve">White Rivers Media was named to lead the digital creative mandate for TOI Metro editions.</t>
  </si>
  <si>
    <t xml:space="preserve">https://www.afaqs.com/news/newbizwins/white-rivers-media-to-lead-digital-creative-mandate-for-toi-metro-editions-9316924</t>
  </si>
  <si>
    <t xml:space="preserve">https://www.medianews4u.com/white-rivers-media-wins-digital-creative-mandate-for-times-of-indias-metro-supplements/</t>
  </si>
  <si>
    <t xml:space="preserve">Tinder India</t>
  </si>
  <si>
    <t xml:space="preserve">Match Group</t>
  </si>
  <si>
    <t xml:space="preserve">The New Thing (Social)</t>
  </si>
  <si>
    <t xml:space="preserve">afaqs credits The New Thing with social campaigns for Tinder.</t>
  </si>
  <si>
    <t xml:space="preserve">True Elements</t>
  </si>
  <si>
    <t xml:space="preserve">HW Wellness Solutions</t>
  </si>
  <si>
    <t xml:space="preserve">TBWA\Lintas (Creative, since 2022) unconfirmed</t>
  </si>
  <si>
    <t xml:space="preserve">True Elements onboarded TBWA as its creative agency in Jul 2022.</t>
  </si>
  <si>
    <t xml:space="preserve">https://www.afaqs.com/news/advertising/true-elements-onboards-tbwa-as-their-creative-agency</t>
  </si>
  <si>
    <t xml:space="preserve">Urban Company</t>
  </si>
  <si>
    <t xml:space="preserve">Talented (Creative) unconfirmed</t>
  </si>
  <si>
    <t xml:space="preserve">Urban Company is listed among Talented's notable clients.</t>
  </si>
  <si>
    <t xml:space="preserve">Urban Ladder</t>
  </si>
  <si>
    <t xml:space="preserve">Premium home furnishings; Reliance moving work between Omnicom units</t>
  </si>
  <si>
    <t xml:space="preserve">Lowe Lintas topic lists Urban Ladder's city-aspirations campaign, Mar 2026.</t>
  </si>
  <si>
    <t xml:space="preserve">https://www.afaqs.com/news/advertising/urban-ladders-new-campaign-spotlights-city-specific-aspirations-11188874</t>
  </si>
  <si>
    <t xml:space="preserve">Wozoyo</t>
  </si>
  <si>
    <t xml:space="preserve">Liqvd Asia (Digital, since 2026); iCubesWire (Media, since 2026); Story Digital (Creative, since 2026)</t>
  </si>
  <si>
    <t xml:space="preserve">Roster split with iCubesWire (media) and Story Digital (creative).; Split roster across three agencies within 3 months; iCubesWire restructured leadership in Jun 2026 after Kushal Sanghvi exited Oct 2025.; Wozoyo roster split across Liqvd Asia, iCubesWire and Story Digital.</t>
  </si>
  <si>
    <t xml:space="preserve">iCubesWire bagged Wozoyo's global media mandate; Liqvd Asia and Story Digital also hold Wozoyo digital and creative briefs.</t>
  </si>
  <si>
    <t xml:space="preserve">https://www.afaqs.com/news/newbizwins/wozoyo-appoints-liqvd-asia-as-digital-marketing-partner-12183708</t>
  </si>
  <si>
    <t xml:space="preserve">https://www.medianews4u.com/icubeswire-bags-global-media-mandate-for-wozoyo/</t>
  </si>
  <si>
    <t xml:space="preserve">Balaji Wafers</t>
  </si>
  <si>
    <t xml:space="preserve">Creativefuel (Social, since 2026); Publicis Beehive (Creative, since 2019) unconfirmed</t>
  </si>
  <si>
    <t xml:space="preserve">Social Panga (Digital)</t>
  </si>
  <si>
    <t xml:space="preserve">Beehive now sits in the Saatchi, BBH and Propagate cluster (exchange4media, Dec 2025); no visible new business since 2021; Moved to Creativefuel (Jan 2026).</t>
  </si>
  <si>
    <t xml:space="preserve">Balaji Wafers appointed Creativefuel as social and digital partner.</t>
  </si>
  <si>
    <t xml:space="preserve">https://www.socialsamosa.com/industry-updates/social-panga-digital-creative-communication-mandates-balaji-wafers-6695929</t>
  </si>
  <si>
    <t xml:space="preserve">https://www.medianews4u.com/balaji-wafers-appoints-creativefuel-as-social-and-digital-partner/</t>
  </si>
  <si>
    <t xml:space="preserve">boAt</t>
  </si>
  <si>
    <t xml:space="preserve">Imagine Marketing</t>
  </si>
  <si>
    <t xml:space="preserve">Publicis Digital Experience (ex Digitas) (Digital) unconfirmed; White Rivers Media (Content, since 2023) unconfirmed</t>
  </si>
  <si>
    <t xml:space="preserve">New CMO 2026-06</t>
  </si>
  <si>
    <t xml:space="preserve">boAt named Vedansh Kumar as chief marketing officer.</t>
  </si>
  <si>
    <t xml:space="preserve">https://www.afaqs.com/people-spotting/boat-names-vedansh-kumar-as-chief-marketing-officer-12003685</t>
  </si>
  <si>
    <t xml:space="preserve">https://www.afaqs.com/tags/digitas-india</t>
  </si>
  <si>
    <t xml:space="preserve">Cadbury Dairy Milk</t>
  </si>
  <si>
    <t xml:space="preserve">afaqs covered a new Ogilvy made Cadbury Dairy Milk film in Mar 2025; Mondelez was Effie India Client of the Year with Ogilvy as Agency of the Year.</t>
  </si>
  <si>
    <t xml:space="preserve">https://www.afaqs.com/news/advertising/cadbury-dairy-milk-8837735</t>
  </si>
  <si>
    <t xml:space="preserve">Complan</t>
  </si>
  <si>
    <t xml:space="preserve">Zydus Wellness</t>
  </si>
  <si>
    <t xml:space="preserve">Pitch led by Subbu, since elevated to Omnicom Advertising India CSO; Moved to Lowe Lintas (now TBWA\Lintas) Dec 2024</t>
  </si>
  <si>
    <t xml:space="preserve">Lowe Lintas won Complan's strategic and creative mandate after a multi-agency pitch (from McCann).</t>
  </si>
  <si>
    <t xml:space="preserve">https://www.storyboard18.com/agency-news/lowe-lintas-bags-the-creative-mandate-of-complan-50864.htm</t>
  </si>
  <si>
    <t xml:space="preserve">https://www.medianews4u.com/madhuri-dixit-and-sneha-emphasize-on-criticality-of-protein-for-growing-kids/</t>
  </si>
  <si>
    <t xml:space="preserve">CYBX</t>
  </si>
  <si>
    <t xml:space="preserve">63SATS</t>
  </si>
  <si>
    <t xml:space="preserve">BBH India (Integrated, since 2026); Propagate India (Publicis) (Performance, since 2026)</t>
  </si>
  <si>
    <t xml:space="preserve">Won 2026-02; Publicis India folded into BBH 2026-01</t>
  </si>
  <si>
    <t xml:space="preserve">BBH India won CYBX's integrated creative and media mandate after a multi-agency pitch; Propagate got digital and performance.</t>
  </si>
  <si>
    <t xml:space="preserve">https://www.storyboard18.com/agency-news/exclusive-bbh-india-wins-integrated-creative-media-mandate-for-cybersecurity-app-cybx-90514.htm</t>
  </si>
  <si>
    <t xml:space="preserve">Dulcoflex</t>
  </si>
  <si>
    <t xml:space="preserve">Sanofi Consumer Healthcare India (Opella)</t>
  </si>
  <si>
    <t xml:space="preserve">FCB brand retired in 2026; FCB India clients and talent absorbed into McCann India, handover risk; Opella carve-out from Sanofi [unverified, check before outreach]</t>
  </si>
  <si>
    <t xml:space="preserve">FCB India won the creative mandate for Dulcoflex.</t>
  </si>
  <si>
    <t xml:space="preserve">https://www.afaqs.com/news/newbizwins/fcb-india-wins-creative-mandate-for-dulcoflex-8777232</t>
  </si>
  <si>
    <t xml:space="preserve">Fevicol and Fevikwik</t>
  </si>
  <si>
    <t xml:space="preserve">Pidilite Industries</t>
  </si>
  <si>
    <t xml:space="preserve">Ogilvy won Storyboard18 Awards 2026 metals for Fevicol TEEKA-ID and Fevikwik AI Pack.</t>
  </si>
  <si>
    <t xml:space="preserve">https://www.storyboard18.com/brand-marketing/storyboard18-awards-for-creativity-2026-where-creative-bravery-met-storytelling-and-scale-94461.htm</t>
  </si>
  <si>
    <t xml:space="preserve">Home Centre</t>
  </si>
  <si>
    <t xml:space="preserve">Interactive Avenues (Omnicom Media) (Social, since 2024)</t>
  </si>
  <si>
    <t xml:space="preserve">Interactive Avenues won Home Centre's social media mandate after a multi-agency pitch.</t>
  </si>
  <si>
    <t xml:space="preserve">https://www.medianews4u.com/interactive-avenues-secures-social-media-mandate-for-home-centre/</t>
  </si>
  <si>
    <t xml:space="preserve">Horlicks</t>
  </si>
  <si>
    <t xml:space="preserve">FCB Neo credited for the Horlicks 'mischief as growth' campaign.</t>
  </si>
  <si>
    <t xml:space="preserve">https://www.medianews4u.com/horlicks-fcb-neo-flip-the-script-on-growth-with-new-campaign-celebrating-mischief-as-a-sign-of-true-development/</t>
  </si>
  <si>
    <t xml:space="preserve">Jio</t>
  </si>
  <si>
    <t xml:space="preserve">Reliance Jio</t>
  </si>
  <si>
    <t xml:space="preserve">Social Samosa (Mar 2025) names Jio among Schbang's major clients.</t>
  </si>
  <si>
    <t xml:space="preserve">Luminous</t>
  </si>
  <si>
    <t xml:space="preserve">Cheil X (Integrated, since 2024); Grey 82.5 (Ogilvy) (Integrated) unconfirmed</t>
  </si>
  <si>
    <t xml:space="preserve">Cheil, WPP</t>
  </si>
  <si>
    <t xml:space="preserve">Cheil India named integrated communications agency after multi-agency pitch; Cheil X ran the 2025 Rajasthan Royals campaign.</t>
  </si>
  <si>
    <t xml:space="preserve">https://www.manifest-media.in/advertising/230524/cheil-india-named-as-the-creative-agency-for-luminous-power-technologi.html</t>
  </si>
  <si>
    <t xml:space="preserve">https://campaignbriefasia.com/2023/11/08/grey-india-and-autumngrey-india-shines-a-new-light-on-diwali-this-year-for-luminous/</t>
  </si>
  <si>
    <t xml:space="preserve">Maggi</t>
  </si>
  <si>
    <t xml:space="preserve">Nestle India</t>
  </si>
  <si>
    <t xml:space="preserve">Long tenure incumbent; Prasoon Joshi moved up to Chairman, Omnicom Advertising India; Category marketing head exit 2026-09</t>
  </si>
  <si>
    <t xml:space="preserve">Maggi Noodles' category marketing head Kanika Juneja stepped down.</t>
  </si>
  <si>
    <t xml:space="preserve">https://www.afaqs.com/people-spotting/maggis-category-marketing-head-kanika-juneja-steps-down-12551813</t>
  </si>
  <si>
    <t xml:space="preserve">Mother's Recipe</t>
  </si>
  <si>
    <t xml:space="preserve">Desai Brothers Ltd</t>
  </si>
  <si>
    <t xml:space="preserve">Grey 82.5 (Ogilvy) (Creative, since 2024); Bang in the Middle (Creative, since 2023) unconfirmed</t>
  </si>
  <si>
    <t xml:space="preserve">82.5 Communications folded into Grey 82.5 in Jun 2026; team and brand transition; Three years old, no recent work seen</t>
  </si>
  <si>
    <t xml:space="preserve">82.5 Communications secured the creative mandate for Mother's Recipe in Jul 2024.</t>
  </si>
  <si>
    <t xml:space="preserve">https://www.medianews4u.com/82-5-communications-secures-the-creative-mandate-for-mothers-recipe/</t>
  </si>
  <si>
    <t xml:space="preserve">https://www.afaqs.com/news/advertising/mothers-recipe-picks-bang-in-the-middle-to-service-its-mainline-creative-account</t>
  </si>
  <si>
    <t xml:space="preserve">Pidilite (Fevicol)</t>
  </si>
  <si>
    <t xml:space="preserve">Schbang (Social)</t>
  </si>
  <si>
    <t xml:space="preserve">Social Samosa (Mar 2025) names Pidilite among Schbang's clients; Schbang work page shows a Fevicol Reels remix campaign.</t>
  </si>
  <si>
    <t xml:space="preserve">Saffola</t>
  </si>
  <si>
    <t xml:space="preserve">Marico</t>
  </si>
  <si>
    <t xml:space="preserve">Mullen Lintas brand retired; its CEO Hari Krishnan quit Apr 2024 (later FCB India CGO)</t>
  </si>
  <si>
    <t xml:space="preserve">Mullen Lintas credited for Saffola Masala Oats (Apr 2025), Saffola Honey and Saffola Gold (2024).</t>
  </si>
  <si>
    <t xml:space="preserve">https://www.medianews4u.com/maricos-saffola-masala-oats-hits-a-six-with-playful-cricket-campaign-featuring-sanjay-manjrekar/</t>
  </si>
  <si>
    <t xml:space="preserve">Snickers</t>
  </si>
  <si>
    <t xml:space="preserve">DDB Tribal brand retired with DDB; new home for Mars Wrigley team not announced</t>
  </si>
  <si>
    <t xml:space="preserve">DDB Tribal India made the Rohit Shetty Snickers spot; Snickers also sits on DDB Mudra Group's The Work 2025 list.</t>
  </si>
  <si>
    <t xml:space="preserve">https://campaignbriefasia.com/2024/07/17/rohit-shetty-takes-the-wheel-in-this-new-ddb-tribal-india-spot-for-snickers/</t>
  </si>
  <si>
    <t xml:space="preserve">Tata Play</t>
  </si>
  <si>
    <t xml:space="preserve">Tata Play Ltd (Tata Group)</t>
  </si>
  <si>
    <t xml:space="preserve">Ogilvy India (Creative); Chimp&amp;z Inc (Social) unconfirmed</t>
  </si>
  <si>
    <t xml:space="preserve">Incumbent since Tata Sky era; Chimp&amp;z acquired Yellophant Digital (May 2024) to serve budget clients.</t>
  </si>
  <si>
    <t xml:space="preserve">Ogilvy reworked 'Life Jingalala' in six languages for Tata Play's 20th anniversary in Aug 2026.</t>
  </si>
  <si>
    <t xml:space="preserve">https://www.afaqs.com/news/advertising/tata-play-gives-life-jingalala-a-folk-music-makeover-as-it-turns-20-12239501</t>
  </si>
  <si>
    <t xml:space="preserve">https://www.medianews4u.com/tag/chimpz-inc/</t>
  </si>
  <si>
    <t xml:space="preserve">Torrent Electricals</t>
  </si>
  <si>
    <t xml:space="preserve">Torrent Group</t>
  </si>
  <si>
    <t xml:space="preserve">Uber India</t>
  </si>
  <si>
    <t xml:space="preserve">Uber</t>
  </si>
  <si>
    <t xml:space="preserve">FCB India credited for Uber campaigns with the Shroffs (Oct 2024) and Travis Head for Moto (Apr 2025).</t>
  </si>
  <si>
    <t xml:space="preserve">https://www.medianews4u.com/ubers-new-campaign-featuring-shroff-duo-aims-to-revolutionize-urban-transportation-perceptions/</t>
  </si>
  <si>
    <t xml:space="preserve">Usha International</t>
  </si>
  <si>
    <t xml:space="preserve">Ketchum Sampark (PR, since 2024) unconfirmed</t>
  </si>
  <si>
    <t xml:space="preserve">Ketchum Sampark won the PR mandate for Usha International in Jan 2024.</t>
  </si>
  <si>
    <t xml:space="preserve">Vadilal</t>
  </si>
  <si>
    <t xml:space="preserve">Vadilal Industries</t>
  </si>
  <si>
    <t xml:space="preserve">Grey 82.5 (Ogilvy) (Creative, since 2024)</t>
  </si>
  <si>
    <t xml:space="preserve">82.5 won Vadilal's creative mandate in Oct 2024 and launched 'Zara Muskuraiye, Vadilal Khaiye!' in Apr 2025.</t>
  </si>
  <si>
    <t xml:space="preserve">https://www.medianews4u.com/vadilal-unveils-joyful-new-campaign-zara-muskuraiye-vadilal-khaiye-with-82-5-communications/</t>
  </si>
  <si>
    <t xml:space="preserve">Vi (Vodafone Idea)</t>
  </si>
  <si>
    <t xml:space="preserve">Vodafone Idea Ltd</t>
  </si>
  <si>
    <t xml:space="preserve">Ogilvy India made the Sep 2026 'Vi Pe Sab Hai VIP' ad with Shah Rukh Khan across TV, digital and outdoor.</t>
  </si>
  <si>
    <t xml:space="preserve">https://www.afaqs.com/news/advertising/shah-rukh-khan-gets-the-vip-treatment-in-vis-new-ad-12513906</t>
  </si>
  <si>
    <t xml:space="preserve">Wagh Bakri</t>
  </si>
  <si>
    <t xml:space="preserve">Wagh Bakri Tea Group</t>
  </si>
  <si>
    <t xml:space="preserve">BharatPe</t>
  </si>
  <si>
    <t xml:space="preserve">New CPMO 2026-09</t>
  </si>
  <si>
    <t xml:space="preserve">BharatPe named Yugal Tiwari, ex Paytm, as chief product and marketing officer.</t>
  </si>
  <si>
    <t xml:space="preserve">https://www.storyboard18.com/brand-makers/bharatpe-names-yugal-tiwari-chief-product-and-marketing-officer-ws-l-110693.htm</t>
  </si>
  <si>
    <t xml:space="preserve">IIFL Home Finance</t>
  </si>
  <si>
    <t xml:space="preserve">IIFL Finance</t>
  </si>
  <si>
    <t xml:space="preserve">Multi-year incumbent on a single campaign platform; fatigue risk.</t>
  </si>
  <si>
    <t xml:space="preserve">afaqs Schbang tag lists IIFL Home Finance's third Bharosa Bhau film (Jul 2024); e4m earlier reported Schbang winning IIFL Home Loans.</t>
  </si>
  <si>
    <t xml:space="preserve">https://www.afaqs.com/tags/schbang?page=2</t>
  </si>
  <si>
    <t xml:space="preserve">Jupiter Money</t>
  </si>
  <si>
    <t xml:space="preserve">Amica Financial Technologies</t>
  </si>
  <si>
    <t xml:space="preserve">Marketing head with agency background; small budgets.</t>
  </si>
  <si>
    <t xml:space="preserve">No agency credit found; Jupiter hired Adityan Kayalakal as VP and Head of Marketing (May 2025).</t>
  </si>
  <si>
    <t xml:space="preserve">https://www.storyboard18.com/brand-makers/jupiter-money-names-adityan-kayalakal-as-vp-head-of-marketing-66226.htm</t>
  </si>
  <si>
    <t xml:space="preserve">Amaron</t>
  </si>
  <si>
    <t xml:space="preserve">Amara Raja Energy &amp; Mobility</t>
  </si>
  <si>
    <t xml:space="preserve">Lowe Lintas bagged the creative mandate for Amaron.</t>
  </si>
  <si>
    <t xml:space="preserve">https://www.medianews4u.com/lowe-lintas-bags-creative-mandate-for-amaron/</t>
  </si>
  <si>
    <t xml:space="preserve">Apollo Tyres</t>
  </si>
  <si>
    <t xml:space="preserve">Apollo Tyres Ltd</t>
  </si>
  <si>
    <t xml:space="preserve">Apollo Tyres and VML India unveiled the Apterra SUV campaign with Sachin Tendulkar in Apr 2025.</t>
  </si>
  <si>
    <t xml:space="preserve">https://www.medianews4u.com/apollo-tyres-and-vml-india-unveil-new-apterra-suv-campaign-featuring-sachin-tendulkar/</t>
  </si>
  <si>
    <t xml:space="preserve">Tilt Brand Solutions (Creative)</t>
  </si>
  <si>
    <t xml:space="preserve">Bajaj's summer 'day one feel' campaign is listed under afaqs' Tilt tag (Mar 2025).</t>
  </si>
  <si>
    <t xml:space="preserve">https://www.afaqs.com/news/advertising/bajaj-promises-toughness-and-and-day-one-feel-in-its-summer-campaign-8892367</t>
  </si>
  <si>
    <t xml:space="preserve">BKT Tyres</t>
  </si>
  <si>
    <t xml:space="preserve">Balkrishna Industries</t>
  </si>
  <si>
    <t xml:space="preserve">Infectious Advertising (Integrated, since 2026); Infectious Advertising (Creative, since 2026)</t>
  </si>
  <si>
    <t xml:space="preserve">Moved 2026-03; Infectious co-founder Nisha Singhania stepped back from CEO role in Apr 2026, leadership transition</t>
  </si>
  <si>
    <t xml:space="preserve">Infectious Advertising won BKT Tyres' integrated creative mandate in India.</t>
  </si>
  <si>
    <t xml:space="preserve">https://www.afaqs.com/news/newbizwins/infectious-advertising-to-handle-the-integrated-mandate-for-bkt-tyres-in-india-11169533</t>
  </si>
  <si>
    <t xml:space="preserve">https://www.afaqs.com/news/advertising/bkt-tyres-launches-elevate-your-drive-campaign-with-ranveer-singh-11209237</t>
  </si>
  <si>
    <t xml:space="preserve">Bold Care</t>
  </si>
  <si>
    <t xml:space="preserve">Moonshot won Good Ads Matter 2025 gold and silver for Bold Care 'Teleshopping' and 'Serial'.</t>
  </si>
  <si>
    <t xml:space="preserve">Cars24</t>
  </si>
  <si>
    <t xml:space="preserve">CARS24 Services</t>
  </si>
  <si>
    <t xml:space="preserve">Cars24's Vikram and Betaal campaign starring CEO Vikram Chopra was developed by Talented.</t>
  </si>
  <si>
    <t xml:space="preserve">https://campaignbriefasia.com/2026/09/09/talented-casts-cars24s-ceo-in-a-legendary-new-role-as-king-vikram-in-latest-campaign/</t>
  </si>
  <si>
    <t xml:space="preserve">CEAT Tyres</t>
  </si>
  <si>
    <t xml:space="preserve">CEAT Ltd (RPG Group)</t>
  </si>
  <si>
    <t xml:space="preserve">Ogilvy India made a Zoya Akhtar led CEAT Tyres campaign in Feb 2026.</t>
  </si>
  <si>
    <t xml:space="preserve">https://www.medianews4u.com/ogilvy-india-puts-zoya-akhtars-direction-to-the-ultimate-test-in-new-ceat-tyres-campaign/</t>
  </si>
  <si>
    <t xml:space="preserve">EMotorad</t>
  </si>
  <si>
    <t xml:space="preserve">EMotorad is listed among One Hand Clap's clients alongside its viral Dhoni 'Animal' spoof.</t>
  </si>
  <si>
    <t xml:space="preserve">Escorts Kubota MU Series</t>
  </si>
  <si>
    <t xml:space="preserve">Escorts Kubota</t>
  </si>
  <si>
    <t xml:space="preserve">Hashtag Orange (Creative)</t>
  </si>
  <si>
    <t xml:space="preserve">Hashtag Orange unveiled the Dum Bhi. Bharosa Bhi. campaign for Escorts Kubota's MU Series.</t>
  </si>
  <si>
    <t xml:space="preserve">https://www.medianews4u.com/hashtag-orange-unveils-dum-bhi-bharosa-bhi-campaign-for-escorts-kubotas-mu-series/</t>
  </si>
  <si>
    <t xml:space="preserve">Gatorade</t>
  </si>
  <si>
    <t xml:space="preserve">PepsiCo India</t>
  </si>
  <si>
    <t xml:space="preserve">Gatorade was among Leo India's Spikes Asia 2026 metal winners after the 2024 'Turf Finder' campaign.</t>
  </si>
  <si>
    <t xml:space="preserve">Gatsby</t>
  </si>
  <si>
    <t xml:space="preserve">Mandom Corporation India</t>
  </si>
  <si>
    <t xml:space="preserve">BC Web Wise (Digital)</t>
  </si>
  <si>
    <t xml:space="preserve">BC Web Wise relaunched Gatsby with the #GottaGroove campaign.</t>
  </si>
  <si>
    <t xml:space="preserve">https://www.medianews4u.com/bc-web-wise-relaunches-gatsby-with-gottagroove-campaign/</t>
  </si>
  <si>
    <t xml:space="preserve">Hero Destini</t>
  </si>
  <si>
    <t xml:space="preserve">Hero work previously also at FCB Interface (Xtreme 2024); consolidation under McCann</t>
  </si>
  <si>
    <t xml:space="preserve">McCann India credited for the Hero Destini dads campaign, July 2026.</t>
  </si>
  <si>
    <t xml:space="preserve">https://www.afaqs.com/news/advertising/hero-destinis-new-campaign-puts-dads-in-the-heros-seat-12152141</t>
  </si>
  <si>
    <t xml:space="preserve">Cheil X (Creative, since 2026); Saatchi &amp; Saatchi India (Creative, since 2023)</t>
  </si>
  <si>
    <t xml:space="preserve">Cheil, Publicis</t>
  </si>
  <si>
    <t xml:space="preserve">Project-based festive mandate, re-pitched seasonally</t>
  </si>
  <si>
    <t xml:space="preserve">Saatchi &amp; Saatchi India turned Tibetan prayer flags into first-aid kits for Hero MotoCorp (Jan 2026), after the 2023 Karizma XMR launch.</t>
  </si>
  <si>
    <t xml:space="preserve">https://www.medianews4u.com/hero-motocorp-turns-tibetan-prayer-flags-into-first-aid-kits-for-himalayan-bikers/</t>
  </si>
  <si>
    <t xml:space="preserve">https://www.exchange4media.com/companies/cheil-x.html</t>
  </si>
  <si>
    <t xml:space="preserve">Hero Xtreme</t>
  </si>
  <si>
    <t xml:space="preserve">Hero work now credited to McCann India (2026)</t>
  </si>
  <si>
    <t xml:space="preserve">FCB Interface tag lists the Hero Xtreme power brand campaign with Virat Kohli.</t>
  </si>
  <si>
    <t xml:space="preserve">https://www.medianews4u.com/hero-motocorp-launches-high-octane-campaign-for-xtreme-power-brand-featuring-virat-kohli/</t>
  </si>
  <si>
    <t xml:space="preserve">Imperial Blue</t>
  </si>
  <si>
    <t xml:space="preserve">Grey 82.5 (Ogilvy) (Creative, since 2026)</t>
  </si>
  <si>
    <t xml:space="preserve">Just pitched; ownership moved from Pernod Ricard to Tilaknagar; Account moved 2026-06 post acquisition; Grey and 82.5 merged under Ogilvy 2026-06; Brand under a new owner building a fresh roster (PR to Apostrophe Ventures in Aug 2026).; New owner reset the roster in 2026</t>
  </si>
  <si>
    <t xml:space="preserve">Grey 82.5 won Imperial Blue's creative mandate after a multi-agency pitch (Jun 2026).</t>
  </si>
  <si>
    <t xml:space="preserve">https://www.medianews4u.com/grey-82-5-secures-creative-mandate-for-imperial-blue/</t>
  </si>
  <si>
    <t xml:space="preserve">https://www.afaqs.com/news/newbizwins/grey-825-bags-creative-mandate-for-imperial-blue-12026565</t>
  </si>
  <si>
    <t xml:space="preserve">Joy Personal Care</t>
  </si>
  <si>
    <t xml:space="preserve">RSH Global</t>
  </si>
  <si>
    <t xml:space="preserve">Webenza (Creative, since 2025)</t>
  </si>
  <si>
    <t xml:space="preserve">Webenza secured the digital creative mandate for Joy Personal Care.</t>
  </si>
  <si>
    <t xml:space="preserve">https://www.medianews4u.com/webenza-secures-digital-creative-mandate-for-joy-personal-care/</t>
  </si>
  <si>
    <t xml:space="preserve">Lotus Herbals</t>
  </si>
  <si>
    <t xml:space="preserve">Viral Pitch (Social, since 2022) unconfirmed</t>
  </si>
  <si>
    <t xml:space="preserve">Four-year-old mandate; creative agency not visible</t>
  </si>
  <si>
    <t xml:space="preserve">Viral Pitch won Lotus Herbals' influencer marketing mandate (Feb 2022).</t>
  </si>
  <si>
    <t xml:space="preserve">2022-02</t>
  </si>
  <si>
    <t xml:space="preserve">https://www.socialsamosa.com/2022/02/viral-pitch-influencer-marketing-mandate-lotus-herbals/</t>
  </si>
  <si>
    <t xml:space="preserve">Magic Moments</t>
  </si>
  <si>
    <t xml:space="preserve">Mamaearth</t>
  </si>
  <si>
    <t xml:space="preserve">Havas Creative India (Integrated, since 2023); Havas Creative India (Creative) unconfirmed</t>
  </si>
  <si>
    <t xml:space="preserve">3-year incumbent; Feb 2026 Sreeleela film uncredited; Honasa leadership reshuffle May 2026; D2C beauty brands rotate agencies often; no 2025-26 credit found</t>
  </si>
  <si>
    <t xml:space="preserve">Havas, Mamaearth's agency on record since Jul 2023, sent Mamaearth work to Cannes Lions 2024.</t>
  </si>
  <si>
    <t xml:space="preserve">https://www.socialsamosa.com/cannes-lions/havas-cannes-lions-2024-mortein-mamaearth-campaigns-4596158</t>
  </si>
  <si>
    <t xml:space="preserve">https://www.afaqs.com/news/advertising/mamaearths-latest-campaign-showcases-the-beauty-of-glass-like-skin-with-its-rice-facewash</t>
  </si>
  <si>
    <t xml:space="preserve">Mansion House</t>
  </si>
  <si>
    <t xml:space="preserve">Roster rebuilt 2025 to 2026 after Imperial Blue buy</t>
  </si>
  <si>
    <t xml:space="preserve">Tilaknagar appointed Apostrophe Ventures as corporate and brand PR partner for Mansion House and Imperial Blue (Aug 2026).</t>
  </si>
  <si>
    <t xml:space="preserve">Maruti Suzuki (Baleno, Service, Super Carry)</t>
  </si>
  <si>
    <t xml:space="preserve">Maruti Suzuki India</t>
  </si>
  <si>
    <t xml:space="preserve">Hakuhodo India (Integrated)</t>
  </si>
  <si>
    <t xml:space="preserve">Japanese network alignment; low poach odds</t>
  </si>
  <si>
    <t xml:space="preserve">Hakuhodo.Sync won e4m Automotive Marketing Awards 2026 for Maruti Suzuki Service, Baleno and Super Carry work.</t>
  </si>
  <si>
    <t xml:space="preserve">McDowell's (House of McDowell's Soda)</t>
  </si>
  <si>
    <t xml:space="preserve">Team Spirit (Publicis) (Creative); Saatchi &amp; Saatchi India (Creative)</t>
  </si>
  <si>
    <t xml:space="preserve">Diageo consolidated with Publicis; Brand overhaul Sep 2026; VP Marketing Aanandita Datta joined Aug 2025</t>
  </si>
  <si>
    <t xml:space="preserve">Saatchi &amp; Saatchi India created House of McDowell's Soda's 'Yaari Ki Nayi' film with Kartik Aaryan (Sep 2026).</t>
  </si>
  <si>
    <t xml:space="preserve">https://www.medianews4u.com/kartik-aaryan-leads-mcdowells-sodas-new-campaign-celebrating-friendship-and-unforgettable-firsts/</t>
  </si>
  <si>
    <t xml:space="preserve">https://www.medianews4u.com/house-of-mcdowells-soda-takes-its-yaari-story-in-a-new-direction-with-kartik-aaryan/</t>
  </si>
  <si>
    <t xml:space="preserve">MsChief</t>
  </si>
  <si>
    <t xml:space="preserve">TTK Healthcare</t>
  </si>
  <si>
    <t xml:space="preserve">BC Web Wise (Digital, since 2025)</t>
  </si>
  <si>
    <t xml:space="preserve">BC Web Wise secured the digital mandate for TTK Healthcare's MsChief.</t>
  </si>
  <si>
    <t xml:space="preserve">https://www.medianews4u.com/bc-web-wise-secures-digital-mandate-for-mschief/</t>
  </si>
  <si>
    <t xml:space="preserve">MuscleBlaze</t>
  </si>
  <si>
    <t xml:space="preserve">HealthKart (Bright Lifecare)</t>
  </si>
  <si>
    <t xml:space="preserve">Tonic Worldwide (Content)</t>
  </si>
  <si>
    <t xml:space="preserve">afaqs Tonic tag lists MuscleBlaze's India's strongest unknowns content series (Nov 2025).</t>
  </si>
  <si>
    <t xml:space="preserve">https://www.afaqs.com/tags/tonic-worldwide</t>
  </si>
  <si>
    <t xml:space="preserve">New Holland</t>
  </si>
  <si>
    <t xml:space="preserve">CNH Industrial</t>
  </si>
  <si>
    <t xml:space="preserve">Webchutney credited for 'Asli Hero Ki Asli Taaqat' farmer campaign.</t>
  </si>
  <si>
    <t xml:space="preserve">https://www.medianews4u.com/dentsu-creative-webchutney-new-holland-unveil-asli-hero-ki-asli-taaqat-to-honour-indias-farmers/</t>
  </si>
  <si>
    <t xml:space="preserve">Okaya</t>
  </si>
  <si>
    <t xml:space="preserve">Okaya Power Group</t>
  </si>
  <si>
    <t xml:space="preserve">Digitas India won Okaya's full digital mandate including communications, media, performance and tech after a pitch (Jun 2022).</t>
  </si>
  <si>
    <t xml:space="preserve">2022-06</t>
  </si>
  <si>
    <t xml:space="preserve">https://www.exchange4media.com/pr-and-corporate-communication-news/digitas-india-wins-digital-communications-mandate-for-okaya-120939.html</t>
  </si>
  <si>
    <t xml:space="preserve">Parachute Advansed</t>
  </si>
  <si>
    <t xml:space="preserve">Tonic Worldwide (Creative)</t>
  </si>
  <si>
    <t xml:space="preserve">afaqs Tonic tag lists Parachute Advansed's Holi campaign (Mar 2026); medianews4u lists Parachute Advansed Baby (May 2025).</t>
  </si>
  <si>
    <t xml:space="preserve">POND'S</t>
  </si>
  <si>
    <t xml:space="preserve">afaqs reports POND'S and Ogilvy revived 'Googly Woogly Wooksh' in Jul 2026.</t>
  </si>
  <si>
    <t xml:space="preserve">https://www.afaqs.com/news/advertising/why-ponds-and-ogilvy-believe-googly-woogly-wooksh-still-matters-12203275</t>
  </si>
  <si>
    <t xml:space="preserve">Ralco Tyres</t>
  </si>
  <si>
    <t xml:space="preserve">Ralson (India) Ltd</t>
  </si>
  <si>
    <t xml:space="preserve">Enormous highlighted Ralson Tyres' durability in a new campaign.</t>
  </si>
  <si>
    <t xml:space="preserve">https://www.afaqs.com/news/advertising/enormous-highlights-ralson-tyres-durability-in-new-campaign-11805738</t>
  </si>
  <si>
    <t xml:space="preserve">Renault India (Kiger)</t>
  </si>
  <si>
    <t xml:space="preserve">Renault Group</t>
  </si>
  <si>
    <t xml:space="preserve">Saatchi &amp; Saatchi India (Creative); Publicis Digital Experience (ex Digitas) (Experiential)</t>
  </si>
  <si>
    <t xml:space="preserve">Saatchi &amp; Saatchi India conceptualised a gamified billboard for the Renault Kiger (Oct 2025) with Digitas India executing.</t>
  </si>
  <si>
    <t xml:space="preserve">https://www.medianews4u.com/saatchi-saatchi-reimagines-renault-kiger-launch-with-gamified-billboard/</t>
  </si>
  <si>
    <t xml:space="preserve">RENEE Cosmetics</t>
  </si>
  <si>
    <t xml:space="preserve">SGA (Strategic Growth Advisors) (PR, since 2022) unconfirmed</t>
  </si>
  <si>
    <t xml:space="preserve">Mandate four years old</t>
  </si>
  <si>
    <t xml:space="preserve">SGA won RENEE Cosmetics' PR and social media mandate (Jun 2022).</t>
  </si>
  <si>
    <t xml:space="preserve">https://www.medianews4u.com/sga-growth-advisors-wins-pr-and-social-media-mandate-for-renee-cosmetics/</t>
  </si>
  <si>
    <t xml:space="preserve">Santoor</t>
  </si>
  <si>
    <t xml:space="preserve">Wipro Consumer Care &amp; Lighting</t>
  </si>
  <si>
    <t xml:space="preserve">Tilt Brand Solutions (Integrated, since 2026); Ogilvy India (Integrated) unconfirmed</t>
  </si>
  <si>
    <t xml:space="preserve">Ulka (BBDO Group) (Integrated)</t>
  </si>
  <si>
    <t xml:space="preserve">Moved 2026-04; CMO S Prasanna Rai; Lost final round 2026-04; WPP Creative restructure and Grey 82.5 folded under Ogilvy 2026-06; Ulka folded into BBDO Group 2025-12 after Omnicom-IPG merger; loss inferred</t>
  </si>
  <si>
    <t xml:space="preserve">Santoor appointed Tilt Brand Solutions as full-service agency on record after a multi-agency pitch where Ogilvy was the other finalist.</t>
  </si>
  <si>
    <t xml:space="preserve">https://www.storyboard18.com/agency-news/santoor-appoints-tilt-brand-solutions-as-agency-on-record-95223.htm</t>
  </si>
  <si>
    <t xml:space="preserve">https://www.afaqs.com/news/newbizwins/santoor-appoints-tilt-brand-solutions-as-agency-on-record-11727983</t>
  </si>
  <si>
    <t xml:space="preserve">Som Distilleries &amp; Breweries</t>
  </si>
  <si>
    <t xml:space="preserve">Image Stereo won the strategic PR and brand mandate for Som Distilleries.</t>
  </si>
  <si>
    <t xml:space="preserve">https://www.afaqs.com/news/newbizwins/image-stereo-wins-the-strategic-pr-brand-mandate-for-som-distilleries-breweries-9360384</t>
  </si>
  <si>
    <t xml:space="preserve">Suzuki Motorcycle India</t>
  </si>
  <si>
    <t xml:space="preserve">Suzuki Motor Corporation</t>
  </si>
  <si>
    <t xml:space="preserve">Hakuhodo India (Experiential)</t>
  </si>
  <si>
    <t xml:space="preserve">Hakuhodo.Sync awarded for Suzuki Motorcycles experiential marketing at e4m Automotive Awards 2026.</t>
  </si>
  <si>
    <t xml:space="preserve">Tata Motors Commercial Vehicles</t>
  </si>
  <si>
    <t xml:space="preserve">Ogilvy India crafted the Feb 2026 'Better Always' brand film for Tata Motors CV.</t>
  </si>
  <si>
    <t xml:space="preserve">https://www.medianews4u.com/ogilvy-india-crafts-new-brand-film-showcasing-tata-motors-cvs-better-always-vision/</t>
  </si>
  <si>
    <t xml:space="preserve">Dentsu Creative India (Media, since 2026); TBWA\Lintas (Creative) unconfirmed</t>
  </si>
  <si>
    <t xml:space="preserve">Madison Media (Media)</t>
  </si>
  <si>
    <t xml:space="preserve">Media moved 2026-08; TVS named Peyman Kargar CEO 2026-08; premium motorcycle push; TVS split between Lintas and Kinnect; Lost 2026-08; Madison acquisition saga unresolved</t>
  </si>
  <si>
    <t xml:space="preserve">TVS Motor awarded its Rs 180 to 200 crore media mandate to Dentsu after multi-round evaluation.</t>
  </si>
  <si>
    <t xml:space="preserve">https://www.storyboard18.com/agency-news/dentsu-wins-tvs-motor-media-mandate-ws-l-106734.htm</t>
  </si>
  <si>
    <t xml:space="preserve">https://www.medianews4u.com/tvs-motors-campaign-protect-little-riders-looks-to-create-awareness-on-child-safety/</t>
  </si>
  <si>
    <t xml:space="preserve">TyresNmore</t>
  </si>
  <si>
    <t xml:space="preserve">CEAT</t>
  </si>
  <si>
    <t xml:space="preserve">CEAT's TyresNmore appointed The Minimalist for brand strategy, content, social, performance and on-ground comms.</t>
  </si>
  <si>
    <t xml:space="preserve">https://www.afaqs.com/news/newbizwins/the-minimalist-wins-integrated-digital-mandate-for-tyresnmore-12249540</t>
  </si>
  <si>
    <t xml:space="preserve">Vasmol</t>
  </si>
  <si>
    <t xml:space="preserve">Hygienic Research Institute</t>
  </si>
  <si>
    <t xml:space="preserve">afaqs Lowe Lintas topic lists the Vasmol henna creme campaign with Vidya Balan.</t>
  </si>
  <si>
    <t xml:space="preserve">https://www.afaqs.com/topic/lowe-lintas</t>
  </si>
  <si>
    <t xml:space="preserve">Veet</t>
  </si>
  <si>
    <t xml:space="preserve">Reckitt</t>
  </si>
  <si>
    <t xml:space="preserve">Reckitt is a long-running Havas network client; low poach odds</t>
  </si>
  <si>
    <t xml:space="preserve">Havas Worldwide India created the #BetterWayToWax campaign with Triptii Dimri.</t>
  </si>
  <si>
    <t xml:space="preserve">https://www.medianews4u.com/the-betterwaytowax-campaign-is-veets-attempt-to-empower-women-with-confidence-and-offers-them-a-better-method-of-hair-removal/</t>
  </si>
  <si>
    <t xml:space="preserve">Vini Cosmetics (Fogg)</t>
  </si>
  <si>
    <t xml:space="preserve">Vini Cosmetics</t>
  </si>
  <si>
    <t xml:space="preserve">The Womb (Creative)</t>
  </si>
  <si>
    <t xml:space="preserve">Womb ownership change pending</t>
  </si>
  <si>
    <t xml:space="preserve">Vini is listed among The Womb's clients in the Accenture acquisition report.</t>
  </si>
  <si>
    <t xml:space="preserve">Wild Stone</t>
  </si>
  <si>
    <t xml:space="preserve">McNROE Consumer Products</t>
  </si>
  <si>
    <t xml:space="preserve">Wild Stone's 'men use men's soap' ad appears under afaqs' Moonshot tag (Sep 2025).</t>
  </si>
  <si>
    <t xml:space="preserve">IDP Education</t>
  </si>
  <si>
    <t xml:space="preserve">Weber Shandwick India (PR, since 2022) unconfirmed</t>
  </si>
  <si>
    <t xml:space="preserve">Four-year incumbent; WS India leadership changed twice in 2025 to 2026</t>
  </si>
  <si>
    <t xml:space="preserve">IDP Education appointed Weber Shandwick as strategic PR agency for India.</t>
  </si>
  <si>
    <t xml:space="preserve">https://www.medianews4u.com/idp-education-appoints-weber-shandwick-as-its-communication-partner/</t>
  </si>
  <si>
    <t xml:space="preserve">JBCN Group of Schools</t>
  </si>
  <si>
    <t xml:space="preserve">JBCN Education</t>
  </si>
  <si>
    <t xml:space="preserve">PR Pundit Havas Red (PR, since 2025)</t>
  </si>
  <si>
    <t xml:space="preserve">Appointed strategic communications partner for integrated communications and media outreach.</t>
  </si>
  <si>
    <t xml:space="preserve">https://www.manifest-media.in/marketing/070825/pr-pundit-havas-red-secures-communications-mandate-of-jbcn-group-of-sc.html</t>
  </si>
  <si>
    <t xml:space="preserve">Amazon India</t>
  </si>
  <si>
    <t xml:space="preserve">Ogilvy India (Integrated); Schbang (Creative, since 2026); Leo India (Creative) unconfirmed</t>
  </si>
  <si>
    <t xml:space="preserve">Independent, Publicis, WPP</t>
  </si>
  <si>
    <t xml:space="preserve">Project style campaign credit; Amazon runs multiple agencies, so a sale-period brief is contestable.; No recent Leo credit found</t>
  </si>
  <si>
    <t xml:space="preserve">Amazon and Ogilvy unveiled the 'Everything Store to Everyday Store' brand direction in Jun 2025; Ogilvy Mumbai's Box to Beds was a Cannes 2026 shortlist.</t>
  </si>
  <si>
    <t xml:space="preserve">https://www.medianews4u.com/amazon-and-ogilvy-unveil-from-everything-store-to-everyday-store-campaign-to-reflect-new-brand-direction/</t>
  </si>
  <si>
    <t xml:space="preserve">https://www.medianews4u.com/amazon-india-relaunches-iconic-aur-dikhao-campaign-created-by-leo-burnett-india/</t>
  </si>
  <si>
    <t xml:space="preserve">Britannia</t>
  </si>
  <si>
    <t xml:space="preserve">Britannia Industries</t>
  </si>
  <si>
    <t xml:space="preserve">Talented (Creative); The Womb (Creative); TBWA\Lintas (Creative); Schbang (Integrated)</t>
  </si>
  <si>
    <t xml:space="preserve">Split roster: The Womb and Schbang also credited on Britannia brands; Britannia also uses Talented and Schbang, split roster; Womb ownership change pending; Britannia split between Lintas and McCann; Multi-brand relationship spread across many sub-brands; long tenure.</t>
  </si>
  <si>
    <t xml:space="preserve">Britannia is listed among The Womb's clients in the Accenture acquisition report.</t>
  </si>
  <si>
    <t xml:space="preserve">https://www.storyboard18.com/brand-makers/from-talented-to-moonshot-the-new-age-agencies-redefining-advertising-in-india-86794.htm</t>
  </si>
  <si>
    <t xml:space="preserve">Britannia Good Day</t>
  </si>
  <si>
    <t xml:space="preserve">Britannia split between McCann and Lintas</t>
  </si>
  <si>
    <t xml:space="preserve">McCann credited for Good Day Chunkies #EatHappens launch.</t>
  </si>
  <si>
    <t xml:space="preserve">https://www.medianews4u.com/britannias-chunkies-get-a-quirky-makeover-with-the-relatable-eathappens-campaign/</t>
  </si>
  <si>
    <t xml:space="preserve">Coca-Cola India</t>
  </si>
  <si>
    <t xml:space="preserve">Ogilvy India (Social); McCann India (Creative); VML India (Experiential)</t>
  </si>
  <si>
    <t xml:space="preserve">Split roster: VML India also works on Coca-Cola (Coke Holi) and Thums Up; Long tenure incumbent; Ogilvy India also handles Coca-Cola brand work</t>
  </si>
  <si>
    <t xml:space="preserve">Ogilvy India conceptualised Coca-Cola's social first 'The Lost Voices' FIFA World Cup 2026 campaign.</t>
  </si>
  <si>
    <t xml:space="preserve">https://www.afaqs.com/news/advertising/coca-cola-launches-the-lost-voices-campaign-for-fifa-world-cup-12148451</t>
  </si>
  <si>
    <t xml:space="preserve">Dabur</t>
  </si>
  <si>
    <t xml:space="preserve">Dabur India</t>
  </si>
  <si>
    <t xml:space="preserve">Dabur also works with Hashtag Orange, a split roster.; New India CEO 2026-02</t>
  </si>
  <si>
    <t xml:space="preserve">Dabur named Herjit S Bhalla India CEO and Mohit Malhotra global CEO.</t>
  </si>
  <si>
    <t xml:space="preserve">https://www.afaqs.com/people-spotting/dabur-names-herjit-s-bhalla-india-ceo-mohit-malhotra-global-ceo-11124785</t>
  </si>
  <si>
    <t xml:space="preserve">Londonderry</t>
  </si>
  <si>
    <t xml:space="preserve">Parle Products</t>
  </si>
  <si>
    <t xml:space="preserve">Rediffusion (Creative) unconfirmed</t>
  </si>
  <si>
    <t xml:space="preserve">Split: social for Parle Candy Culture went to Experience Commerce in 2025</t>
  </si>
  <si>
    <t xml:space="preserve">Rediffusion created the 'Love you very very, my Londonderry' film.</t>
  </si>
  <si>
    <t xml:space="preserve">https://www.afaqs.com/news/advertising/parles-new-ad-showcases-londonderry-as-a-generational-symbol-of-love-8449297</t>
  </si>
  <si>
    <t xml:space="preserve">Nilkamal Sleep</t>
  </si>
  <si>
    <t xml:space="preserve">Nilkamal Ltd</t>
  </si>
  <si>
    <t xml:space="preserve">Famous Innovations (Creative, since 2025)</t>
  </si>
  <si>
    <t xml:space="preserve">Nilkamal corporate brand sits with The Womb, split roster</t>
  </si>
  <si>
    <t xml:space="preserve">Famous Innovations won the creative duties of Nilkamal Sleep.</t>
  </si>
  <si>
    <t xml:space="preserve">https://www.afaqs.com/news/newbizwins/famous-innovations-wins-the-creative-duties-of-nilkamal-sleep-9496503</t>
  </si>
  <si>
    <t xml:space="preserve">Parle Candy Culture (Melody, Kismi, Londonderry)</t>
  </si>
  <si>
    <t xml:space="preserve">Experience Commerce (Cheil) (Social, since 2025)</t>
  </si>
  <si>
    <t xml:space="preserve">Split mandate: Rediffusion made the Londonderry TVC</t>
  </si>
  <si>
    <t xml:space="preserve">Won social and media planning mandate after multi-agency pitch.</t>
  </si>
  <si>
    <t xml:space="preserve">https://www.medianews4u.com/experience-commerce-secures-social-media-mandate-for-parle-candy-culture/</t>
  </si>
  <si>
    <t xml:space="preserve">Pedigree</t>
  </si>
  <si>
    <t xml:space="preserve">Mars Petcare work now split between BBDO Delhi and 22feet</t>
  </si>
  <si>
    <t xml:space="preserve">Mars Petcare awarded its digital mandate to 22feet Tribal Worldwide in Jun 2023.</t>
  </si>
  <si>
    <t xml:space="preserve">https://www.afaqs.com/news/advertising/mars-petcare-awards-digital-mandate-to-22feet-tribal-worldwide</t>
  </si>
  <si>
    <t xml:space="preserve">Reliance Consumer Products</t>
  </si>
  <si>
    <t xml:space="preserve">Reliance Retail Ventures</t>
  </si>
  <si>
    <t xml:space="preserve">Enormous Brands (Creative, since 2024)</t>
  </si>
  <si>
    <t xml:space="preserve">RCPL runs many brands across multiple agencies, fragmented</t>
  </si>
  <si>
    <t xml:space="preserve">afaqs lists Reliance Consumer Products among Enormous clients.</t>
  </si>
  <si>
    <t xml:space="preserve">Surf Excel</t>
  </si>
  <si>
    <t xml:space="preserve">Social Samosa lists Surf Excel among Lowe Lintas' signature clients.</t>
  </si>
  <si>
    <t xml:space="preserve">airpay money</t>
  </si>
  <si>
    <t xml:space="preserve">airpay</t>
  </si>
  <si>
    <t xml:space="preserve">Tonic Worldwide (Digital, since 2026)</t>
  </si>
  <si>
    <t xml:space="preserve">afaqs newbizwins lists Tonic Worldwide winning airpay money's digital marketing mandate.</t>
  </si>
  <si>
    <t xml:space="preserve">https://www.afaqs.com/news/newbizwins/tonic-worldwide-wins-airpay-moneys-digital-marketing-mandate-12029612</t>
  </si>
  <si>
    <t xml:space="preserve">AMFI (Mutual Funds Sahi Hai)</t>
  </si>
  <si>
    <t xml:space="preserve">AMFI</t>
  </si>
  <si>
    <t xml:space="preserve">Concept PR (Concept Communications) (Creative, since 2026); Lodestar UM (Omnicom Media) (Media, since 2026); Mirum India (VML) (Digital, since 2024)</t>
  </si>
  <si>
    <t xml:space="preserve">Creative moved 2026-01; Media re-awarded 2026-06; creative moved to Concept Communications 2026-01; Mirum India MD Mihir Karkare exited Jan 2025</t>
  </si>
  <si>
    <t xml:space="preserve">Lodestar UM won AMFI's roughly Rs 600 crore integrated media mandate after review.</t>
  </si>
  <si>
    <t xml:space="preserve">https://www.medianews4u.com/amfi-partners-mirum-india-and-webengage-to-drive-martech-strategy-for-their-mutual-fund-sahi-hai-campaign/</t>
  </si>
  <si>
    <t xml:space="preserve">https://www.afaqs.com/news/newbizwins/concept-communications-wins-creative-mandate-for-amfis-mutual-funds-sahi-hai-campaign-11024109</t>
  </si>
  <si>
    <t xml:space="preserve">Bandhan Bank</t>
  </si>
  <si>
    <t xml:space="preserve">Dentsu Creative Isobar (Creative, since 2026); Leo India (Creative) unconfirmed</t>
  </si>
  <si>
    <t xml:space="preserve">Dentsu, Publicis</t>
  </si>
  <si>
    <t xml:space="preserve">Freshly awarded; low near-term.; Moved 2026-07; incumbent not named; Dentsu India regulatory scrutiny 2026-09; Orchard brand retired in Leo merger; Moved to Dentsu Creative Isobar Jul 2026</t>
  </si>
  <si>
    <t xml:space="preserve">Dentsu Creative Isobar won Bandhan Bank's creative mandate after a multi-agency pitch.</t>
  </si>
  <si>
    <t xml:space="preserve">https://www.storyboard18.com/agency-news/dentsu-creative-isobar-wins-bandhan-banks-creative-mandate-after-multi-agency-pitch-105098.htm</t>
  </si>
  <si>
    <t xml:space="preserve">https://www.medianews4u.com/bandhan-bank-unveils-new-brand-campaign-jahaan-bandhan-wahaan-trust/</t>
  </si>
  <si>
    <t xml:space="preserve">Big Bowl</t>
  </si>
  <si>
    <t xml:space="preserve">Lenexis Foodworks</t>
  </si>
  <si>
    <t xml:space="preserve">Lyxel&amp;Flamingo (Social, since 2026)</t>
  </si>
  <si>
    <t xml:space="preserve">Big Bowl appointed Lyxel&amp;Flamingo as social and media partner covering social, content, performance and media.</t>
  </si>
  <si>
    <t xml:space="preserve">https://www.medianews4u.com/big-bowl-taps-lyxelflamingo-as-social-and-media-partner-to-drive-digital-led-growth/</t>
  </si>
  <si>
    <t xml:space="preserve">Burger King India</t>
  </si>
  <si>
    <t xml:space="preserve">Restaurant Brands Asia</t>
  </si>
  <si>
    <t xml:space="preserve">Kinnect (Integrated, since 2026); Havas Creative India (Creative)</t>
  </si>
  <si>
    <t xml:space="preserve">Havas, Omnicom</t>
  </si>
  <si>
    <t xml:space="preserve">Won 2026-05; Kinnect sits in Omnicom-IPG integration (FCB retired globally); group CMDO Kapil Grover; QSR conflict: KFC with FCB Neo inside the same holding company</t>
  </si>
  <si>
    <t xml:space="preserve">Burger King India named Kinnect its creative partner after a multi-agency pitch.</t>
  </si>
  <si>
    <t xml:space="preserve">https://www.storyboard18.com/brand-marketing/exclusive-kinnect-wins-creative-mandate-for-burger-king-india-99209.htm</t>
  </si>
  <si>
    <t xml:space="preserve">https://www.adgully.com/post/16015/omnicoms-kinnect-bags-burger-king-indias-integrated-creative-mandate</t>
  </si>
  <si>
    <t xml:space="preserve">Chinese Wok</t>
  </si>
  <si>
    <t xml:space="preserve">Havas Creative India (Integrated, since 2026)</t>
  </si>
  <si>
    <t xml:space="preserve">Freshly consolidated; low near-term opportunity; Creative and media consolidated with Havas 2026-03</t>
  </si>
  <si>
    <t xml:space="preserve">Chinese Wok consolidated creative, social, digital performance and media with Havas Creative India and Arena Media.</t>
  </si>
  <si>
    <t xml:space="preserve">https://www.medianews4u.com/chinese-wok-awards-integrated-mandate-to-havas-creative-india-and-arena-media/</t>
  </si>
  <si>
    <t xml:space="preserve">https://www.afaqs.com/news/newbizwins/havas-creative-india-arena-media-win-chinese-wok-mandate-11168077</t>
  </si>
  <si>
    <t xml:space="preserve">ESAF Small Finance Bank</t>
  </si>
  <si>
    <t xml:space="preserve">ESAF</t>
  </si>
  <si>
    <t xml:space="preserve">McCann's 'Dabba Savings Account' for ESAF won a D&amp;AD 2025 Wood Pencil.</t>
  </si>
  <si>
    <t xml:space="preserve">Google Pay</t>
  </si>
  <si>
    <t xml:space="preserve">TBWA\Lintas launched Google Pay 'Pocket Money' (Apr 2026) after Lowe Lintas GPay work in 2024 and 2025.</t>
  </si>
  <si>
    <t xml:space="preserve">https://www.medianews4u.com/google-pay-launches-pocket-money-campaign-with-tbwa-lintas-to-drive-financial-independence-among-teenagers/</t>
  </si>
  <si>
    <t xml:space="preserve">Gullak</t>
  </si>
  <si>
    <t xml:space="preserve">The Womb (Integrated, since 2026)</t>
  </si>
  <si>
    <t xml:space="preserve">Womb in acquisition talks with Accenture Song</t>
  </si>
  <si>
    <t xml:space="preserve">Gullak appointed The Womb as its strategic and creative partner.</t>
  </si>
  <si>
    <t xml:space="preserve">https://www.afaqs.com/news/newbizwins/gullak-appoints-the-womb-as-its-strategic-and-creative-partner-12215182</t>
  </si>
  <si>
    <t xml:space="preserve">Haldiram's</t>
  </si>
  <si>
    <t xml:space="preserve">Contract Advertising won the Haldiram's mandate in Aug 2022.</t>
  </si>
  <si>
    <t xml:space="preserve">https://www.medianews4u.com/contract-advertising-wins-the-mandate-for-haldirams/</t>
  </si>
  <si>
    <t xml:space="preserve">HDFC Ergo</t>
  </si>
  <si>
    <t xml:space="preserve">HDFC Ergo General Insurance</t>
  </si>
  <si>
    <t xml:space="preserve">HDFC Ergo named among BBH India clients in Apr 2025; BBH made its Raksha Bandhan 2023 spot.</t>
  </si>
  <si>
    <t xml:space="preserve">Hero FinCorp</t>
  </si>
  <si>
    <t xml:space="preserve">afaqs lists Hero FinCorp among Enormous clients won largely without pitching.</t>
  </si>
  <si>
    <t xml:space="preserve">LIC</t>
  </si>
  <si>
    <t xml:space="preserve">Life Insurance Corporation of India</t>
  </si>
  <si>
    <t xml:space="preserve">Digital Refresh Networks (Social) unconfirmed</t>
  </si>
  <si>
    <t xml:space="preserve">afaqs creative showcase lists #InvestorsForLife by Digital Refresh Networks (Mar 2024) with an LIC case study.</t>
  </si>
  <si>
    <t xml:space="preserve">https://www.afaqs.com/tags/digital-refresh-networks</t>
  </si>
  <si>
    <t xml:space="preserve">LIC Housing Finance</t>
  </si>
  <si>
    <t xml:space="preserve">BC Web Wise won LIC HFL's full digital mandate covering social, SEO, ORM, website and paid media.</t>
  </si>
  <si>
    <t xml:space="preserve">https://www.medianews4u.com/bc-web-wise-wins-digital-mandate-for-lic-housing-finance/</t>
  </si>
  <si>
    <t xml:space="preserve">mPokket</t>
  </si>
  <si>
    <t xml:space="preserve">BC Web Wise (Digital, since 2026)</t>
  </si>
  <si>
    <t xml:space="preserve">mPokket appointed BC Web Wise for AI-led search and digital discovery strategy.</t>
  </si>
  <si>
    <t xml:space="preserve">https://www.medianews4u.com/mpokket-appoints-bc-web-wise-to-strengthen-ai-led-search-and-digital-discovery-strategy/</t>
  </si>
  <si>
    <t xml:space="preserve">Muthoot FinCorp</t>
  </si>
  <si>
    <t xml:space="preserve">Muthoot Pappachan Group</t>
  </si>
  <si>
    <t xml:space="preserve">Creative and media both with Havas</t>
  </si>
  <si>
    <t xml:space="preserve">Havas Worldwide India conceptualised the 'Book My Gold Loan' SRK campaign; Havas Media handles integrated media.</t>
  </si>
  <si>
    <t xml:space="preserve">https://www.exchange4media.com/advertising-news/muthoot-fincorp-launches-campaign-with-shah-rukh-khan-134851.html</t>
  </si>
  <si>
    <t xml:space="preserve">Papa Johns India</t>
  </si>
  <si>
    <t xml:space="preserve">PJP Investments Group (master franchisee)</t>
  </si>
  <si>
    <t xml:space="preserve">Dentsu Creative Webchutney (Creative, since 2025); Dentsu Creative PR (ex Perfect Relations) (PR, since 2025)</t>
  </si>
  <si>
    <t xml:space="preserve">Dentsu named integrated agency for India entry after competitive review; Webchutney leads creative strategy and brand identity.</t>
  </si>
  <si>
    <t xml:space="preserve">https://www.storyboard18.com/agency-news/papa-johns-india-names-dentsu-as-integrated-agency-partner-80083.htm</t>
  </si>
  <si>
    <t xml:space="preserve">https://www.dentsu.com/in/en/our-news/papa-johns-india-appoints-dentsu-as-integrated-agency-partner</t>
  </si>
  <si>
    <t xml:space="preserve">Paytm</t>
  </si>
  <si>
    <t xml:space="preserve">One97 Communications</t>
  </si>
  <si>
    <t xml:space="preserve">Social Samosa lists Paytm among McCann India clients.</t>
  </si>
  <si>
    <t xml:space="preserve">PhonePe Mutual Funds</t>
  </si>
  <si>
    <t xml:space="preserve">PhonePe</t>
  </si>
  <si>
    <t xml:space="preserve">Ogilvy India launched a humour led PhonePe Mutual Funds campaign in Mar 2026.</t>
  </si>
  <si>
    <t xml:space="preserve">https://www.medianews4u.com/ogilvy-india-launches-humour-led-campaign-for-phonepe-mutual-funds-to-encourage-confident-investing/</t>
  </si>
  <si>
    <t xml:space="preserve">Piramal Finance</t>
  </si>
  <si>
    <t xml:space="preserve">Piramal Enterprises</t>
  </si>
  <si>
    <t xml:space="preserve">Piramal Finance is listed among The Womb's clients.</t>
  </si>
  <si>
    <t xml:space="preserve">Pizza Hut India</t>
  </si>
  <si>
    <t xml:space="preserve">Creativeland Asia (Creative) unconfirmed</t>
  </si>
  <si>
    <t xml:space="preserve">Pizza Hut's 'No Interruption, Only Satisfaction' Melts campaign is tagged to Creativeland Asia (Mar 2024).</t>
  </si>
  <si>
    <t xml:space="preserve">https://www.afaqs.com/news/advertising/pizza-huts-no-interruption-only-satisfaction-campaign-unveils-melts-a-meal-for-on-the-go-consumers</t>
  </si>
  <si>
    <t xml:space="preserve">Policybazaar</t>
  </si>
  <si>
    <t xml:space="preserve">PB Fintech</t>
  </si>
  <si>
    <t xml:space="preserve">Havas Media India (Media, since 2026)</t>
  </si>
  <si>
    <t xml:space="preserve">Media moved 2026-08; incumbent not named</t>
  </si>
  <si>
    <t xml:space="preserve">Policybazaar awarded its Rs 200 to 250 crore media mandate to Havas Media Network India.</t>
  </si>
  <si>
    <t xml:space="preserve">https://www.storyboard18.com/advertising/policybazaar-awards-rs-200-250-crore-media-mandate-to-havas-108043.htm</t>
  </si>
  <si>
    <t xml:space="preserve">Popeyes India</t>
  </si>
  <si>
    <t xml:space="preserve">Jubilant FoodWorks (franchisee)</t>
  </si>
  <si>
    <t xml:space="preserve">Dentsu Creative India (Creative, since 2024)</t>
  </si>
  <si>
    <t xml:space="preserve">Won end-to-end creative incl. brand strategy, identity and digital after multi-agency pitch, Gurugram.</t>
  </si>
  <si>
    <t xml:space="preserve">https://www.dentsu.com/in/en/our-news/dentsu-creative-bags-integrated-creative-mandate-for-popeyes-india</t>
  </si>
  <si>
    <t xml:space="preserve">Rang De</t>
  </si>
  <si>
    <t xml:space="preserve">Madchatter (PR, since 2023) unconfirmed</t>
  </si>
  <si>
    <t xml:space="preserve">Madchatter bagged the PR mandate of P2P lending platform Rang De.</t>
  </si>
  <si>
    <t xml:space="preserve">https://www.medianews4u.com/madchatter-bags-pr-mandate-of-p2p-lending-platform-rang-de/</t>
  </si>
  <si>
    <t xml:space="preserve">Rasoi Raga</t>
  </si>
  <si>
    <t xml:space="preserve">Verve Media (Social, since 2026)</t>
  </si>
  <si>
    <t xml:space="preserve">Verve Media bagged the social media mandate for Rasoi Raga.</t>
  </si>
  <si>
    <t xml:space="preserve">https://www.medianews4u.com/verve-media-bags-social-media-mandate-for-rasoi-raga/</t>
  </si>
  <si>
    <t xml:space="preserve">RuPay</t>
  </si>
  <si>
    <t xml:space="preserve">5W1H conceptualised RuPay's AI-generated credit card films in May 2026</t>
  </si>
  <si>
    <t xml:space="preserve">RuPay is listed among DDB Mudra Group clients on The Work 2025 hot list.</t>
  </si>
  <si>
    <t xml:space="preserve">Shriram General Insurance</t>
  </si>
  <si>
    <t xml:space="preserve">Shriram Group</t>
  </si>
  <si>
    <t xml:space="preserve">Verve Media (Content, since 2026)</t>
  </si>
  <si>
    <t xml:space="preserve">Verve Media bagged the video strategy and content creation mandate for Shriram General Insurance.</t>
  </si>
  <si>
    <t xml:space="preserve">https://www.medianews4u.com/verve-media-bags-video-strategy-and-content-creation-mandate-for-shriram-general-insurance/</t>
  </si>
  <si>
    <t xml:space="preserve">SMFG India Credit</t>
  </si>
  <si>
    <t xml:space="preserve">Sumitomo Mitsui Financial Group</t>
  </si>
  <si>
    <t xml:space="preserve">White Rivers Media (Digital, since 2025); White Rivers Media (Social, since 2025)</t>
  </si>
  <si>
    <t xml:space="preserve">White Rivers Media won SMFG India Credit's digital mandate.</t>
  </si>
  <si>
    <t xml:space="preserve">https://www.afaqs.com/news/newbizwins/white-rivers-media-wins-smfg-india-credits-digital-mandate-10917627</t>
  </si>
  <si>
    <t xml:space="preserve">Star Health Insurance</t>
  </si>
  <si>
    <t xml:space="preserve">Star Health and Allied Insurance</t>
  </si>
  <si>
    <t xml:space="preserve">Star Health teamed with independent agency Talented for the 'We've Got Your Back' billboard backs OOH campaign.</t>
  </si>
  <si>
    <t xml:space="preserve">https://campaignbriefasia.com/2026/08/17/talented-turns-the-back-of-billboards-into-a-symbol-of-support-for-star-health-insurance/</t>
  </si>
  <si>
    <t xml:space="preserve">Omnicom Media India (Digital, since 2026); Kinnect (Creative) unconfirmed</t>
  </si>
  <si>
    <t xml:space="preserve">Digital media only; SBI group creative and content (SBI Card, SBI Life, YONO) remain separate.</t>
  </si>
  <si>
    <t xml:space="preserve">SBI appointed Omnicom Media India as digital marketing partner in a Rs 250 to 260 crore mandate after a pitch.</t>
  </si>
  <si>
    <t xml:space="preserve">https://www.storyboard18.com/agency-news/sbi-hands-digital-marketing-mandate-to-omnicom-media-india-100466.htm</t>
  </si>
  <si>
    <t xml:space="preserve">https://www.medianews4u.com/sbi-launches-celebrations-unlimited-campaign-conceptualized-by-fcb-kinnect-to-promote-festive-loans/</t>
  </si>
  <si>
    <t xml:space="preserve">Subway India</t>
  </si>
  <si>
    <t xml:space="preserve">Subway (franchise)</t>
  </si>
  <si>
    <t xml:space="preserve">Moonshot (Creative, since 2023) unconfirmed</t>
  </si>
  <si>
    <t xml:space="preserve">Moonshot made Subway x Viswanathan Anand (2023) and lists Subway as a client.</t>
  </si>
  <si>
    <t xml:space="preserve">super.money</t>
  </si>
  <si>
    <t xml:space="preserve">afaqs names Braindad for SuperMoney's fintech work.</t>
  </si>
  <si>
    <t xml:space="preserve">Taco Bell India</t>
  </si>
  <si>
    <t xml:space="preserve">Burman Hospitality</t>
  </si>
  <si>
    <t xml:space="preserve">afaqs lists Taco Bell among Hashtag Orange's clients (Sep 2026).</t>
  </si>
  <si>
    <t xml:space="preserve">UTI Mutual Fund</t>
  </si>
  <si>
    <t xml:space="preserve">UTI Asset Management Company</t>
  </si>
  <si>
    <t xml:space="preserve">UTI MF CEO transition (Vetri Subramaniam CEO designate)</t>
  </si>
  <si>
    <t xml:space="preserve">Havas Creative India created the 'SIP karo, SIPizen bano' investor education film.</t>
  </si>
  <si>
    <t xml:space="preserve">https://www.medianews4u.com/uti-mutual-funds-sip-karo-sipizen-bano-investor-education-campaign-encourages-investors-to-build-financial-discipline-through-consistent-sip-investing/</t>
  </si>
  <si>
    <t xml:space="preserve">Ventura Securities</t>
  </si>
  <si>
    <t xml:space="preserve">OMD India (Media, since 2026)</t>
  </si>
  <si>
    <t xml:space="preserve">Media appointed 2026-08</t>
  </si>
  <si>
    <t xml:space="preserve">OMD India won Ventura Securities' integrated media mandate.</t>
  </si>
  <si>
    <t xml:space="preserve">https://www.afaqs.com/news/newbizwins/omnicom-medias-omd-india-wins-ventura-securities-integrated-media-mandate-12457523</t>
  </si>
  <si>
    <t xml:space="preserve">3M Consumer Business</t>
  </si>
  <si>
    <t xml:space="preserve">3M</t>
  </si>
  <si>
    <t xml:space="preserve">McCann India (Integrated, since 2026)</t>
  </si>
  <si>
    <t xml:space="preserve">Won 2026-08; McCann India leadership churn post merger (Sambit Mohanty exit 2026-06, FCB India folded in); New account onboarding while McCann integrates ex FCB and ex DDB teams</t>
  </si>
  <si>
    <t xml:space="preserve">McCann India won 3M's integrated consumer business creative mandate after a multi-agency pitch.</t>
  </si>
  <si>
    <t xml:space="preserve">https://www.afaqs.com/news/newbizwins/mccann-india-wins-3m-consumer-business-creative-mandate-12250026</t>
  </si>
  <si>
    <t xml:space="preserve">Airtel</t>
  </si>
  <si>
    <t xml:space="preserve">Bharti Airtel</t>
  </si>
  <si>
    <t xml:space="preserve">Airtel runs a large multi agency roster, this is a partial remit</t>
  </si>
  <si>
    <t xml:space="preserve">Famous Innovations won an Airtel mainline and social media mandate via a multi agency pitch.</t>
  </si>
  <si>
    <t xml:space="preserve">Amazon Now</t>
  </si>
  <si>
    <t xml:space="preserve">Social Panga (Integrated)</t>
  </si>
  <si>
    <t xml:space="preserve">Social Panga created the Museum of Unnecessary Charges activation and Biswa Kalyan Rath film for Amazon Now.</t>
  </si>
  <si>
    <t xml:space="preserve">https://www.afaqs.com/news/advertising/amazon-now-takes-a-dig-at-quick-commerce-charges-with-new-campaign-12226512</t>
  </si>
  <si>
    <t xml:space="preserve">Apsara Zesta</t>
  </si>
  <si>
    <t xml:space="preserve">Hindustan Pencils</t>
  </si>
  <si>
    <t xml:space="preserve">Interactive Avenues (Omnicom Media) (Creative)</t>
  </si>
  <si>
    <t xml:space="preserve">Interactive Avenues, part of Omnicom Media, created the Apsara Zesta scented pencils campaign.</t>
  </si>
  <si>
    <t xml:space="preserve">https://www.afaqs.com/news/advertising/apsara-zestas-new-campaign-celebrates-the-joy-of-writing-12159662</t>
  </si>
  <si>
    <t xml:space="preserve">B Natural</t>
  </si>
  <si>
    <t xml:space="preserve">ITC Ltd</t>
  </si>
  <si>
    <t xml:space="preserve">Famous Innovations (Creative, since 2026)</t>
  </si>
  <si>
    <t xml:space="preserve">Project style launch remit, not full AOR</t>
  </si>
  <si>
    <t xml:space="preserve">Famous Innovations won ITC B Natural's new product launch mandate.</t>
  </si>
  <si>
    <t xml:space="preserve">Baidyanath Rhuma Oil</t>
  </si>
  <si>
    <t xml:space="preserve">Shree Baidyanath Ayurved Bhawan</t>
  </si>
  <si>
    <t xml:space="preserve">Thinkstr (Creative) unconfirmed</t>
  </si>
  <si>
    <t xml:space="preserve">Baidyanath Rhuma Oil's pain relief ad is tagged to Thinkstr (Jan 2022).</t>
  </si>
  <si>
    <t xml:space="preserve">https://www.afaqs.com/news/advertising/baidyanath-rhuma-oil-ad-is-a-new-take-on-pain-relief</t>
  </si>
  <si>
    <t xml:space="preserve">Bajaj Electricals (fans, coolers)</t>
  </si>
  <si>
    <t xml:space="preserve">Bajaj Electricals</t>
  </si>
  <si>
    <t xml:space="preserve">McCann credited for summer fans and air coolers films.</t>
  </si>
  <si>
    <t xml:space="preserve">https://www.medianews4u.com/bajaj-strengthens-connections-with-todays-youth-through-summer-campaigns-for-fans-and-air-coolers/</t>
  </si>
  <si>
    <t xml:space="preserve">Bikano</t>
  </si>
  <si>
    <t xml:space="preserve">Bikanervala Foods</t>
  </si>
  <si>
    <t xml:space="preserve">Grapes Worldwide (Creative)</t>
  </si>
  <si>
    <t xml:space="preserve">Grapes Worldwide crafted Bikano's Dil Ki Mano, Enjoy Bikano campaign.</t>
  </si>
  <si>
    <t xml:space="preserve">https://www.medianews4u.com/grapes-worldwide-crafts-quirky-stories-for-bikanos-dil-ki-mano-enjoy-bikano-campaign/</t>
  </si>
  <si>
    <t xml:space="preserve">Bingo!</t>
  </si>
  <si>
    <t xml:space="preserve">ITC Foods</t>
  </si>
  <si>
    <t xml:space="preserve">Tonic Worldwide (Creative); Havas Creative India (Digital, since 2021) unconfirmed</t>
  </si>
  <si>
    <t xml:space="preserve">Five-year-old digital mandate; no recent credits found</t>
  </si>
  <si>
    <t xml:space="preserve">afaqs Tonic tag lists Bingo! Mad Angles (Aug 2026) and Bingo! Friendship Day (Aug 2025) campaigns.</t>
  </si>
  <si>
    <t xml:space="preserve">https://www.socialsamosa.com/2021/03/havas-creative-india-digital-communication-mandate-itc-bingo/</t>
  </si>
  <si>
    <t xml:space="preserve">Blue Star</t>
  </si>
  <si>
    <t xml:space="preserve">Kinnect (Digital, since 2023) unconfirmed</t>
  </si>
  <si>
    <t xml:space="preserve">Kinnect bagged Blue Star's digital mandate.</t>
  </si>
  <si>
    <t xml:space="preserve">2023-03</t>
  </si>
  <si>
    <t xml:space="preserve">https://www.afaqs.com/news/advertising/kinnect-bags-digital-mandate-for-blue-star</t>
  </si>
  <si>
    <t xml:space="preserve">Boost</t>
  </si>
  <si>
    <t xml:space="preserve">VML India made the Apr 2026 Boost Milkshake 'New Secret of Mahi Energy' campaign with MS Dhoni.</t>
  </si>
  <si>
    <t xml:space="preserve">https://campaignbriefasia.com/2026/04/02/boost-milkshake-finds-the-new-secret-of-mahi-energy-in-vml-india-campaign/</t>
  </si>
  <si>
    <t xml:space="preserve">Cadbury 5 Star</t>
  </si>
  <si>
    <t xml:space="preserve">Ogilvy India created Cadbury 5 Star's Valentine's Day 2026 'Ends the War' campaign.</t>
  </si>
  <si>
    <t xml:space="preserve">https://campaignbriefasia.com/2026/02/09/cadbury-5-star-ends-the-war-on-valentines-day-with-twist-filled-ogilvy-india-campaign/</t>
  </si>
  <si>
    <t xml:space="preserve">Cadbury Celebrations</t>
  </si>
  <si>
    <t xml:space="preserve">Ogilvy India made the Cadbury Celebrations Raksha Bandhan 2026 campaign.</t>
  </si>
  <si>
    <t xml:space="preserve">https://campaignbriefasia.com/2026/08/10/ogilvy-india-brings-sibling-banter-to-life-for-cadbury-celebrations-raksha-bandhan-campaign/</t>
  </si>
  <si>
    <t xml:space="preserve">Campa Cola</t>
  </si>
  <si>
    <t xml:space="preserve">afaqs McCann Worldgroup India topic lists a Campa Cola 'new India' campaign, Apr 2024.</t>
  </si>
  <si>
    <t xml:space="preserve">https://www.afaqs.com/topic/mccann-worldgroup-india</t>
  </si>
  <si>
    <t xml:space="preserve">Captain Steel</t>
  </si>
  <si>
    <t xml:space="preserve">Captain Steel India</t>
  </si>
  <si>
    <t xml:space="preserve">Saatchi &amp; Saatchi India made Captain Steel's Sourav Ganguly TMT rebar TVC (Mar 2026).</t>
  </si>
  <si>
    <t xml:space="preserve">https://www.medianews4u.com/saatchi-saatchi-india-highlights-structural-strength-with-captain-steel-tvc-featuring-sourav-ganguly/</t>
  </si>
  <si>
    <t xml:space="preserve">Catch (Spices, Pink Rock Salt)</t>
  </si>
  <si>
    <t xml:space="preserve">DS Group</t>
  </si>
  <si>
    <t xml:space="preserve">Webchutney credited for Catch Spices campaign (Mar 2025) and Catch Pink Rock Salt first TVC (Apr 2026).</t>
  </si>
  <si>
    <t xml:space="preserve">https://www.afaqs.com/news/advertising/ds-group-puts-catch-pink-rock-salt-in-the-spotlight-with-first-tvc-11745565</t>
  </si>
  <si>
    <t xml:space="preserve">Charged by Thums Up</t>
  </si>
  <si>
    <t xml:space="preserve">Parent brand Thums Up handled by VML India</t>
  </si>
  <si>
    <t xml:space="preserve">afaqs Ogilvy India tag lists the Feb 2025 Charged by Thums Up caveman ad with Aamir Khan.</t>
  </si>
  <si>
    <t xml:space="preserve">https://www.afaqs.com/news/advertising/aamir-khan-time-travels-for-charged-by-thums-upthis-time-as-a-caveman-8678455</t>
  </si>
  <si>
    <t xml:space="preserve">Cleartrip</t>
  </si>
  <si>
    <t xml:space="preserve">Leo India (Creative) unconfirmed; Talented (Creative, since 2023) unconfirmed</t>
  </si>
  <si>
    <t xml:space="preserve">No fresh Talented work seen since 2023, relationship may be dormant</t>
  </si>
  <si>
    <t xml:space="preserve">Talented's 'Or Travel On Cleartrip' won a Silver Lion in 2023; no newer work found.</t>
  </si>
  <si>
    <t xml:space="preserve">https://www.medianews4u.com/cleartrip-and-leo-burnett-orchard-highlight-the-benefits-of-clear-advantage-in-a-new-campaign/</t>
  </si>
  <si>
    <t xml:space="preserve">Cofsils</t>
  </si>
  <si>
    <t xml:space="preserve">Cipla Health</t>
  </si>
  <si>
    <t xml:space="preserve">Lowe Lintas won integrated communications for the Cofsils portfolio after a multi-agency pitch.</t>
  </si>
  <si>
    <t xml:space="preserve">https://www.medianews4u.com/lowe-lintas-wins-creative-mandate-for-cofsils/</t>
  </si>
  <si>
    <t xml:space="preserve">Coke Zero</t>
  </si>
  <si>
    <t xml:space="preserve">Ogilvy India made a minimalist Coke Zero campaign in Apr 2025.</t>
  </si>
  <si>
    <t xml:space="preserve">https://campaignbriefasia.com/2025/04/04/ogilvy-india-takes-minimalist-approach-to-latest-ad-campaign-for-coke-zero/</t>
  </si>
  <si>
    <t xml:space="preserve">CremTreat</t>
  </si>
  <si>
    <t xml:space="preserve">Grupo Bimbo (Bimbo Bakeries India)</t>
  </si>
  <si>
    <t xml:space="preserve">Propagate India (Publicis) (Digital)</t>
  </si>
  <si>
    <t xml:space="preserve">Bimbo Bakeries India's CremTreat campaign (Oct 2024) is tagged to Saatchi Propagate India.</t>
  </si>
  <si>
    <t xml:space="preserve">https://www.medianews4u.com/bimbo-bakeries-indias-new-cremtreat-campaign-share-karne-ka-mann-kare-aur-nahi-bhi-aims-to-express-innocence-and-playfulness/</t>
  </si>
  <si>
    <t xml:space="preserve">Dabur Red Charcoal</t>
  </si>
  <si>
    <t xml:space="preserve">Pulp Strategy (Social) unconfirmed</t>
  </si>
  <si>
    <t xml:space="preserve">Pulp Strategy case study: #ChooseBlackForWhite Gen Z campaign for Dabur Charcoal.</t>
  </si>
  <si>
    <t xml:space="preserve">https://www.pulpstrategy.com/?portfolio=chooseblackforwhite-dabur-charcoals-bold-narrative</t>
  </si>
  <si>
    <t xml:space="preserve">Danone</t>
  </si>
  <si>
    <t xml:space="preserve">Danone India</t>
  </si>
  <si>
    <t xml:space="preserve">Danone is listed among The Womb's clients.</t>
  </si>
  <si>
    <t xml:space="preserve">Dettol</t>
  </si>
  <si>
    <t xml:space="preserve">McCann credited for Dettol Fresh 'Always Ready'; Social Samosa lists Dettol as a McCann client.</t>
  </si>
  <si>
    <t xml:space="preserve">https://www.medianews4u.com/dettol-fresh-introduces-12-hour-freshness-to-keep-indians-always-ready/</t>
  </si>
  <si>
    <t xml:space="preserve">Dinshaw's</t>
  </si>
  <si>
    <t xml:space="preserve">Dinshaw's Dairy Foods</t>
  </si>
  <si>
    <t xml:space="preserve">afaqs questioned the Kambli themed campaign ('how far is too far?'), possible brand discomfort</t>
  </si>
  <si>
    <t xml:space="preserve">Dinshaw's 'Dildaari' campaign on Vinod Kambli appears under afaqs' Womb tag (Apr 2026).</t>
  </si>
  <si>
    <t xml:space="preserve">https://www.afaqs.com/news/mktg/dinshaws-draws-on-kamblis-journey-for-dildaaribut-how-far-is-too-far-11771596</t>
  </si>
  <si>
    <t xml:space="preserve">Dish TV</t>
  </si>
  <si>
    <t xml:space="preserve">Dish TV India</t>
  </si>
  <si>
    <t xml:space="preserve">Category in structural decline, budgets under pressure</t>
  </si>
  <si>
    <t xml:space="preserve">Dish TV's always-on viewing ad appears under afaqs' Enormous tag (Apr 2026).</t>
  </si>
  <si>
    <t xml:space="preserve">https://www.afaqs.com/news/advertising/dish-tv-turns-small-switches-into-always-on-viewing-11735391</t>
  </si>
  <si>
    <t xml:space="preserve">Dizester</t>
  </si>
  <si>
    <t xml:space="preserve">Dr. Willmar Schwabe India</t>
  </si>
  <si>
    <t xml:space="preserve">Hakuhodo India (Creative, since 2025)</t>
  </si>
  <si>
    <t xml:space="preserve">Won strategy, creative, digital and BTL mandate for Dizester Herbal and Granules after multi-agency pitch.</t>
  </si>
  <si>
    <t xml:space="preserve">https://www.afaqs.com/news/newbizwins/dr-willmar-schwabes-dizester-assigns-creative-mandate-to-hakuhodowyng-10733385</t>
  </si>
  <si>
    <t xml:space="preserve">Dr Agarwal's Eye Hospital</t>
  </si>
  <si>
    <t xml:space="preserve">Dr. Agarwal's Health Care</t>
  </si>
  <si>
    <t xml:space="preserve">Dr Agarwals is listed as a Moonshot client; the Sachin lookalike ad ran Nov 2024.</t>
  </si>
  <si>
    <t xml:space="preserve">Durex</t>
  </si>
  <si>
    <t xml:space="preserve">VML India created Rainbow Classrooms for a Durex campaign in Jul 2024.</t>
  </si>
  <si>
    <t xml:space="preserve">https://www.medianews4u.com/vml-india-creates-rainbow-classrooms-for-durexs-campaign-helping-indian-students-express-feelings-and-tackle-gender-identity-issues/</t>
  </si>
  <si>
    <t xml:space="preserve">Eureka Forbes</t>
  </si>
  <si>
    <t xml:space="preserve">Eureka Forbes (Advent International)</t>
  </si>
  <si>
    <t xml:space="preserve">afaqs TBWA Lintas topic lists Eureka Forbes' genuine-filters ad.</t>
  </si>
  <si>
    <t xml:space="preserve">https://www.afaqs.com/topic/tbwa-lintas</t>
  </si>
  <si>
    <t xml:space="preserve">Eveready</t>
  </si>
  <si>
    <t xml:space="preserve">Eveready Industries India</t>
  </si>
  <si>
    <t xml:space="preserve">Experience Commerce (Cheil) (Digital, since 2024); The Minimalist (Digital, since 2025)</t>
  </si>
  <si>
    <t xml:space="preserve">Eveready appointed The Minimalist as its digital agency partner.</t>
  </si>
  <si>
    <t xml:space="preserve">https://www.medianews4u.com/cheils-experience-commerce-wins-digital-and-media-mandate-for-eveready/</t>
  </si>
  <si>
    <t xml:space="preserve">https://www.afaqs.com/news/newbizwins/eveready-appoints-the-minimalist-as-its-digital-agency-partner-10596647</t>
  </si>
  <si>
    <t xml:space="preserve">Eveready Ultima</t>
  </si>
  <si>
    <t xml:space="preserve">Ogilvy India (Experiential, since 2023)</t>
  </si>
  <si>
    <t xml:space="preserve">Ogilvy won Eveready's creative mandate in Feb 2023; Ogilvy East built an Eveready Ultima Durga Pujo record stunt in Oct 2025.</t>
  </si>
  <si>
    <t xml:space="preserve">https://www.medianews4u.com/ogilvy-redefines-pujo-communication-with-culture-over-clutter/</t>
  </si>
  <si>
    <t xml:space="preserve">Fiesta Condoms</t>
  </si>
  <si>
    <t xml:space="preserve">Fiesta India</t>
  </si>
  <si>
    <t xml:space="preserve">Fiesta's Gen Z pop-culture film was conceptualised and executed by Tonic Worldwide.</t>
  </si>
  <si>
    <t xml:space="preserve">https://www.medianews4u.com/fiesta-india-condoms-film-conceptualised-and-executed-by-tonic-worldwide-leverages-gen-z-pop-culture-and-aims-to-redefine-category-messaging/</t>
  </si>
  <si>
    <t xml:space="preserve">Flipkart Health+</t>
  </si>
  <si>
    <t xml:space="preserve">Lowe Lintas created a humour-led Flipkart Health+ campaign for UP.</t>
  </si>
  <si>
    <t xml:space="preserve">https://www.medianews4u.com/lowe-lintas-campaign-for-flipkart-health-uses-humour-to-strengthen-the-brands-presence-in-up/</t>
  </si>
  <si>
    <t xml:space="preserve">Floron</t>
  </si>
  <si>
    <t xml:space="preserve">SRF Limited</t>
  </si>
  <si>
    <t xml:space="preserve">Saatchi &amp; Saatchi India (Creative) unconfirmed</t>
  </si>
  <si>
    <t xml:space="preserve">L&amp;K Saatchi &amp; Saatchi made SRF Floron's summer AC refrigerant campaign (May 2024).</t>
  </si>
  <si>
    <t xml:space="preserve">https://www.medianews4u.com/lk-saatchi-saatchis-campaign-showcases-ac-refrigerants-role-in-staying-cool-during-summer/</t>
  </si>
  <si>
    <t xml:space="preserve">Freedom and Be-Rite edible oils</t>
  </si>
  <si>
    <t xml:space="preserve">Gemini Edibles &amp; Fats India</t>
  </si>
  <si>
    <t xml:space="preserve">Dentsu Creative Webchutney (Integrated, since 2024)</t>
  </si>
  <si>
    <t xml:space="preserve">Dentsu Creative won GEF India integrated creative mandate (Chennai) in Mar 2024; Be-Rite campaigns in Nov 2024 and Oct 2025 credited to Webchutney.</t>
  </si>
  <si>
    <t xml:space="preserve">https://www.dentsu.com/in/en/our-news/dentsu-creative-india-bags-integrated-creative-mandate-for-gemini-edibles-and-fats-india</t>
  </si>
  <si>
    <t xml:space="preserve">Gabit</t>
  </si>
  <si>
    <t xml:space="preserve">Moonshot won an IndIAA 2025 award in consumer electronics for Gabit.</t>
  </si>
  <si>
    <t xml:space="preserve">Glucon-D</t>
  </si>
  <si>
    <t xml:space="preserve">Rediffusion (Creative, since 2022) unconfirmed</t>
  </si>
  <si>
    <t xml:space="preserve">Four-year-old mandate; no recent credits found</t>
  </si>
  <si>
    <t xml:space="preserve">Rediffusion won Glucon-D and extensions creative after multi-agency pitch.</t>
  </si>
  <si>
    <t xml:space="preserve">https://www.medianews4u.com/rediffusion-bags-creative-mandate-for-glucon-d/</t>
  </si>
  <si>
    <t xml:space="preserve">Ogilvy India promoted Google's interactive search via 'Googlies on Google' in Oct 2024.</t>
  </si>
  <si>
    <t xml:space="preserve">https://campaignbriefasia.com/2024/10/23/ogilvy-india-promotes-googles-interactive-search-experience-via-googlies-on-google/</t>
  </si>
  <si>
    <t xml:space="preserve">Grupo Bimbo</t>
  </si>
  <si>
    <t xml:space="preserve">Saatchi &amp; Saatchi India (Integrated, since 2023)</t>
  </si>
  <si>
    <t xml:space="preserve">L&amp;K Saatchi &amp; Saatchi was given both creative and media mandates for Grupo Bimbo in India.</t>
  </si>
  <si>
    <t xml:space="preserve">2023-02</t>
  </si>
  <si>
    <t xml:space="preserve">https://www.medianews4u.com/lk-saatchi-saatchi-bags-grupo-bimbos-creative-and-media-mandate/</t>
  </si>
  <si>
    <t xml:space="preserve">Haisha Paints</t>
  </si>
  <si>
    <t xml:space="preserve">Sideways (Creative, since 2023) unconfirmed</t>
  </si>
  <si>
    <t xml:space="preserve">Sideways secured the creative mandate for Pidilite's Haisha Paints launch.</t>
  </si>
  <si>
    <t xml:space="preserve">https://www.afaqs.com/news/advertising/sideways-bags-creative-mandate-for-pidilites-haisha-paints</t>
  </si>
  <si>
    <t xml:space="preserve">Hari:Bol</t>
  </si>
  <si>
    <t xml:space="preserve">Digital Refresh Networks (Digital, since 2023) unconfirmed</t>
  </si>
  <si>
    <t xml:space="preserve">Digital Refresh Networks bagged the digital mandate for Hari:Bol.</t>
  </si>
  <si>
    <t xml:space="preserve">https://www.medianews4u.com/digital-refresh-networks-bags-the-digital-mandate-for-haribol/</t>
  </si>
  <si>
    <t xml:space="preserve">Harpic</t>
  </si>
  <si>
    <t xml:space="preserve">Havas Creative India created the Harpic Bathroom Ultra Cleaner launch with Rohit Shetty.</t>
  </si>
  <si>
    <t xml:space="preserve">https://www.medianews4u.com/harpic-launches-new-harpic-bathroom-ultra-cleaner-appoints-rohit-shetty-as-brand-ambassador/</t>
  </si>
  <si>
    <t xml:space="preserve">HealthOK</t>
  </si>
  <si>
    <t xml:space="preserve">Mankind Pharma</t>
  </si>
  <si>
    <t xml:space="preserve">Story Digital (Integrated, since 2026)</t>
  </si>
  <si>
    <t xml:space="preserve">afaqs newbizwins listing (14 Sep 2026) shows Story Digital bagging the integrated creative mandate for HealthOK.</t>
  </si>
  <si>
    <t xml:space="preserve">https://www.afaqs.com/news/newbizwins</t>
  </si>
  <si>
    <t xml:space="preserve">HELL Energy Drink</t>
  </si>
  <si>
    <t xml:space="preserve">HELL ENERGY Hungary</t>
  </si>
  <si>
    <t xml:space="preserve">Dentsu Creative Isobar (Integrated, since 2026); Dentsu Creative PR (ex Perfect Relations) (PR, since 2026); Dentsu Creative India (Integrated, since 2026)</t>
  </si>
  <si>
    <t xml:space="preserve">Bundled holding-company deal; creative and social can be unbundled later; Appointed 2026-04; Dentsu global restructuring and India tax searches</t>
  </si>
  <si>
    <t xml:space="preserve">Dentsu won integrated creative, media and PR after multi-agency pitch; Isobar leads brand and creative, including digital, social and influencer.</t>
  </si>
  <si>
    <t xml:space="preserve">https://www.campaignindia.in/article/dentsu-bags-integrated-marketing-mandate-for-hell-energy-drink/48skmntrs290bsxedvmpd2q6ww</t>
  </si>
  <si>
    <t xml:space="preserve">https://www.afaqs.com/news/newbizwins/hell-energy-drink-names-dentsu-india-as-integrated-marketing-partner-11725549</t>
  </si>
  <si>
    <t xml:space="preserve">Indian Newspaper Society (INS)</t>
  </si>
  <si>
    <t xml:space="preserve">INS</t>
  </si>
  <si>
    <t xml:space="preserve">BBDO India created the 'Ink Doesn't Lie' print credibility campaign for INS in Aug 2026.</t>
  </si>
  <si>
    <t xml:space="preserve">https://campaignbriefasia.com/2026/08/05/bbdo-india-reminds-readers-ink-doesnt-lie-in-new-campaign-for-the-indian-newspaper-society/</t>
  </si>
  <si>
    <t xml:space="preserve">inDrive</t>
  </si>
  <si>
    <t xml:space="preserve">SW Network (Sociowash) (Creative, since 2024) unconfirmed</t>
  </si>
  <si>
    <t xml:space="preserve">Sociowash bagged the creative mandate for inDrive.</t>
  </si>
  <si>
    <t xml:space="preserve">https://www.medianews4u.com/sociowash-bags-the-creative-mandate-for-indrive/</t>
  </si>
  <si>
    <t xml:space="preserve">iQOO</t>
  </si>
  <si>
    <t xml:space="preserve">Webchutney launched the AI-led iQOO Z11 campaign in Aug 2026.</t>
  </si>
  <si>
    <t xml:space="preserve">https://www.dentsu.com/in/en/our-news/dentsu-creative-webchutney-launches-new-campaign-for-iqoo-z11</t>
  </si>
  <si>
    <t xml:space="preserve">ITC Candyman</t>
  </si>
  <si>
    <t xml:space="preserve">Ulka credited for Candyman Soft Chews 'Kuch Bhi Karega' (May 2026) and Tadka Jelly (Jun 2026).</t>
  </si>
  <si>
    <t xml:space="preserve">https://www.medianews4u.com/itc-candyman-expands-portfolio-with-soft-chews-targets-evolving-kids-preferences-with-kuch-bhi-karega-campaign-2/</t>
  </si>
  <si>
    <t xml:space="preserve">JAPFA</t>
  </si>
  <si>
    <t xml:space="preserve">JAPFA Comfeed India</t>
  </si>
  <si>
    <t xml:space="preserve">BBH India (Creative, since 2023) unconfirmed</t>
  </si>
  <si>
    <t xml:space="preserve">BBH India won JAPFA's creative mandate (Jul 2023).</t>
  </si>
  <si>
    <t xml:space="preserve">https://www.medianews4u.com/bbh-india-wins-creative-mandate-of-japfa/</t>
  </si>
  <si>
    <t xml:space="preserve">Jindal Stainless</t>
  </si>
  <si>
    <t xml:space="preserve">Jindal Stainless Ltd</t>
  </si>
  <si>
    <t xml:space="preserve">Hakuhodo India (Integrated, since 2026); Madison Media (Media, since 2026)</t>
  </si>
  <si>
    <t xml:space="preserve">Hakuhodo, Independent</t>
  </si>
  <si>
    <t xml:space="preserve">Hakuhodo India leadership changed Jun 2026 (new co-MDs); Creative moved 2026-05; Madison sale saga unresolved 2026-08; Madison lost TVS Motor 2026-08</t>
  </si>
  <si>
    <t xml:space="preserve">Won integrated marketing mandate after multi-agency pitch, Delhi office, after the Ranveer Singh campaign.</t>
  </si>
  <si>
    <t xml:space="preserve">https://manifest-media.in/advertising/280526/hakuhodo-bags-creative-mandate-for-jindal-stainless.html</t>
  </si>
  <si>
    <t xml:space="preserve">https://www.afaqs.com/news/newbizwins/jindal-stainless-brings-hakuhodo-on-board-for-integrated-marketing-mandate-11882627</t>
  </si>
  <si>
    <t xml:space="preserve">Jio-bp</t>
  </si>
  <si>
    <t xml:space="preserve">Reliance BP Mobility</t>
  </si>
  <si>
    <t xml:space="preserve">Ogilvy India (Creative); Propagate India (Publicis) (Digital, since 2023) unconfirmed</t>
  </si>
  <si>
    <t xml:space="preserve">Ogilvy crafted Jio-bp's Feb 2025 fuel campaign with Pankaj Tripathi.</t>
  </si>
  <si>
    <t xml:space="preserve">https://www.medianews4u.com/pankaj-tripathi-stars-in-jio-bps-latest-fuel-campaign-crafted-by-ogilvy/</t>
  </si>
  <si>
    <t xml:space="preserve">https://www.afaqs.com/news/advertising/saatchi-saatchi-propagate-bags-digital-mandate-for-jio-bp</t>
  </si>
  <si>
    <t xml:space="preserve">JioHotstar</t>
  </si>
  <si>
    <t xml:space="preserve">JioStar</t>
  </si>
  <si>
    <t xml:space="preserve">Creativefuel (Content)</t>
  </si>
  <si>
    <t xml:space="preserve">Creativefuel drove the multi-platform digital launch for JioHotstar x Superman.</t>
  </si>
  <si>
    <t xml:space="preserve">https://www.medianews4u.com/creativefuel-drives-multi-platform-digital-launch-for-jiohotstar-x-superman/</t>
  </si>
  <si>
    <t xml:space="preserve">JioMart</t>
  </si>
  <si>
    <t xml:space="preserve">Leo India (Creative, since 2026)</t>
  </si>
  <si>
    <t xml:space="preserve">Saatchi &amp; Saatchi India (Integrated)</t>
  </si>
  <si>
    <t xml:space="preserve">Moved within Publicis from L&amp;K Saatchi &amp; Saatchi (2023 IPL work); Reliance rotates agencies often; Moved to Leo India</t>
  </si>
  <si>
    <t xml:space="preserve">Leo India made JioMart's Mar 2026 'Fayda Meter' campaign with Ranveer Singh and Deepika Padukone.</t>
  </si>
  <si>
    <t xml:space="preserve">https://www.adobomagazine.com/campaign-spotlight/jiomart-and-lk-saatchi-and-saatchi-bring-the-relationship-between-shopkeeper-and-customer-to-the-fore/</t>
  </si>
  <si>
    <t xml:space="preserve">https://www.medianews4u.com/ranveer-singh-deepika-padukone-bring-fayda-meter-to-life-in-jiomart-campaign/</t>
  </si>
  <si>
    <t xml:space="preserve">Kasturi Foods</t>
  </si>
  <si>
    <t xml:space="preserve">Liqvd Asia (Integrated, since 2026)</t>
  </si>
  <si>
    <t xml:space="preserve">Liqvd Asia won creative, social and media services for Kasturi Foods.</t>
  </si>
  <si>
    <t xml:space="preserve">https://www.afaqs.com/news/newbizwins/liqvd-asia-bags-four-new-mandates-11255145</t>
  </si>
  <si>
    <t xml:space="preserve">Keya Foods</t>
  </si>
  <si>
    <t xml:space="preserve">Keya Foods International</t>
  </si>
  <si>
    <t xml:space="preserve">Rediffusion (Integrated, since 2025)</t>
  </si>
  <si>
    <t xml:space="preserve">Won creative (Mumbai) and media (SmartMedia Bangalore) incl. packaging and digital activations.</t>
  </si>
  <si>
    <t xml:space="preserve">https://www.medianews4u.com/rediffusion-bags-creative-media-mandate-for-keya-foods/</t>
  </si>
  <si>
    <t xml:space="preserve">KitKat</t>
  </si>
  <si>
    <t xml:space="preserve">KitKat and VML installed the 'Slooowest Vending Machine' in Hyderabad (Apr 2026), India's Cannes 2026 Design shortlist.</t>
  </si>
  <si>
    <t xml:space="preserve">https://www.afaqs.com/news/mktg/kitkat-vml-install-slow-vending-machine-activation-11720525</t>
  </si>
  <si>
    <t xml:space="preserve">Kurlon</t>
  </si>
  <si>
    <t xml:space="preserve">Sheela Foam</t>
  </si>
  <si>
    <t xml:space="preserve">Tonic Worldwide (Digital, since 2026); Lyxel&amp;Flamingo (Digital) unconfirmed</t>
  </si>
  <si>
    <t xml:space="preserve">Digital moved 2026-06; Sleepwell and Kurl-on appointed The Brand Bee for MENA 2026-09; Sheela Foam gave Sleepwell and Kurl-on MENA work to The Brand Bee in Sep 2026, split roster; Kurlon ran a digital pitch won by Tonic (Jun 2026).</t>
  </si>
  <si>
    <t xml:space="preserve">Kurlon appointed Tonic Worldwide as digital marketing partner.</t>
  </si>
  <si>
    <t xml:space="preserve">https://www.afaqs.com/news/newbizwins/kurlon-appoints-tonic-worldwide-as-digital-marketing-partner-12013101</t>
  </si>
  <si>
    <t xml:space="preserve">https://www.medianews4u.com/kurlon-awards-digital-marketing-mandate-to-tonic-worldwide/</t>
  </si>
  <si>
    <t xml:space="preserve">Lahori Zeera</t>
  </si>
  <si>
    <t xml:space="preserve">Lahori Zeera (Archian Foods)</t>
  </si>
  <si>
    <t xml:space="preserve">Lahori Zeera returned with a sequel campaign by Enormous in Jan 2026.</t>
  </si>
  <si>
    <t xml:space="preserve">https://www.afaqs.com/news/advertising/lahori-zeera-returns-with-a-sequel-not-a-reboot-10993407</t>
  </si>
  <si>
    <t xml:space="preserve">Lava Mobiles</t>
  </si>
  <si>
    <t xml:space="preserve">Lava International</t>
  </si>
  <si>
    <t xml:space="preserve">SW Network (Sociowash) (Social, since 2026)</t>
  </si>
  <si>
    <t xml:space="preserve">SW Network bagged the social media mandate for Lava Mobiles.</t>
  </si>
  <si>
    <t xml:space="preserve">https://www.afaqs.com/news/newbizwins/sw-network-bags-social-media-mandate-for-lava-mobiles-11258403</t>
  </si>
  <si>
    <t xml:space="preserve">Lay's</t>
  </si>
  <si>
    <t xml:space="preserve">PepsiCo India was ABBY 2026 Client of the Year; entrenched</t>
  </si>
  <si>
    <t xml:space="preserve">Leo won two Gold Effies (Effie India 2025) for Lay's 'Reframing How Farmers Look at Soil' and a Spikes Asia 2026 Gold.</t>
  </si>
  <si>
    <t xml:space="preserve">Lia Agarbatti</t>
  </si>
  <si>
    <t xml:space="preserve">Lia</t>
  </si>
  <si>
    <t xml:space="preserve">Cut The Crap (Creative) unconfirmed</t>
  </si>
  <si>
    <t xml:space="preserve">medianews4u Cut The Crap archive lists Lia Agarbatti's fragrance campaign (Nov 2023).</t>
  </si>
  <si>
    <t xml:space="preserve">https://www.medianews4u.com/tag/cut-the-crap/</t>
  </si>
  <si>
    <t xml:space="preserve">Limca</t>
  </si>
  <si>
    <t xml:space="preserve">Atom Network (Creative, since 2026)</t>
  </si>
  <si>
    <t xml:space="preserve">Account moved 2026-03 from VML's Studio X; Lost 2026-03 amid WPP Creative restructuring</t>
  </si>
  <si>
    <t xml:space="preserve">Coca-Cola's Limca shifted its creative mandate to Atom Network.</t>
  </si>
  <si>
    <t xml:space="preserve">https://www.storyboard18.com/advertising/coca-colas-limca-shifts-creative-mandate-to-atom-network-93735.htm</t>
  </si>
  <si>
    <t xml:space="preserve">Livpure</t>
  </si>
  <si>
    <t xml:space="preserve">SW Network (Sociowash) (Digital, since 2026); Weber Shandwick India (PR, since 2025)</t>
  </si>
  <si>
    <t xml:space="preserve">WS India churn: interim MD in 2025, new CEO Oct 2025, new president Jan 2026</t>
  </si>
  <si>
    <t xml:space="preserve">Livpure appointed SW Network to handle its digital communications.</t>
  </si>
  <si>
    <t xml:space="preserve">https://www.afaqs.com/news/newbizwins/livpure-appoints-weber-shandwick-as-communications-partner-10788859</t>
  </si>
  <si>
    <t xml:space="preserve">https://www.afaqs.com/news/newbizwins/livpure-appoints-sw-network-to-handle-digital-communications-11705112</t>
  </si>
  <si>
    <t xml:space="preserve">Lotte India</t>
  </si>
  <si>
    <t xml:space="preserve">Lotte Corporation</t>
  </si>
  <si>
    <t xml:space="preserve">Dentsu Creative India (Creative, since 2026)</t>
  </si>
  <si>
    <t xml:space="preserve">Freshly pitched; low near-term opportunity; Moved 2026-07; head of marketing Rachna Anbumani</t>
  </si>
  <si>
    <t xml:space="preserve">Appointed creative agency partner for Lotte India portfolio after a multi-agency pitch, run from Chennai.</t>
  </si>
  <si>
    <t xml:space="preserve">https://www.afaqs.com/news/newbizwins/dentsu-creative-india-bags-lottes-creative-mandate-12125904</t>
  </si>
  <si>
    <t xml:space="preserve">https://www.socialsamosa.com/industry-updates/dentsu-creative-creative-mandate-lotte-india-12125886</t>
  </si>
  <si>
    <t xml:space="preserve">Madhur Sugar</t>
  </si>
  <si>
    <t xml:space="preserve">Shree Renuka Sugars</t>
  </si>
  <si>
    <t xml:space="preserve">Webchutney created 'The Good Cut' packaging initiative for Madhur Sugar.</t>
  </si>
  <si>
    <t xml:space="preserve">https://www.medianews4u.com/madhur-sugar-dentsu-creative-webchutney-transform-packaging-with-the-good-cut-for-a-greener-tomorrow/</t>
  </si>
  <si>
    <t xml:space="preserve">MamyPoko Pants</t>
  </si>
  <si>
    <t xml:space="preserve">Unicharm India</t>
  </si>
  <si>
    <t xml:space="preserve">Grapes Worldwide (Social)</t>
  </si>
  <si>
    <t xml:space="preserve">Grapes Worldwide created the real-time AI-powered Poko's Day Out campaign for MamyPoko Pants.</t>
  </si>
  <si>
    <t xml:space="preserve">https://www.medianews4u.com/grapes-worldwide-crafts-real-time-ai-powered-campaign-pokos-day-out-for-mamypoko-pants/</t>
  </si>
  <si>
    <t xml:space="preserve">McCain India</t>
  </si>
  <si>
    <t xml:space="preserve">McCain Foods</t>
  </si>
  <si>
    <t xml:space="preserve">Schbang news centre lists #PartyShuruWithMcCain and Jugalbandi Diwali campaigns.</t>
  </si>
  <si>
    <t xml:space="preserve">https://www.afaqs.com/news/advertising/mccain-celebrates-family-bonds-and-festive-togetherness-with-usha-uthups-jugalbandi-campaign-10584487</t>
  </si>
  <si>
    <t xml:space="preserve">Mentos and Centerfruit</t>
  </si>
  <si>
    <t xml:space="preserve">Perfetti Van Melle India</t>
  </si>
  <si>
    <t xml:space="preserve">Schbang work page credits a Mentos Gen Z comeback; afaqs lists Centerfruit's Metro Mein Laplap (Feb 2025) under Schbang.</t>
  </si>
  <si>
    <t xml:space="preserve">Meta (India)</t>
  </si>
  <si>
    <t xml:space="preserve">Leo India (Creative, since 2022) unconfirmed</t>
  </si>
  <si>
    <t xml:space="preserve">No recent Leo credit found</t>
  </si>
  <si>
    <t xml:space="preserve">Leo Burnett India won the creative mandate for Meta in India (Apr 2022).</t>
  </si>
  <si>
    <t xml:space="preserve">2022-04</t>
  </si>
  <si>
    <t xml:space="preserve">https://www.medianews4u.com/leo-burnett-india-wins-the-creative-mandate-for-meta/</t>
  </si>
  <si>
    <t xml:space="preserve">Microtek</t>
  </si>
  <si>
    <t xml:space="preserve">Microtek International</t>
  </si>
  <si>
    <t xml:space="preserve">BBH India (Integrated, since 2023)</t>
  </si>
  <si>
    <t xml:space="preserve">BBH India won Microtek's integrated creative mandate (creative, digital, BTL, activation) after a multi-agency pitch.</t>
  </si>
  <si>
    <t xml:space="preserve">https://bestmediainfo.com/2023/08/bbh-india-wins-integrated-creative-mandate-of-microtek</t>
  </si>
  <si>
    <t xml:space="preserve">Milkbasket</t>
  </si>
  <si>
    <t xml:space="preserve">BBDO India landed Milkbasket's brand mandate in Feb 2022.</t>
  </si>
  <si>
    <t xml:space="preserve">https://campaignbriefasia.com/2022/02/08/bbdo-india-lands-milkbaskets-brand-mandate/</t>
  </si>
  <si>
    <t xml:space="preserve">Moov</t>
  </si>
  <si>
    <t xml:space="preserve">Havas Worldwide India credited for Moov pain relief campaign.</t>
  </si>
  <si>
    <t xml:space="preserve">https://www.medianews4u.com/moovs-campaign-stresses-pain-relief-commitment-for-all-ages/</t>
  </si>
  <si>
    <t xml:space="preserve">Mortein</t>
  </si>
  <si>
    <t xml:space="preserve">Havas credited for Mortein 2-in-1 spray film (Sep 2024) and 'Ab Raho Befikar' with Preity Zinta (Mar 2024).</t>
  </si>
  <si>
    <t xml:space="preserve">https://www.afaqs.com/tags/havas-creative-india</t>
  </si>
  <si>
    <t xml:space="preserve">Mother Dairy Fruit &amp; Vegetable Pvt Ltd</t>
  </si>
  <si>
    <t xml:space="preserve">Ogilvy India made Mother Dairy Flavoured Milk ads (Apr 2026) and launched its degradable milk pouch (Jun 2026).</t>
  </si>
  <si>
    <t xml:space="preserve">https://campaignbriefasia.com/2026/06/04/ogilvy-india-helps-mother-dairy-launch-indias-first-naturally-degradable-milk-pouch/</t>
  </si>
  <si>
    <t xml:space="preserve">Motorola India</t>
  </si>
  <si>
    <t xml:space="preserve">Dentsu Creative India (Integrated, since 2024)</t>
  </si>
  <si>
    <t xml:space="preserve">Two-plus years in; smartphone brands re-pitch often</t>
  </si>
  <si>
    <t xml:space="preserve">Won mainline and digital duties incl. social, ORM and listening after multi-agency pitch, Delhi office.</t>
  </si>
  <si>
    <t xml:space="preserve">https://www.dentsu.com/in/en/our-news/motorola-india-appoints-dentsu-creative-as-creative-partner</t>
  </si>
  <si>
    <t xml:space="preserve">Naukri.com</t>
  </si>
  <si>
    <t xml:space="preserve">Info Edge</t>
  </si>
  <si>
    <t xml:space="preserve">Lowe Lintas partnered Naukri.com on a Gen Z professionals campaign.</t>
  </si>
  <si>
    <t xml:space="preserve">https://www.medianews4u.com/lowe-lintas-and-naukri-team-up-for-a-youth-oriented-campaign/</t>
  </si>
  <si>
    <t xml:space="preserve">Navbharat Times</t>
  </si>
  <si>
    <t xml:space="preserve">Bennett Coleman (Times Group)</t>
  </si>
  <si>
    <t xml:space="preserve">Ulka (BBDO Group) (Creative) unconfirmed</t>
  </si>
  <si>
    <t xml:space="preserve">Navbharat Times and FCB Ulka launched 'Barabari Ki Bhasha'.</t>
  </si>
  <si>
    <t xml:space="preserve">https://www.medianews4u.com/navbharat-times-fcb-ulka-introduce-gender-inclusive-hindi-with-barabari-ki-bhasha/</t>
  </si>
  <si>
    <t xml:space="preserve">Navratna</t>
  </si>
  <si>
    <t xml:space="preserve">Emami</t>
  </si>
  <si>
    <t xml:space="preserve">BBH India (ex Publicis India) (Creative, since 2020) unconfirmed</t>
  </si>
  <si>
    <t xml:space="preserve">Old mandate, status not verified</t>
  </si>
  <si>
    <t xml:space="preserve">Publicis India to manage the creative mandate of Emami's Navratna (Jan 2020).</t>
  </si>
  <si>
    <t xml:space="preserve">2020-01</t>
  </si>
  <si>
    <t xml:space="preserve">https://www.medianews4u.com/publicis-india-to-manage-the-creative-mandate-of-emamis-power-brand-navratna/</t>
  </si>
  <si>
    <t xml:space="preserve">Neo by Nippon Paint</t>
  </si>
  <si>
    <t xml:space="preserve">Nippon Paint India</t>
  </si>
  <si>
    <t xml:space="preserve">Social Panga (Digital, since 2025)</t>
  </si>
  <si>
    <t xml:space="preserve">Social Panga won the marketing mandate for Neo by Nippon Paint.</t>
  </si>
  <si>
    <t xml:space="preserve">https://www.afaqs.com/news/newbizwins/social-panga-wins-the-marketing-mandate-for-neo-by-nippon-paint-9480460</t>
  </si>
  <si>
    <t xml:space="preserve">https://www.medianews4u.com/social-panga-bags-marketing-mandate-for-neo-by-nippon-paint/</t>
  </si>
  <si>
    <t xml:space="preserve">Nerolac Paints</t>
  </si>
  <si>
    <t xml:space="preserve">BBH India (ex Publicis India) (Creative) unconfirmed</t>
  </si>
  <si>
    <t xml:space="preserve">Historic relationship only; current agency unverified</t>
  </si>
  <si>
    <t xml:space="preserve">Social Samosa's legacy piece on Publicis India's fold into BBH cites Publicis Ambience's Nerolac Excel and Suraksha campaigns.</t>
  </si>
  <si>
    <t xml:space="preserve">https://www.socialsamosa.com/samosa-snippets/tracing-legacy-publicis-india-transition-into-bbh-11021947</t>
  </si>
  <si>
    <t xml:space="preserve">Nescafe</t>
  </si>
  <si>
    <t xml:space="preserve">Long tenure incumbent</t>
  </si>
  <si>
    <t xml:space="preserve">Social Samosa lists Nescafe among McCann India clients; McCann made a Gen Z Nescafe film in Mar 2025.</t>
  </si>
  <si>
    <t xml:space="preserve">NESCAFE Sunrise</t>
  </si>
  <si>
    <t xml:space="preserve">Webchutney conceptualised the coffee-farmer packaging campaign for NESCAFE Sunrise.</t>
  </si>
  <si>
    <t xml:space="preserve">https://www.medianews4u.com/nescafe-sunrise-launches-campaign-honoring-coffee-farmers/</t>
  </si>
  <si>
    <t xml:space="preserve">Nestle Milkmaid</t>
  </si>
  <si>
    <t xml:space="preserve">BBH India (Creative) unconfirmed</t>
  </si>
  <si>
    <t xml:space="preserve">Nestle Milkmaid named among BBH India brands with standout work (Apr 2025).</t>
  </si>
  <si>
    <t xml:space="preserve">Nilkamal</t>
  </si>
  <si>
    <t xml:space="preserve">The Womb won Nilkamal's brand communications mandate.</t>
  </si>
  <si>
    <t xml:space="preserve">https://www.afaqs.com/news/advertising/the-womb-wins-nilkamals-brand-communications-mandate-7305118</t>
  </si>
  <si>
    <t xml:space="preserve">Nissin Geki Korean Noodles</t>
  </si>
  <si>
    <t xml:space="preserve">Indo Nissin Foods</t>
  </si>
  <si>
    <t xml:space="preserve">Digital Refresh Networks won the digital mandate for Nissin Geki Korean Noodles.</t>
  </si>
  <si>
    <t xml:space="preserve">https://www.medianews4u.com/digital-refresh-networks-wins-digital-mandate-for-nissin-geki-korean-noodles/</t>
  </si>
  <si>
    <t xml:space="preserve">OPPO India</t>
  </si>
  <si>
    <t xml:space="preserve">OPPO Mobiles India</t>
  </si>
  <si>
    <t xml:space="preserve">RepIndia (Integrated, since 2025); Famous Innovations (Creative) unconfirmed</t>
  </si>
  <si>
    <t xml:space="preserve">OPPO moved integrated creative to RepIndia in Oct 2025</t>
  </si>
  <si>
    <t xml:space="preserve">RepIndia bagged the integrated creative mandate for OPPO India.</t>
  </si>
  <si>
    <t xml:space="preserve">https://www.afaqs.com/news/newbizwins/repindia-bags-integrated-creative-mandate-for-oppo-india-10541040</t>
  </si>
  <si>
    <t xml:space="preserve">https://www.afaqs.com/news/advertising/oppo-reveals-full-aawara-gang-story-with-siddhant-ishaan-pooja-following-ranbir-kapoors-teaser-9442028</t>
  </si>
  <si>
    <t xml:space="preserve">Origami</t>
  </si>
  <si>
    <t xml:space="preserve">Liqvd Asia won Origami's integrated marketing communications mandate (one of four wins, Mar 2026).</t>
  </si>
  <si>
    <t xml:space="preserve">PepsiCo India Foods &amp; Beverages (digital)</t>
  </si>
  <si>
    <t xml:space="preserve">PepsiCo</t>
  </si>
  <si>
    <t xml:space="preserve">Leo India's new VP Digital will lead the agency's digital business across PepsiCo India F&amp;B, HCL Group, Schneider Electric and California Almonds.</t>
  </si>
  <si>
    <t xml:space="preserve">Piramal Consumer Healthcare brands</t>
  </si>
  <si>
    <t xml:space="preserve">Piramal Pharma</t>
  </si>
  <si>
    <t xml:space="preserve">Punt Creative (Digital, since 2025)</t>
  </si>
  <si>
    <t xml:space="preserve">Punt Creative bagged digital duties for Piramal Consumer Healthcare's flagship brands.</t>
  </si>
  <si>
    <t xml:space="preserve">https://www.afaqs.com/news/newbizwins/punt-creative-bags-digital-duties-for-piramal-consumer-healthcares-flagship-brands-9762988</t>
  </si>
  <si>
    <t xml:space="preserve">Porter</t>
  </si>
  <si>
    <t xml:space="preserve">SmartShift Logistics</t>
  </si>
  <si>
    <t xml:space="preserve">22feet Tribal Worldwide (Digital, since 2022) unconfirmed</t>
  </si>
  <si>
    <t xml:space="preserve">22feet Tribal Worldwide won Porter's digital mandate in May 2022.</t>
  </si>
  <si>
    <t xml:space="preserve">Powerade</t>
  </si>
  <si>
    <t xml:space="preserve">Ogilvy India (Integrated, since 2026)</t>
  </si>
  <si>
    <t xml:space="preserve">Powerade's India launch film 'Fuel Your Power' with Shubman Gill and Neeraj Chopra was conceptualised by Ogilvy India.</t>
  </si>
  <si>
    <t xml:space="preserve">https://www.prnewswire.com/in/news-releases/powerade-enters-india-as-official-sports-drink-of-the-icc-mens-t20-world-cup-2026-302699467.html</t>
  </si>
  <si>
    <t xml:space="preserve">Prabhuji Pure Food</t>
  </si>
  <si>
    <t xml:space="preserve">Prabhuji</t>
  </si>
  <si>
    <t xml:space="preserve">Rediffusion (Creative, since 2025)</t>
  </si>
  <si>
    <t xml:space="preserve">Rediffusion Kolkata won creative and strategic communications mandate.</t>
  </si>
  <si>
    <t xml:space="preserve">https://www.afaqs.com/news/newbizwins/rediffusion-kolkata-awarded-creative-mandate-for-prabhuji-9009602</t>
  </si>
  <si>
    <t xml:space="preserve">Prega News</t>
  </si>
  <si>
    <t xml:space="preserve">Kinnect (Integrated, since 2025)</t>
  </si>
  <si>
    <t xml:space="preserve">FCB Kinnect won the full-funnel creative mandate after a pitch, covering creative, digital, influencer and SEO.</t>
  </si>
  <si>
    <t xml:space="preserve">https://www.afaqs.com/news/newbizwins/fcb-kinnect-wins-full-funnel-creative-mandate-for-prega-news-8742531</t>
  </si>
  <si>
    <t xml:space="preserve">Priyagold</t>
  </si>
  <si>
    <t xml:space="preserve">Surya Food &amp; Agro</t>
  </si>
  <si>
    <t xml:space="preserve">Creativefuel (Social, since 2026)</t>
  </si>
  <si>
    <t xml:space="preserve">Creativefuel won the social media and digital mandate for Priyagold.</t>
  </si>
  <si>
    <t xml:space="preserve">https://www.afaqs.com/news/newbizwins/creativefuel-wins-social-media-digital-mandate-for-priyagold-11092247</t>
  </si>
  <si>
    <t xml:space="preserve">https://www.medianews4u.com/creativefuel-bags-social-media-digital-mandate-for-priyagold/</t>
  </si>
  <si>
    <t xml:space="preserve">Protinex</t>
  </si>
  <si>
    <t xml:space="preserve">Digital film project; retainer unconfirmed</t>
  </si>
  <si>
    <t xml:space="preserve">Rediffusion scripted and RAIDS produced an AI film for Protinex.</t>
  </si>
  <si>
    <t xml:space="preserve">https://www.afaqs.com/news/advertising/rediffusion-raids-create-an-ai-film-for-danones-protinex-9331706</t>
  </si>
  <si>
    <t xml:space="preserve">Pulse Candy</t>
  </si>
  <si>
    <t xml:space="preserve">White Rivers Media (Content)</t>
  </si>
  <si>
    <t xml:space="preserve">White Rivers Media created AI storytelling and Maha Kumbh activations for Pulse Candy.</t>
  </si>
  <si>
    <t xml:space="preserve">https://www.medianews4u.com/ds-groups-pulse-candy-brings-maha-kumbh-to-life-with-ai-powered-storytelling-immersive-experiences/</t>
  </si>
  <si>
    <t xml:space="preserve">Quess Corp</t>
  </si>
  <si>
    <t xml:space="preserve">MSL India (PR, since 2025)</t>
  </si>
  <si>
    <t xml:space="preserve">B2B corporate PR</t>
  </si>
  <si>
    <t xml:space="preserve">Quess Corp appointed MSL India as strategic communications partner for corporate reputation after its demerger (May 2025).</t>
  </si>
  <si>
    <t xml:space="preserve">https://www.medianews4u.com/quess-corp-appoints-msl-india-as-strategic-communications-partner/</t>
  </si>
  <si>
    <t xml:space="preserve">Rasna</t>
  </si>
  <si>
    <t xml:space="preserve">Rasna Pvt Ltd</t>
  </si>
  <si>
    <t xml:space="preserve">Rasna launched 'Rasna Rich' with a nostalgic campaign listed under afaqs' Womb tag (Mar 2025).</t>
  </si>
  <si>
    <t xml:space="preserve">https://www.afaqs.com/news/advertising/rasna-launches-thick-concentrate-rasna-rich-with-a-nostalgic-campaign-8865647</t>
  </si>
  <si>
    <t xml:space="preserve">Real Fizzin'</t>
  </si>
  <si>
    <t xml:space="preserve">Lowe Lintas tag lists the Real Fizzin' launch with Sidharth Malhotra.</t>
  </si>
  <si>
    <t xml:space="preserve">https://www.medianews4u.com/its-fizzin-amazing-sidharth-malhotra-endorses-daburs-real-fizzin-beverages-range/</t>
  </si>
  <si>
    <t xml:space="preserve">realme</t>
  </si>
  <si>
    <t xml:space="preserve">Realme</t>
  </si>
  <si>
    <t xml:space="preserve">Creativeland Asia (Social, since 2026)</t>
  </si>
  <si>
    <t xml:space="preserve">Social moved 2026-04</t>
  </si>
  <si>
    <t xml:space="preserve">Creativeland Asia won the social media mandate for Realme.</t>
  </si>
  <si>
    <t xml:space="preserve">https://www.afaqs.com/news/newbizwins/creativeland-asia-wins-social-media-mandate-for-realme-11458316</t>
  </si>
  <si>
    <t xml:space="preserve">redBus</t>
  </si>
  <si>
    <t xml:space="preserve">MakeMyTrip Group</t>
  </si>
  <si>
    <t xml:space="preserve">No Leo credit seen on redBus 2025 to 2026 regional campaigns</t>
  </si>
  <si>
    <t xml:space="preserve">afaqs files redBus' Gautham Vasudev Menon ad series (Sep 2024) under Leo Burnett India.</t>
  </si>
  <si>
    <t xml:space="preserve">Revital H</t>
  </si>
  <si>
    <t xml:space="preserve">Sun Pharmaceutical Industries</t>
  </si>
  <si>
    <t xml:space="preserve">afaqs Ogilvy India tag lists the Jul 2026 Revital stress ad with Vicky Kaushal.</t>
  </si>
  <si>
    <t xml:space="preserve">https://www.afaqs.com/news/advertising/revital-highlights-the-impact-of-stress-in-new-ad-with-vicky-kaushal-12166198</t>
  </si>
  <si>
    <t xml:space="preserve">Rimzim Jeera</t>
  </si>
  <si>
    <t xml:space="preserve">Talented (Creative, since 2026)</t>
  </si>
  <si>
    <t xml:space="preserve">Coca-Cola India relaunched Rimzim Jeera with an R.D. Burman led campaign crafted by Talented.</t>
  </si>
  <si>
    <t xml:space="preserve">https://www.afaqs.com/news/advertising/when-beera-became-jeera-how-talented-crafted-a-rd-burman-earworm-for-rimzims-return-11159354</t>
  </si>
  <si>
    <t xml:space="preserve">Saridon and Supradyn</t>
  </si>
  <si>
    <t xml:space="preserve">Bayer India</t>
  </si>
  <si>
    <t xml:space="preserve">Lintas Live won PR and social media mandates for Saridon and Supradyn.</t>
  </si>
  <si>
    <t xml:space="preserve">https://www.medianews4u.com/lintas-live-wins-social-media-pr-mandates-for-bayer-indias-saridon-supradyn/</t>
  </si>
  <si>
    <t xml:space="preserve">Sensodent</t>
  </si>
  <si>
    <t xml:space="preserve">Indoco Remedies</t>
  </si>
  <si>
    <t xml:space="preserve">Sensodent Group appointed FCB Ulka as creative agency on record after a multi-agency pitch.</t>
  </si>
  <si>
    <t xml:space="preserve">https://www.medianews4u.com/fcb-ulka-bags-creative-mandate-for-sensodent-group/</t>
  </si>
  <si>
    <t xml:space="preserve">ShareChat and Moj</t>
  </si>
  <si>
    <t xml:space="preserve">Mohalla Tech</t>
  </si>
  <si>
    <t xml:space="preserve">Schbang (Social, since 2023) unconfirmed</t>
  </si>
  <si>
    <t xml:space="preserve">Three-plus years in, likely review window.</t>
  </si>
  <si>
    <t xml:space="preserve">Schbang won ShareChat and Moj's social and content mandate after a multi-agency pitch in Apr 2023.</t>
  </si>
  <si>
    <t xml:space="preserve">https://www.afaqs.com/news/advertising/schbang-bags-the-social-media-mandate-for-sharechat-and-moj</t>
  </si>
  <si>
    <t xml:space="preserve">Smart Bazaar</t>
  </si>
  <si>
    <t xml:space="preserve">McCann India (Creative, since 2025)</t>
  </si>
  <si>
    <t xml:space="preserve">Reliance spreads work across many Omnicom units; CMO Surabhi Sen</t>
  </si>
  <si>
    <t xml:space="preserve">Reliance Retail appointed McCann Worldgroup India to lead creative for Smart Bazaar.</t>
  </si>
  <si>
    <t xml:space="preserve">https://www.afaqs.com/news/newbizwins/smart-bazaar-appoints-mccann-worldgroup-india-to-lead-creative-mandate-9765343</t>
  </si>
  <si>
    <t xml:space="preserve">Softovac</t>
  </si>
  <si>
    <t xml:space="preserve">LupinLife Consumer Healthcare</t>
  </si>
  <si>
    <t xml:space="preserve">Contract Advertising (VML) (Digital)</t>
  </si>
  <si>
    <t xml:space="preserve">Contract Advertising (a VML company) conceptualised the May 2026 digital first 'Kabz Ka Kabza' campaign with Varun Dhawan.</t>
  </si>
  <si>
    <t xml:space="preserve">https://www.medianews4u.com/varun-dhawan-headlines-softovacs-new-digital-campaign-kabz-ka-kabza-conceptualised-by-contract-advertising/</t>
  </si>
  <si>
    <t xml:space="preserve">Sony Entertainment Television, SAB, MAX, MAX 2</t>
  </si>
  <si>
    <t xml:space="preserve">Culver Max Entertainment (Sony)</t>
  </si>
  <si>
    <t xml:space="preserve">Dentsu Creative India (Social, since 2024)</t>
  </si>
  <si>
    <t xml:space="preserve">Won digital and social mandate for four Sony channels after multi-agency pitch, Mumbai.</t>
  </si>
  <si>
    <t xml:space="preserve">https://www.dentsu.com/in/en/our-news/dentsu-creative-india-bags-digital-mandate-for-sony-entertainment-television</t>
  </si>
  <si>
    <t xml:space="preserve">Sprite</t>
  </si>
  <si>
    <t xml:space="preserve">VML India (Creative); Monk-E (Content) unconfirmed</t>
  </si>
  <si>
    <t xml:space="preserve">VML India's Sprite 'Takadum' won a Big Blue Elephant at Kyoorius Creative Awards 2026.</t>
  </si>
  <si>
    <t xml:space="preserve">https://www.adgully.com/post/16000/vml-india-bags-black-elephant-at-kyoorius-creative-awards-2026</t>
  </si>
  <si>
    <t xml:space="preserve">https://monk-e.in/</t>
  </si>
  <si>
    <t xml:space="preserve">Star Cement</t>
  </si>
  <si>
    <t xml:space="preserve">Star Cement Ltd</t>
  </si>
  <si>
    <t xml:space="preserve">VML India (Creative, since 2024)</t>
  </si>
  <si>
    <t xml:space="preserve">VML India made Star Cement films with Lovelina Borgohain in Oct 2024 and Mar 2025.</t>
  </si>
  <si>
    <t xml:space="preserve">https://campaignbriefasia.com/2025/03/07/star-cement-champions-north-east-spirit-with-boxer-lovelina-borgohain-in-vml-india-film/</t>
  </si>
  <si>
    <t xml:space="preserve">Sting Energy</t>
  </si>
  <si>
    <t xml:space="preserve">Leo India won a Cannes Lions 2026 Silver for Sting's F1 'The Unofficial Official Sound of F1'; the F1 mandate is global and led from India.</t>
  </si>
  <si>
    <t xml:space="preserve">https://www.afaqs.com/news/advertising/india-ends-cannes-lions-2026-run-with-just-five-metals-12110431</t>
  </si>
  <si>
    <t xml:space="preserve">Storia</t>
  </si>
  <si>
    <t xml:space="preserve">Storia Foods &amp; Beverages</t>
  </si>
  <si>
    <t xml:space="preserve">Publicis Beehive (Creative) unconfirmed</t>
  </si>
  <si>
    <t xml:space="preserve">Storia's shakes campaign across OTT, TV, digital and social (Apr 2021) is tagged to Publicis Beehive.</t>
  </si>
  <si>
    <t xml:space="preserve">2021-04</t>
  </si>
  <si>
    <t xml:space="preserve">https://www.medianews4u.com/storia-unveils-marketing-campaign-for-their-range-of-shakes-ads-to-span-across-ott-tv-digital-and-social-media/</t>
  </si>
  <si>
    <t xml:space="preserve">Sugar Free</t>
  </si>
  <si>
    <t xml:space="preserve">VML India's May 2025 campaign with Janhvi Kapoor kicked off Sugar Free's health evolution.</t>
  </si>
  <si>
    <t xml:space="preserve">https://www.medianews4u.com/vml-indias-new-campaign-with-janhvi-kapoor-kicks-off-sugar-frees-health-evolution/</t>
  </si>
  <si>
    <t xml:space="preserve">Sunfeast YiPPee!</t>
  </si>
  <si>
    <t xml:space="preserve">Ogilvy India made the Feb 2026 Sunfeast YiPPee! Magic Masala film with Jasprit Bumrah.</t>
  </si>
  <si>
    <t xml:space="preserve">https://campaignbriefasia.com/2026/02/12/jasprit-bumrah-shows-his-fun-side-in-sunfeast-yippee-magic-masala-film-via-ogilvy-india/</t>
  </si>
  <si>
    <t xml:space="preserve">Swiggy</t>
  </si>
  <si>
    <t xml:space="preserve">Talented (Creative, since 2022) unconfirmed</t>
  </si>
  <si>
    <t xml:space="preserve">Swiggy spreads work across Talented and Moonshot (Instamart), no single AOR</t>
  </si>
  <si>
    <t xml:space="preserve">Talented's 'Why Is This A Swiggy Ad?' won Cannes 2023 metal; Swiggy is listed as a Talented client.</t>
  </si>
  <si>
    <t xml:space="preserve">Swiggy Dineout</t>
  </si>
  <si>
    <t xml:space="preserve">White Rivers Media (Content, since 2023) unconfirmed</t>
  </si>
  <si>
    <t xml:space="preserve">White Rivers Media made the #TogetherWaliDiwali digital film for Swiggy Dineout.</t>
  </si>
  <si>
    <t xml:space="preserve">Symphony</t>
  </si>
  <si>
    <t xml:space="preserve">Symphony Ltd</t>
  </si>
  <si>
    <t xml:space="preserve">Symphony launched a hard water geyser ad via The Womb; Symphony listed as client in 2026.</t>
  </si>
  <si>
    <t xml:space="preserve">Tata Power</t>
  </si>
  <si>
    <t xml:space="preserve">Rediffusion is Tata Power's creative agency, extending the 'Duniya Apne Hawale' platform with an AI film.</t>
  </si>
  <si>
    <t xml:space="preserve">https://www.afaqs.com/news/advertising/rediffusion-unveils-ai-generated-christmas-film-for-tata-power-8543786</t>
  </si>
  <si>
    <t xml:space="preserve">Thums Up</t>
  </si>
  <si>
    <t xml:space="preserve">Coca-Cola India splits brands between VML and Ogilvy</t>
  </si>
  <si>
    <t xml:space="preserve">VML India and Thums Up introduced a two hands ritual with Shah Rukh Khan in Sep 2025.</t>
  </si>
  <si>
    <t xml:space="preserve">https://campaignbriefasia.com/2025/09/02/vml-india-and-thums-up-introduce-two-hands-ritual-with-shah-rukh-khan-and-jagapathi-babu/</t>
  </si>
  <si>
    <t xml:space="preserve">Tiger Balm</t>
  </si>
  <si>
    <t xml:space="preserve">Haw Par Healthcare</t>
  </si>
  <si>
    <t xml:space="preserve">BC Web Wise (Social)</t>
  </si>
  <si>
    <t xml:space="preserve">BC Web Wise and Tiger Balm ran an International Tigers Day forest guards initiative.</t>
  </si>
  <si>
    <t xml:space="preserve">https://www.medianews4u.com/bc-web-wise-tiger-balm-shine-spotlight-on-forest-guards-this-international-tigers-day/</t>
  </si>
  <si>
    <t xml:space="preserve">Tirupati Edible Oils</t>
  </si>
  <si>
    <t xml:space="preserve">Tirupati Group</t>
  </si>
  <si>
    <t xml:space="preserve">VML India gave Tirupati 'Breathless' a festive twist with Siddharth Mahadevan in Oct 2025.</t>
  </si>
  <si>
    <t xml:space="preserve">https://www.medianews4u.com/vml-india-and-tirupati-edible-oils-bring-a-festive-twist-to-breathless-with-siddharth-mahadevan/</t>
  </si>
  <si>
    <t xml:space="preserve">Titan Eye+</t>
  </si>
  <si>
    <t xml:space="preserve">Ogilvy India's 'Ek Tara Project' and 'Eye Test Menu' for Titan Eye+ were Cannes Lions 2026 shortlists.</t>
  </si>
  <si>
    <t xml:space="preserve">Too Yumm!</t>
  </si>
  <si>
    <t xml:space="preserve">RP-Sanjiv Goenka Group (Guiltfree Industries)</t>
  </si>
  <si>
    <t xml:space="preserve">Curativity (Creative) unconfirmed</t>
  </si>
  <si>
    <t xml:space="preserve">Too Yumm's brand repositioning and Twisties ad is tagged to Curativity (Feb 2024).</t>
  </si>
  <si>
    <t xml:space="preserve">https://www.afaqs.com/news/advertising/too-yumm-revamps-brand-positioning-introduces-twisties-snack-in-new-ad</t>
  </si>
  <si>
    <t xml:space="preserve">Truecaller</t>
  </si>
  <si>
    <t xml:space="preserve">Truecaller AB</t>
  </si>
  <si>
    <t xml:space="preserve">Thinkstr (Creative, since 2021) unconfirmed</t>
  </si>
  <si>
    <t xml:space="preserve">Five year old mandate with no visible recent work, likely dormant</t>
  </si>
  <si>
    <t xml:space="preserve">Truecaller awarded its India creative duties to Thinkstr in 2021; no newer work found.</t>
  </si>
  <si>
    <t xml:space="preserve">https://www.afaqs.com/news/advertising/truecaller-awards-creative-duties-to-thinkstr</t>
  </si>
  <si>
    <t xml:space="preserve">TTK Healthcare brands</t>
  </si>
  <si>
    <t xml:space="preserve">Dentsu Creative India expanded its TTK Healthcare mandate to include social media and media duties.</t>
  </si>
  <si>
    <t xml:space="preserve">https://www.socialsamosa.com/industry-updates/dentsu-creative-india-expands-mandate-ttk-healthcare-3587888</t>
  </si>
  <si>
    <t xml:space="preserve">Urbn</t>
  </si>
  <si>
    <t xml:space="preserve">Urbn (power banks)</t>
  </si>
  <si>
    <t xml:space="preserve">Curativity (Creative, since 2024) unconfirmed</t>
  </si>
  <si>
    <t xml:space="preserve">Urbn appointed Curativity, the agency of ex MullenLowe Lintas leaders, as creative partner.</t>
  </si>
  <si>
    <t xml:space="preserve">https://www.afaqs.com/news/advertising/urbn-appoints-curativity-as-creative-partner</t>
  </si>
  <si>
    <t xml:space="preserve">Vanish</t>
  </si>
  <si>
    <t xml:space="preserve">Havas Worldwide India developed the #VanishTheDifference school uniform film.</t>
  </si>
  <si>
    <t xml:space="preserve">https://www.afaqs.com/news/advertising/vanish-aims-to-make-uniforms-uniform-again-with-vanishthedifference-campaign</t>
  </si>
  <si>
    <t xml:space="preserve">Veeba</t>
  </si>
  <si>
    <t xml:space="preserve">Veeba Food Services</t>
  </si>
  <si>
    <t xml:space="preserve">afaqs lists Veeba among Enormous clients.</t>
  </si>
  <si>
    <t xml:space="preserve">Vibhor Oils</t>
  </si>
  <si>
    <t xml:space="preserve">Vibhor Vegetable Oils</t>
  </si>
  <si>
    <t xml:space="preserve">Grapes Worldwide crafted the Kuch Bhi campaign for Vibhor Oils.</t>
  </si>
  <si>
    <t xml:space="preserve">https://www.medianews4u.com/grapes-worldwide-crafts-new-kuch-bhi-campaign-for-vibhor-oils/</t>
  </si>
  <si>
    <t xml:space="preserve">Vim</t>
  </si>
  <si>
    <t xml:space="preserve">Lowe Lintas tag lists Vim's 'Equal Vows' campaign.</t>
  </si>
  <si>
    <t xml:space="preserve">https://www.medianews4u.com/vims-equal-vows-campaign-champions-gender-equality-in-households-with-collaborative-partnerships/</t>
  </si>
  <si>
    <t xml:space="preserve">Voltas</t>
  </si>
  <si>
    <t xml:space="preserve">Schbang news centre lists Voltas Zest AI AC campaigns.</t>
  </si>
  <si>
    <t xml:space="preserve">Wipro Consumer Care</t>
  </si>
  <si>
    <t xml:space="preserve">Wipro Enterprises</t>
  </si>
  <si>
    <t xml:space="preserve">Wavemaker (WPP Media) (Media, since 2026)</t>
  </si>
  <si>
    <t xml:space="preserve">Media consolidated 2026-04; Santoor creative moved to Tilt the same month</t>
  </si>
  <si>
    <t xml:space="preserve">Wipro Consumer Care consolidated its media mandate with Wavemaker after a Rs 200 crore pitch.</t>
  </si>
  <si>
    <t xml:space="preserve">https://www.afaqs.com/news/newbizwins/wipro-consumer-care-appoints-wavemaker-as-integrated-media-partner-11442219</t>
  </si>
  <si>
    <t xml:space="preserve">Wonder Cement</t>
  </si>
  <si>
    <t xml:space="preserve">The Womb (Creative, since 2026); The Womb (Integrated, since 2026)</t>
  </si>
  <si>
    <t xml:space="preserve">Creative moved 2026-05; media went to BigTrunk 2026-06; Womb in advanced acquisition talks with Accenture Song (Jul 2026), clients may reassess</t>
  </si>
  <si>
    <t xml:space="preserve">The Womb won Wonder Cement's creative and strategy mandate.</t>
  </si>
  <si>
    <t xml:space="preserve">https://www.afaqs.com/news/newbizwins/the-womb-wins-wonder-cements-creative-and-strategy-mandate-11878818</t>
  </si>
  <si>
    <t xml:space="preserve">https://manifest-media.in/advertising/270526/the-womb-bags-wonder-cements-brand-strategy-and-creative-mandate.html</t>
  </si>
  <si>
    <t xml:space="preserve">ZEE5</t>
  </si>
  <si>
    <t xml:space="preserve">BBH India (ex Publicis India) (Creative, since 2019) unconfirmed</t>
  </si>
  <si>
    <t xml:space="preserve">Seven-year-old mandate, status not verified</t>
  </si>
  <si>
    <t xml:space="preserve">Publicis Capital won ZEE5 India's creative mandate across AVOD, SVOD, regional and trade (Jun 2019).</t>
  </si>
  <si>
    <t xml:space="preserve">2019-06</t>
  </si>
  <si>
    <t xml:space="preserve">https://www.agencyreporter.com/publicis-capital-bags-the-creative-mandate-of-zee5-india/</t>
  </si>
  <si>
    <t xml:space="preserve">Zupee</t>
  </si>
  <si>
    <t xml:space="preserve">afaqs files Zupee's star-studded Ludo history ad (Jun 2024) under Leo Burnett India.</t>
  </si>
  <si>
    <t xml:space="preserve">Aakash Educational Services</t>
  </si>
  <si>
    <t xml:space="preserve">Havas Media India (Media, since 2026); Sideways (Creative, since 2024)</t>
  </si>
  <si>
    <t xml:space="preserve">Media moved 2026-03; Parent BYJU'S insolvency turmoil could force budget cuts or agency review</t>
  </si>
  <si>
    <t xml:space="preserve">Havas Media Network bagged the media mandate for Aakash Educational Services.</t>
  </si>
  <si>
    <t xml:space="preserve">https://www.afaqs.com/news/newbizwins/havas-media-network-bags-media-mandate-for-aakash-educational-services-11438357</t>
  </si>
  <si>
    <t xml:space="preserve">Frankfinn Institute</t>
  </si>
  <si>
    <t xml:space="preserve">Frankfinn Aviation Services</t>
  </si>
  <si>
    <t xml:space="preserve">Hashtag Orange won Frankfinn's end-to-end communication, social and performance mandate.</t>
  </si>
  <si>
    <t xml:space="preserve">LEAD School</t>
  </si>
  <si>
    <t xml:space="preserve">LEAD Group</t>
  </si>
  <si>
    <t xml:space="preserve">TBWA\Lintas (Integrated, since 2021) unconfirmed</t>
  </si>
  <si>
    <t xml:space="preserve">TBWA and PHD won the creative and media mandate for LEAD School in Jun 2021.</t>
  </si>
  <si>
    <t xml:space="preserve">https://news.google.com/rss/search?q=%22TBWA%22+India+mandate+OR+wins+OR+bags&amp;hl=en-IN&amp;gl=IN&amp;ceid=IN:en</t>
  </si>
  <si>
    <t xml:space="preserve">Navneet</t>
  </si>
  <si>
    <t xml:space="preserve">Navneet Education</t>
  </si>
  <si>
    <t xml:space="preserve">afaqs lists Navneet among Enormous clients.</t>
  </si>
  <si>
    <t xml:space="preserve">NICMAR</t>
  </si>
  <si>
    <t xml:space="preserve">NICMAR University</t>
  </si>
  <si>
    <t xml:space="preserve">NICMAR appointed Tonic Worldwide as integrated digital marketing partner.</t>
  </si>
  <si>
    <t xml:space="preserve">https://www.afaqs.com/marketing/nicmar-appoints-tonic-worldwide-as-integrated-digital-marketing-partner-10560074</t>
  </si>
  <si>
    <t xml:space="preserve">Sportz Village</t>
  </si>
  <si>
    <t xml:space="preserve">Scarecrow M&amp;C Saatchi (Creative) unconfirmed</t>
  </si>
  <si>
    <t xml:space="preserve">Sportz Village's sports in schools campaign is tagged to Scarecrow M&amp;C Saatchi.</t>
  </si>
  <si>
    <t xml:space="preserve">https://www.afaqs.com/news/advertising/sportz-village-advocates-for-sports-in-schools-in-its-new-campaign</t>
  </si>
  <si>
    <t xml:space="preserve">UniScholars</t>
  </si>
  <si>
    <t xml:space="preserve">BBH India won UniScholars' creative duties (Jul 2023).</t>
  </si>
  <si>
    <t xml:space="preserve">https://www.medianews4u.com/bbh-india-wins-unischolars-creative-duties/</t>
  </si>
  <si>
    <t xml:space="preserve">UPES</t>
  </si>
  <si>
    <t xml:space="preserve">Propagate India (Publicis) (Digital) unconfirmed</t>
  </si>
  <si>
    <t xml:space="preserve">afaqs files UPES ON's 'Driving Tomorrow' and 'REBEL' campaigns (Jan 2024) under Saatchi &amp; Saatchi Propagate; Publicis India held UPES integrated comms from 2020.</t>
  </si>
  <si>
    <t xml:space="preserve">https://www.afaqs.com/tags/saatchi-saatchi-propagate</t>
  </si>
  <si>
    <t xml:space="preserve">upGrad</t>
  </si>
  <si>
    <t xml:space="preserve">upGrad Education</t>
  </si>
  <si>
    <t xml:space="preserve">The Womb (Creative); BBH India (Creative, since 2023) unconfirmed</t>
  </si>
  <si>
    <t xml:space="preserve">UpGrad is listed among The Womb's clients.</t>
  </si>
  <si>
    <t xml:space="preserve">https://www.medianews4u.com/bbh-india-to-handle-upcoming-upgrad-campaign-to-reposition-brand/</t>
  </si>
  <si>
    <t xml:space="preserve">Kiehl's India</t>
  </si>
  <si>
    <t xml:space="preserve">L'Oreal (Luxe)</t>
  </si>
  <si>
    <t xml:space="preserve">L'Oreal India reset media (Publicis replaced Wavemaker, 2026); broader roster may be reviewed.</t>
  </si>
  <si>
    <t xml:space="preserve">Crosshairs case study: ran Kiehl's India PR and social, grew Instagram from 50K to 100K+ with 500+ influencers.</t>
  </si>
  <si>
    <t xml:space="preserve">Mask360 client group (L'Oreal): expand</t>
  </si>
  <si>
    <t xml:space="preserve">Garnier Men</t>
  </si>
  <si>
    <t xml:space="preserve">L'Oreal India</t>
  </si>
  <si>
    <t xml:space="preserve">BBH India (Social)</t>
  </si>
  <si>
    <t xml:space="preserve">L'Oreal India moved media to Zenith (May 2026) and gets a new country manager Oct 2026; possible creative review</t>
  </si>
  <si>
    <t xml:space="preserve">BBH India won a Cannes 2025 Bronze Lion (Social &amp; Creator) for 'Bassi vs Garnier Men Facewash'.</t>
  </si>
  <si>
    <t xml:space="preserve">https://www.medianews4u.com/bbh-india-brings-home-a-bronze-lion-for-bassi-vs-garnier-men-facewash-campaign/</t>
  </si>
  <si>
    <t xml:space="preserve">L'Oreal</t>
  </si>
  <si>
    <t xml:space="preserve">Publicis Media (Media, since 2026); Schbang (Digital)</t>
  </si>
  <si>
    <t xml:space="preserve">Leadership change, Long tenure, Just moved (honeymoon)</t>
  </si>
  <si>
    <t xml:space="preserve">Media moved 2026-05 ending a 15 plus year incumbency; Relationship reset under a CDMO-led beauty tech agenda; creative, social and PR slots may follow.; New India country manager Jacques Lebel from Oct 2026; luxe brands' creative, social and PR may be reviewed next; Co-founder Akshay Gurnani exited Mar 2025; Bangalore head Sushant Vithaldas left May 2025.; Lost 2026-05 after 15 plus years; Incumbent of 15+ years lost; client open to change.</t>
  </si>
  <si>
    <t xml:space="preserve">L'Oreal India appointed Publicis Media as integrated media AOR, effective 2026-09, after a strategic review.</t>
  </si>
  <si>
    <t xml:space="preserve">https://www.storyboard18.com/agency-news/loreal-india-appoints-publicis-media-as-integrated-media-agency-after-strategic-review-99678.htm</t>
  </si>
  <si>
    <t xml:space="preserve">Date</t>
  </si>
  <si>
    <t xml:space="preserve">What is happening</t>
  </si>
  <si>
    <t xml:space="preserve">Agency involved</t>
  </si>
  <si>
    <t xml:space="preserve">Agency status</t>
  </si>
  <si>
    <t xml:space="preserve">Mandate</t>
  </si>
  <si>
    <t xml:space="preserve">Evidence</t>
  </si>
  <si>
    <t xml:space="preserve">Source</t>
  </si>
  <si>
    <t xml:space="preserve">Appointed 2026-09 with no pitch disclosed; PR, film and experiential not assigned in sources</t>
  </si>
  <si>
    <t xml:space="preserve">INNOCEAN India</t>
  </si>
  <si>
    <t xml:space="preserve">Won recently</t>
  </si>
  <si>
    <t xml:space="preserve">Digital</t>
  </si>
  <si>
    <t xml:space="preserve">INNOCEAN India won digital strategy, creative direction and social for GianChand Single Malt across India and international markets.</t>
  </si>
  <si>
    <t xml:space="preserve">https://www.afaqs.com/news/newbizwins/innocean-india-wins-digital-and-social-mandate-for-gianchand-single-malt-12539501</t>
  </si>
  <si>
    <t xml:space="preserve">Unclear</t>
  </si>
  <si>
    <t xml:space="preserve">Integrated</t>
  </si>
  <si>
    <t xml:space="preserve">Boomerang Collaborations</t>
  </si>
  <si>
    <t xml:space="preserve">PR</t>
  </si>
  <si>
    <t xml:space="preserve">Pollinate Labs</t>
  </si>
  <si>
    <t xml:space="preserve">Creative</t>
  </si>
  <si>
    <t xml:space="preserve">Leadership reset 2026-09 (new CEO-designate, comms head exit); media moved 2026-06; creative incumbent not verified</t>
  </si>
  <si>
    <t xml:space="preserve">Air India's global communications head Partha Ghosh exited after CEO Campbell Wilson's exit; CEO-designate Tewolde Gebremariam is charting the next phase.</t>
  </si>
  <si>
    <t xml:space="preserve">https://www.afaqs.com/people-spotting/partha-ghosh-exits-air-india-after-three-and-a-half-years-12558443</t>
  </si>
  <si>
    <t xml:space="preserve">New content and creative head 2026-09</t>
  </si>
  <si>
    <t xml:space="preserve">CMO exit 2026-09; former CEO Nandita Sinha moved to Swiggy Instamart 2026-07; new CMO likely to review roster</t>
  </si>
  <si>
    <t xml:space="preserve">Myntra CMO Sunder Balasubramanian exited after nearly four years.</t>
  </si>
  <si>
    <t xml:space="preserve">https://www.storyboard18.com/brand-makers/myntra-cmo-sunder-balasubramanian-exits-after-4-years-ws-l-111600.htm</t>
  </si>
  <si>
    <t xml:space="preserve">Marketing chief exit 2026-09</t>
  </si>
  <si>
    <t xml:space="preserve">Category marketing head exit 2026-09</t>
  </si>
  <si>
    <t xml:space="preserve">New F&amp;B marketing head 2026-08</t>
  </si>
  <si>
    <t xml:space="preserve">Full agency roster reset 2026-07 to 2026-08</t>
  </si>
  <si>
    <t xml:space="preserve">WPP Media</t>
  </si>
  <si>
    <t xml:space="preserve">Media</t>
  </si>
  <si>
    <t xml:space="preserve">https://www.afaqs.com/news/newbizwins/wpp-media-wins-integrated-media-mandate-for-lt-foods-daawat-12391507</t>
  </si>
  <si>
    <t xml:space="preserve">OOH only assigned 2026-08; brand scaling with a superstar ambassador; Project OOH mandate only, brand film and social likely with other agencies</t>
  </si>
  <si>
    <t xml:space="preserve">a Simple agency</t>
  </si>
  <si>
    <t xml:space="preserve">a Simple agency won Foxtale's OOH mandate featuring Shah Rukh Khan.</t>
  </si>
  <si>
    <t xml:space="preserve">AdLift (Liqvd Asia)</t>
  </si>
  <si>
    <t xml:space="preserve">Apostrophe Ventures</t>
  </si>
  <si>
    <t xml:space="preserve">Social moved 2026-08</t>
  </si>
  <si>
    <t xml:space="preserve">Liqvd Asia</t>
  </si>
  <si>
    <t xml:space="preserve">Social</t>
  </si>
  <si>
    <t xml:space="preserve">Maars Communicates</t>
  </si>
  <si>
    <t xml:space="preserve">Appointed 2026-08; social, PR and experiential scope not disclosed</t>
  </si>
  <si>
    <t xml:space="preserve">Punt Creative</t>
  </si>
  <si>
    <t xml:space="preserve">Punt Creative won the communication mandate for PizzaExpress India.</t>
  </si>
  <si>
    <t xml:space="preserve">Won 2026-08; SVP marketing Monalisa Mandal is building a new agency roster across the portfolio</t>
  </si>
  <si>
    <t xml:space="preserve">Social Panga</t>
  </si>
  <si>
    <t xml:space="preserve">Social Panga won social strategy, content and campaigns for DeVANS' beer and gin brands.</t>
  </si>
  <si>
    <t xml:space="preserve">SW Network (Sociowash)</t>
  </si>
  <si>
    <t xml:space="preserve">Performance</t>
  </si>
  <si>
    <t xml:space="preserve">New chairman 2026-08; JSW also in talks for Volkswagen India</t>
  </si>
  <si>
    <t xml:space="preserve">Open creative pitch called 2026-08, over 300 agency responses, shortlisting underway; incumbent not disclosed</t>
  </si>
  <si>
    <t xml:space="preserve">In review</t>
  </si>
  <si>
    <t xml:space="preserve">McCann India</t>
  </si>
  <si>
    <t xml:space="preserve">OMD India</t>
  </si>
  <si>
    <t xml:space="preserve">Media moved 2026-08; TVS named Peyman Kargar CEO 2026-08; premium motorcycle push</t>
  </si>
  <si>
    <t xml:space="preserve">Dentsu Creative India</t>
  </si>
  <si>
    <t xml:space="preserve">Havas Media India</t>
  </si>
  <si>
    <t xml:space="preserve">Lost 2026-08; Madison acquisition saga unresolved</t>
  </si>
  <si>
    <t xml:space="preserve">Madison Media</t>
  </si>
  <si>
    <t xml:space="preserve">Recently lost</t>
  </si>
  <si>
    <t xml:space="preserve">Madison World lost TVS Motor's media mandate to Dentsu, ending a long relationship.</t>
  </si>
  <si>
    <t xml:space="preserve">Team Pumpkin</t>
  </si>
  <si>
    <t xml:space="preserve">New head of marketing from 2026-09 with AI and data focus; rival BMW moved creative 2026-01</t>
  </si>
  <si>
    <t xml:space="preserve">Mercedes-Benz India elevated Nandita Godbole to head of marketing from 2026-09, replacing Amrit Baid.</t>
  </si>
  <si>
    <t xml:space="preserve">New sports property 2026-07 needing content and experiential support</t>
  </si>
  <si>
    <t xml:space="preserve">Experiential</t>
  </si>
  <si>
    <t xml:space="preserve">Mercedes-Benz India joined the Indian Padel Tour as title partner.</t>
  </si>
  <si>
    <t xml:space="preserve">https://www.afaqs.com/news/mktg/mercedes-benz-india-joins-indian-padel-tour-as-title-partner-12215772</t>
  </si>
  <si>
    <t xml:space="preserve">Won 2026-07; BBDO Group India absorbing Ulka and Mudra after Omnicom-IPG merger; Fresh win, low near-term poach odds</t>
  </si>
  <si>
    <t xml:space="preserve">BBDO India</t>
  </si>
  <si>
    <t xml:space="preserve">BBDO India won DAAWAT's integrated creative mandate covering strategy, mainline, digital and social.</t>
  </si>
  <si>
    <t xml:space="preserve">Three Fourth Solutions</t>
  </si>
  <si>
    <t xml:space="preserve">New MD 2026-07</t>
  </si>
  <si>
    <t xml:space="preserve">https://www.afaqs.com/people-spotting/bacardi-appoints-mahesh-kanchan-as-md-for-india-southeast-asia-12162120</t>
  </si>
  <si>
    <t xml:space="preserve">Founder exit 2026-07 under creditor pressure; budgets uncertain</t>
  </si>
  <si>
    <t xml:space="preserve">New marketing lead 2026-07</t>
  </si>
  <si>
    <t xml:space="preserve">Ownership change in talks 2026-07; roster reset likely if deal closes</t>
  </si>
  <si>
    <t xml:space="preserve">afaqs reports JSW is in advanced talks to acquire a majority stake in Skoda Auto Volkswagen India.</t>
  </si>
  <si>
    <t xml:space="preserve">https://www.afaqs.com/news/brands/is-jsws-volkswagen-deal-the-start-of-a-new-homegrown-auto-giant-12189046</t>
  </si>
  <si>
    <t xml:space="preserve">New head of marketing 2026-07</t>
  </si>
  <si>
    <t xml:space="preserve">https://www.afaqs.com/people-spotting/mcdonalds-india-ws-names-mehak-jaini-as-head-of-marketing-12187427</t>
  </si>
  <si>
    <t xml:space="preserve">New CEO 2026-07</t>
  </si>
  <si>
    <t xml:space="preserve">https://www.afaqs.com/people-spotting/former-myntra-ceo-nandita-sinha-named-swiggy-instamart-ceo-12204634</t>
  </si>
  <si>
    <t xml:space="preserve">AdGlobal360 (Hakuhodo)</t>
  </si>
  <si>
    <t xml:space="preserve">Won 2026-06; agency inside Omnicom-IPG India integration; Fresh win; creative and content outside social may be open</t>
  </si>
  <si>
    <t xml:space="preserve">22feet Tribal Worldwide</t>
  </si>
  <si>
    <t xml:space="preserve">4AM Worldwide</t>
  </si>
  <si>
    <t xml:space="preserve">Creativeland Asia</t>
  </si>
  <si>
    <t xml:space="preserve">New SUV marketing head 2026-06</t>
  </si>
  <si>
    <t xml:space="preserve">Media re-awarded 2026-06; creative moved to Concept Communications 2026-01</t>
  </si>
  <si>
    <t xml:space="preserve">Lodestar UM (Omnicom Media)</t>
  </si>
  <si>
    <t xml:space="preserve">https://www.afaqs.com/news/newbizwins/omnicom-medias-lodestar-um-wins-amfis-integrated-media-mandate-12053173</t>
  </si>
  <si>
    <t xml:space="preserve">Won 2026-06; Madison ownership in flux with Havas the remaining bidder (2026-08)</t>
  </si>
  <si>
    <t xml:space="preserve">HiveMinds (Madison)</t>
  </si>
  <si>
    <t xml:space="preserve">Digital moved 2026-06; Sleepwell and Kurl-on appointed The Brand Bee for MENA 2026-09; Sheela Foam gave Sleepwell and Kurl-on MENA work to The Brand Bee in Sep 2026, split roster</t>
  </si>
  <si>
    <t xml:space="preserve">Tonic Worldwide</t>
  </si>
  <si>
    <t xml:space="preserve">CMO exit 2026-06</t>
  </si>
  <si>
    <t xml:space="preserve">Lost 2026-05 after 15 plus years; Incumbent of 15+ years lost; client open to change.</t>
  </si>
  <si>
    <t xml:space="preserve">Wavemaker (WPP Media)</t>
  </si>
  <si>
    <t xml:space="preserve">Wavemaker lost L'Oreal India's media after a partnership of more than 15 years.</t>
  </si>
  <si>
    <t xml:space="preserve">Lost 2026-05</t>
  </si>
  <si>
    <t xml:space="preserve">Wavemaker lost Netflix India's media mandate to Omnicom Media Group.</t>
  </si>
  <si>
    <t xml:space="preserve">Media moved 2026-05 ending a 15 plus year incumbency; Relationship reset under a CDMO-led beauty tech agenda; creative, social and PR slots may follow.; New India country manager Jacques Lebel from Oct 2026; luxe brands' creative, social and PR may be reviewed next</t>
  </si>
  <si>
    <t xml:space="preserve">Publicis Media</t>
  </si>
  <si>
    <t xml:space="preserve">Appointed 2026-05; agency inside Omnicom-IPG India integration</t>
  </si>
  <si>
    <t xml:space="preserve">Royal Canin India awarded its digital mandate to 22feet.</t>
  </si>
  <si>
    <t xml:space="preserve">Lost 2026-05 after 10 plus years; merger conflict cited</t>
  </si>
  <si>
    <t xml:space="preserve">Lodestar UM lost Samsung India's TV, print and radio duties it handled for over a decade.</t>
  </si>
  <si>
    <t xml:space="preserve">Media moved 2026-05; influencer mandate also reportedly reviewed</t>
  </si>
  <si>
    <t xml:space="preserve">Omnicom Media India</t>
  </si>
  <si>
    <t xml:space="preserve">The Reppro</t>
  </si>
  <si>
    <t xml:space="preserve">New marketing head 2026-05</t>
  </si>
  <si>
    <t xml:space="preserve">New mobile marketing head 2026-05; media consolidated with Cheil 2026-05</t>
  </si>
  <si>
    <t xml:space="preserve">Samsung India promoted Shirish Agarwal to head of marketing for its MX business.</t>
  </si>
  <si>
    <t xml:space="preserve">New wealth and retail marketing head 2026-05</t>
  </si>
  <si>
    <t xml:space="preserve">Kinnect</t>
  </si>
  <si>
    <t xml:space="preserve">Madison sale saga unresolved 2026-08; Madison lost TVS Motor 2026-08</t>
  </si>
  <si>
    <t xml:space="preserve">Jindal Stainless appointed Madison Media as its media AOR.</t>
  </si>
  <si>
    <t xml:space="preserve">https://www.afaqs.com/news/newbizwins/jindal-stainless-appoints-madison-media-as-its-media-aor-11797436</t>
  </si>
  <si>
    <t xml:space="preserve">Creative moved 2026-05; media went to BigTrunk 2026-06</t>
  </si>
  <si>
    <t xml:space="preserve">The Womb</t>
  </si>
  <si>
    <t xml:space="preserve">New luxury vertical CEO 2026-04 from Rustomjee</t>
  </si>
  <si>
    <t xml:space="preserve">Rakesh Setia joined Runwal as CEO for its luxury segment after a 7 year stint at Rustomjee.</t>
  </si>
  <si>
    <t xml:space="preserve">Active</t>
  </si>
  <si>
    <t xml:space="preserve">Won 2026-04; agency sits inside the Omnicom-IPG India integration; marketing director Vinay Joshi; New AOR; premium sub-brands (Gentleman Jack, Single Barrel) need luxury-grade experiences that a digital shop may subcontract.; Scope spans packaging, experiential and retail (carve-out opportunities); Kinnect and 22feet leadership merged under Chandni Shah; unit says it will take only five new clients in 2026</t>
  </si>
  <si>
    <t xml:space="preserve">Reported review 2026-04 (denied); Netflix moved its Rs 300 crore India media to Omnicom 2026-05</t>
  </si>
  <si>
    <t xml:space="preserve">Rebellion</t>
  </si>
  <si>
    <t xml:space="preserve">Storyboard18 reported Netflix India's influencer mandate under review with Rebellion as incumbent; Netflix later denied a review.</t>
  </si>
  <si>
    <t xml:space="preserve">https://www.storyboard18.com/brand-marketing/exclusive-netflix-indias-influencer-mandate-under-review-96486.htm</t>
  </si>
  <si>
    <t xml:space="preserve">New comms head 2026-04</t>
  </si>
  <si>
    <t xml:space="preserve">Regional creative review in 2026 covering India; article month inferred from publisher ID, page not directly readable</t>
  </si>
  <si>
    <t xml:space="preserve">Ogilvy India</t>
  </si>
  <si>
    <t xml:space="preserve">Lost final round 2026-04; WPP Creative restructure and Grey 82.5 folded under Ogilvy 2026-06</t>
  </si>
  <si>
    <t xml:space="preserve">Ogilvy was shortlisted with Tilt for Santoor after a multi-agency pitch but Tilt won the AOR.</t>
  </si>
  <si>
    <t xml:space="preserve">Appointed 2026-04; Dentsu global restructuring and India tax searches</t>
  </si>
  <si>
    <t xml:space="preserve">HELL Energy Drink named dentsu India its integrated marketing partner.</t>
  </si>
  <si>
    <t xml:space="preserve">Moved 2026-04; CMO S Prasanna Rai</t>
  </si>
  <si>
    <t xml:space="preserve">Tilt Brand Solutions</t>
  </si>
  <si>
    <t xml:space="preserve">CMO exit 2026-04 after six years</t>
  </si>
  <si>
    <t xml:space="preserve">PROHED</t>
  </si>
  <si>
    <t xml:space="preserve">Compass Communications</t>
  </si>
  <si>
    <t xml:space="preserve">Lost 2026-03 amid WPP Creative restructuring</t>
  </si>
  <si>
    <t xml:space="preserve">VML India</t>
  </si>
  <si>
    <t xml:space="preserve">Studio X, VML's dedicated Coca-Cola unit, lost the Limca creative mandate to Atom Network.</t>
  </si>
  <si>
    <t xml:space="preserve">Media moved 2026-03</t>
  </si>
  <si>
    <t xml:space="preserve">Account moved 2026-03 from VML's Studio X</t>
  </si>
  <si>
    <t xml:space="preserve">Atom Network</t>
  </si>
  <si>
    <t xml:space="preserve">Moved 2026-03</t>
  </si>
  <si>
    <t xml:space="preserve">Infectious Advertising</t>
  </si>
  <si>
    <t xml:space="preserve">Enormous Brands</t>
  </si>
  <si>
    <t xml:space="preserve">BBH India</t>
  </si>
  <si>
    <t xml:space="preserve">New India CEO 2026-02</t>
  </si>
  <si>
    <t xml:space="preserve">IPG Mediabrands retired into Omnicom Media post merger; creative just moved, media could follow</t>
  </si>
  <si>
    <t xml:space="preserve">BMW India's media duties remain with Lodestar, retained after a 2022 pitch.</t>
  </si>
  <si>
    <t xml:space="preserve">Lost 2026-01</t>
  </si>
  <si>
    <t xml:space="preserve">EssenceMediacom lost Flipkart Group's media mandate to Starcom.</t>
  </si>
  <si>
    <t xml:space="preserve">Media moved 2026-01</t>
  </si>
  <si>
    <t xml:space="preserve">Publicis Starcom won Flipkart Group's media mandate, replacing EssenceMediacom.</t>
  </si>
  <si>
    <t xml:space="preserve">Creative moved 2026-01</t>
  </si>
  <si>
    <t xml:space="preserve">Concept PR (Concept Communications)</t>
  </si>
  <si>
    <t xml:space="preserve">Concept Communications won the creative mandate for AMFI's Mutual Funds Sahi Hai campaign.</t>
  </si>
  <si>
    <t xml:space="preserve">Global incumbent displaced; India impact inferred</t>
  </si>
  <si>
    <t xml:space="preserve">Accenture Song</t>
  </si>
  <si>
    <t xml:space="preserve">Accenture Song was JLR's global incumbent, under contract until mid 2026 before WPP takes over.</t>
  </si>
  <si>
    <t xml:space="preserve">Ulka folded into BBDO Group 2025-12 after Omnicom-IPG merger; loss inferred</t>
  </si>
  <si>
    <t xml:space="preserve">Ulka (BBDO Group)</t>
  </si>
  <si>
    <t xml:space="preserve">Storyboard18 lists Santoor among Ulka's historic clients; Tilt became Santoor's AOR in 2026-04.</t>
  </si>
  <si>
    <t xml:space="preserve">https://www.storyboard18.com/agency-news/exclusive-ulka-mudra-find-new-home-in-bbdo-after-omnicom-ipg-merger-shake-up-85462.htm</t>
  </si>
  <si>
    <t xml:space="preserve">New CMO Debasree Dasgupta 2025-09; creative pitch reported by e4m; Imperial Blue sold to Tilaknagar</t>
  </si>
  <si>
    <t xml:space="preserve">Exchange4media reports Pernod Ricard India called a creative agency pitch (article date not verified); Debasree Dasgupta was appointed CMO in 2025-09.</t>
  </si>
  <si>
    <t xml:space="preserve">Review signal plus leadership change in marketing (Jul 2026).</t>
  </si>
  <si>
    <t xml:space="preserve">Kotak Mahindra Group's Rs 100 to 150 crore media account, held by Wavemaker, was reported as evaluating partners in 2024.</t>
  </si>
  <si>
    <t xml:space="preserve">Agency (current name)</t>
  </si>
  <si>
    <t xml:space="preserve">Group</t>
  </si>
  <si>
    <t xml:space="preserve">Type</t>
  </si>
  <si>
    <t xml:space="preserve">Relationships found</t>
  </si>
  <si>
    <t xml:space="preserve">Luxury accounts</t>
  </si>
  <si>
    <t xml:space="preserve">Premium accounts</t>
  </si>
  <si>
    <t xml:space="preserve">Luxury and premium accounts held</t>
  </si>
  <si>
    <t xml:space="preserve">Other accounts held</t>
  </si>
  <si>
    <t xml:space="preserve">Also reported as</t>
  </si>
  <si>
    <t xml:space="preserve">Network creative</t>
  </si>
  <si>
    <t xml:space="preserve">Aqua Plumbings (Plumber Bathware, Aquini) (L), Asian Paints Emporio (L), Adani Airports, Allen Solly, Asian Paints, Asian Paints Beautiful Homes, Brooke Bond Taj Mahal, Cadbury Dairy Milk Silk, Godrej Properties, Indriya (Aditya Birla Jewellery), Lakme, Rustomjee, Titan Raga</t>
  </si>
  <si>
    <t xml:space="preserve">Amazon India, Bajaj Pulsar, Cadbury 5 Star, Cadbury Celebrations, Cadbury Dairy Milk, CEAT Tyres, Charged by Thums Up, Coca-Cola India, Coke Zero, DP World, Eveready Ultima, Fevicol and Fevikwik, Google India, Jio-bp, JSW Steel, Mother Dairy, PhonePe Mutual Funds, POND'S, Powerade, Revital H, Santoor, Sunfeast YiPPee!, Tata Motors Commercial Vehicles, Tata Play, Titan Eye+, Vi (Vodafone Idea)</t>
  </si>
  <si>
    <t xml:space="preserve">Ogilvy (Beauty &amp; Luxury, Ogilvy West), Ogilvy India (Bengaluru), Ogilvy India (Ogilvy Delhi), Ogilvy India (Ogilvy East), Ogilvy India (Ogilvy South), Ogilvy South</t>
  </si>
  <si>
    <t xml:space="preserve">Anita Dongre (House of Anita Dongre) (L), MINI India (L), CenturyPly, CERA Sanitaryware, Cult.Sport, Kalapuri, Saint-Gobain India (Glass), Skoda Auto India, vivo India</t>
  </si>
  <si>
    <t xml:space="preserve">Apollo Tyres, Boost, Coca-Cola India, Durex, Kingfisher, KitKat, Sprite, Star Cement, Sugar Free, Thums Up, Tirupati Edible Oils</t>
  </si>
  <si>
    <t xml:space="preserve">Studio X (VML), VML India (ex Wunderman Thompson), VMLY&amp;R India (now VML), Wunderman Thompson India (now VML), Wunderman Thompson South Asia (now VML)</t>
  </si>
  <si>
    <t xml:space="preserve">Grey 82.5 (Ogilvy)</t>
  </si>
  <si>
    <t xml:space="preserve">De Beers Forevermark (L), Bacardi India, Havells, Himalayan Natural Mineral Water, Indian Craft Brewery, JSW MG Motor India, Kajaria Ceramics, Kalapuri, MMTC-PAMP, Tanishq, Tata Coffee Grand Cold Coffee</t>
  </si>
  <si>
    <t xml:space="preserve">Axis Bank, Bandhan Mutual Fund, Imperial Blue, Luminous, Mother's Recipe, Vadilal</t>
  </si>
  <si>
    <t xml:space="preserve">82.5 Communications, 82.5 Communications (Mumbai), 82.5 Communications (now Grey 82.5), AutumnGrey (Grey India), Grey 82.5, Grey 82.5 (ex Grey India / AutumnGrey), Grey 82.5 (formerly 82.5 Communications), Grey India (now Grey 82.5), Grey India and AutumnGrey</t>
  </si>
  <si>
    <t xml:space="preserve">Contract Advertising (VML)</t>
  </si>
  <si>
    <t xml:space="preserve">BMW India (L), HSBC India, KISNA, L&amp;T Realty, Shoppers Stop</t>
  </si>
  <si>
    <t xml:space="preserve">Haldiram's, Softovac</t>
  </si>
  <si>
    <t xml:space="preserve">Contract Advertising, Contract Advertising India (VML)</t>
  </si>
  <si>
    <t xml:space="preserve">Kotak Mahindra Bank, Pernod Ricard India, Red Bull India, Tata Consumer Products (portfolio)</t>
  </si>
  <si>
    <t xml:space="preserve">L'Oreal India, Netflix India</t>
  </si>
  <si>
    <t xml:space="preserve">Wavemaker, Wavemaker India (WPP Media)</t>
  </si>
  <si>
    <t xml:space="preserve">Burson India</t>
  </si>
  <si>
    <t xml:space="preserve">Chalet Hotels (Athiva) (L), Ducati India (L), Birla Opus Paints, Honda Cars India, Mirae Asset Sharekhan</t>
  </si>
  <si>
    <t xml:space="preserve">Burson, Burson Group India</t>
  </si>
  <si>
    <t xml:space="preserve">Mirum India (VML)</t>
  </si>
  <si>
    <t xml:space="preserve">Network digital</t>
  </si>
  <si>
    <t xml:space="preserve">Adani Realty, Manyavar</t>
  </si>
  <si>
    <t xml:space="preserve">AMFI (Mutual Funds Sahi Hai), ibis (Accor India)</t>
  </si>
  <si>
    <t xml:space="preserve">Mirum India (with WT Commerce)</t>
  </si>
  <si>
    <t xml:space="preserve">The Glitch (VML)</t>
  </si>
  <si>
    <t xml:space="preserve">Diageo India Reserve portfolio (L), Diageo India (portfolio), Dove, Enamor</t>
  </si>
  <si>
    <t xml:space="preserve">The Glitch</t>
  </si>
  <si>
    <t xml:space="preserve">DAAWAT, Manyavar</t>
  </si>
  <si>
    <t xml:space="preserve">EssenceMediacom, GroupM OOH Solutions (now WPP Media)</t>
  </si>
  <si>
    <t xml:space="preserve">Hogarth India</t>
  </si>
  <si>
    <t xml:space="preserve">Hogarth India (WPP Production)</t>
  </si>
  <si>
    <t xml:space="preserve">Landor India</t>
  </si>
  <si>
    <t xml:space="preserve">Dharana at Shillim (L)</t>
  </si>
  <si>
    <t xml:space="preserve">WPP (unit not named)</t>
  </si>
  <si>
    <t xml:space="preserve">Jaguar Land Rover India (L)</t>
  </si>
  <si>
    <t xml:space="preserve">Leo India</t>
  </si>
  <si>
    <t xml:space="preserve">Birla Opus Paints, California Almonds, HCL Group, HDFC Life, IKEA India, IndusInd Bank, Lee (India), Lenovo India, LinkedIn India, Puma India, Schneider Electric (home electricals), Sebamed, Visa</t>
  </si>
  <si>
    <t xml:space="preserve">ACKO, Amazon India, Bandhan Bank, BGMI (Krafton India), Cleartrip, Flipkart, Gatorade, JioMart, Lay's, Meta (India), PepsiCo India Foods &amp; Beverages (digital), redBus, Spotify India, Sting Energy, Whisper, Zupee</t>
  </si>
  <si>
    <t xml:space="preserve">Leo India (ex Leo Burnett Orchard)</t>
  </si>
  <si>
    <t xml:space="preserve">Taj Hotels (IHCL) (L), CaratLane, DP World, Oaksmith, Skoda Auto India</t>
  </si>
  <si>
    <t xml:space="preserve">CYBX, Garnier Men, HDFC Ergo, JAPFA, Microtek, Nestle Milkmaid, UniScholars, upGrad</t>
  </si>
  <si>
    <t xml:space="preserve">Saatchi &amp; Saatchi India</t>
  </si>
  <si>
    <t xml:space="preserve">Audi India (L), Arvind Limited, Dunkin' India, FedEx India, Lauritz Knudsen</t>
  </si>
  <si>
    <t xml:space="preserve">Captain Steel, Flite, Floron, Grupo Bimbo (Bimbo Bakeries India), Hero MotoCorp, McDowell's (House of McDowell's Soda), Renault India (Kiger)</t>
  </si>
  <si>
    <t xml:space="preserve">Audi India, JioMart</t>
  </si>
  <si>
    <t xml:space="preserve">Publicis Digital Experience (ex Digitas)</t>
  </si>
  <si>
    <t xml:space="preserve">Corona, Duolingo, EquBot, Figaro and Bertolli olive oils, Matter</t>
  </si>
  <si>
    <t xml:space="preserve">boAt, Okaya, Renault India (Kiger)</t>
  </si>
  <si>
    <t xml:space="preserve">Digitas India (now Publicis Digital Experience)</t>
  </si>
  <si>
    <t xml:space="preserve">BBH India (ex Publicis India)</t>
  </si>
  <si>
    <t xml:space="preserve">Navratna, Nerolac Paints, Pramerica Life Insurance, ZEE TV, ZEE5</t>
  </si>
  <si>
    <t xml:space="preserve">BIBA, Enamor</t>
  </si>
  <si>
    <t xml:space="preserve">Publicis India (merged into BBH India, Jan 2026)</t>
  </si>
  <si>
    <t xml:space="preserve">Propagate India (Publicis)</t>
  </si>
  <si>
    <t xml:space="preserve">CremTreat, CYBX, Jio-bp, UPES</t>
  </si>
  <si>
    <t xml:space="preserve">Propagate India (ex Saatchi &amp; Saatchi Propagate)</t>
  </si>
  <si>
    <t xml:space="preserve">Publicis Beehive</t>
  </si>
  <si>
    <t xml:space="preserve">Balaji Wafers, Storia</t>
  </si>
  <si>
    <t xml:space="preserve">Starcom</t>
  </si>
  <si>
    <t xml:space="preserve">BBH Singapore</t>
  </si>
  <si>
    <t xml:space="preserve">Marriott Bonvoy (India) (L)</t>
  </si>
  <si>
    <t xml:space="preserve">MSL India</t>
  </si>
  <si>
    <t xml:space="preserve">Team Spirit (Publicis)</t>
  </si>
  <si>
    <t xml:space="preserve">Publicis Groupe India (Team Spirit)</t>
  </si>
  <si>
    <t xml:space="preserve">TBWA\Lintas</t>
  </si>
  <si>
    <t xml:space="preserve">Hyatt India (L), Rivaah by Tanishq (L), Axis Bank, Dosti Realty, Eicher Motors, Etihad Airways, FabIndia, Google Gemini, Havells, Hershey's, Hilton India, Hindware Italian Collection, IndusInd Bank, Jawa Motorcycles, JioBlackRock, Magnum, Manipal Hospitals, Mirae Asset, Philips, Reliance Foundation, Standard Chartered India, Tanishq, True Elements, Tuborg, TVS Apache, TVS Ronin, Urban Ladder</t>
  </si>
  <si>
    <t xml:space="preserve">Air India Express, ALKEM, Amaron, Britannia, Cipla, Cofsils, Complan, Dixcy Scott, Dollar Missy and Dollar Rainguard, Eureka Forbes, Flipkart Health+, Future Generali, General Insurance Council, Google Pay, JSW Paints, Kamiliant, LEAD School, Lifebuoy, Lifestyle, MakeMyTrip, Naukri.com, Nissan Magnite, Real Fizzin', Saffola, Steadfast, Surf Excel, Tata AIG General Insurance, Tata Tea (Premium, Gold), TVS Motor, Vasmol, Vim, Yousta</t>
  </si>
  <si>
    <t xml:space="preserve">Bajaj Almond Drops, Bandhan Bank, Mumbai Indians</t>
  </si>
  <si>
    <t xml:space="preserve">Lowe Lintas (now TBWA\Lintas), Mullen Lintas (folded into TBWA\Lintas), TBWA India, TBWA\Lintas (ex Lowe Lintas), TBWA\Lintas (formerly Lowe Lintas)</t>
  </si>
  <si>
    <t xml:space="preserve">Mudra (ex DDB Mudra, BBDO Group)</t>
  </si>
  <si>
    <t xml:space="preserve">Adani Group (corporate), Ethnix by Raymond, Infosys, Instagram, Malabar Gold &amp; Diamonds, Meta AI, Myntra, Narayana Health, Netflix India, Philips, Raymond, Royal Challenge, Spotify India</t>
  </si>
  <si>
    <t xml:space="preserve">ACKO, Bewakoof, Bharat Connect (Bharat BillPay), BirlaNu, Boomer, Dhara, Dharavi Redevelopment (DRPPL), Dream11, Gulf Oil Lubricants India, Indeed, McDowell's No.1, Meesho, RuPay, TTK Prestige</t>
  </si>
  <si>
    <t xml:space="preserve">BGMI (Krafton India), Birla Opus Paints, Flipkart, McDonald's India (North &amp; East), McDonald's India (West &amp; South), Stayfree, Steadfast, Volkswagen</t>
  </si>
  <si>
    <t xml:space="preserve">DDB Mudra</t>
  </si>
  <si>
    <t xml:space="preserve">Hilton India (L), Air India, Asian Paints, Birla Estates, Buckaroo, CERA Sanitaryware, Johnson's Baby, Mahindra electric SUVs (BE 6, XEV 9e), Manyavar, Myntra, Salesforce</t>
  </si>
  <si>
    <t xml:space="preserve">3M Consumer Business, Bajaj Electricals (fans, coolers), Britannia Good Day, Campa Cola, Coca-Cola India, Dettol, ESAF Small Finance Bank, Flipkart, Hero Destini, Maggi, McDonald's India (West &amp; South), Nescafe, Paytm, Smart Bazaar, YES BANK</t>
  </si>
  <si>
    <t xml:space="preserve">Complan, Stayfree</t>
  </si>
  <si>
    <t xml:space="preserve">McCann Worldgroup India</t>
  </si>
  <si>
    <t xml:space="preserve">Adani Realty, Agoda, AJIO, Galaxy, Godrej Interio, HomeLane, Jack Daniel's, Keenai Wealth, Kohinoor rice, Lumina CloudInfra, Royal Canin India, Volkswagen, Whiskas</t>
  </si>
  <si>
    <t xml:space="preserve">BGMI (Krafton India), Doublemint, Flipkart, Pedigree, Porter, Snickers</t>
  </si>
  <si>
    <t xml:space="preserve">22feet Tribal, 22Feet Tribal Worldwide, DDB Tribal India</t>
  </si>
  <si>
    <t xml:space="preserve">Mercedes-Benz India (L), DAAWAT, Dewar's, Gillette, McDonald's India (North &amp; East), Tata Ultra Marathon, WhatsApp, Whiskas, World Gold Council India</t>
  </si>
  <si>
    <t xml:space="preserve">Ariel, Birla Opus Paints, Candid, Cargill edible oils, Indian Newspaper Society (INS), Milkbasket, Whisper</t>
  </si>
  <si>
    <t xml:space="preserve">BBDO India (team X)</t>
  </si>
  <si>
    <t xml:space="preserve">McCann India (ex FCB India)</t>
  </si>
  <si>
    <t xml:space="preserve">Android, Centrum, DBS Bank India, Philips Home Appliances, Tasty Bite</t>
  </si>
  <si>
    <t xml:space="preserve">Bata, Dulcoflex, Hero Xtreme, Swaraj Tractors, Torrent Electricals, Uber India, vivo India, Wagh Bakri</t>
  </si>
  <si>
    <t xml:space="preserve">FCB India (retired 2026, absorbed into McCann India), FCB Interface (retired 2026, FCB India unit)</t>
  </si>
  <si>
    <t xml:space="preserve">HDFC Bank, Intel India, Lenovo India, Mumbai Indians, Titan SKINN</t>
  </si>
  <si>
    <t xml:space="preserve">Blue Star, Burger King India, Flipkart, Prega News, State Bank of India, TVS Raider</t>
  </si>
  <si>
    <t xml:space="preserve">FCB Kinnect, Kinnect (ex FCB Kinnect)</t>
  </si>
  <si>
    <t xml:space="preserve">Bhima Jewellers, Kansai Nerolac, Provident Housing (Puravankara), Shoppers Stop, Sunfeast Dark Fantasy</t>
  </si>
  <si>
    <t xml:space="preserve">Bajaj Almond Drops, ITC Candyman, Navbharat Times, Sensodent</t>
  </si>
  <si>
    <t xml:space="preserve">FCB Ulka, Ulka, Ulka (ex FCB Ulka, now in BBDO Group India)</t>
  </si>
  <si>
    <t xml:space="preserve">TBWA\Lintas (ex Lintas Live)</t>
  </si>
  <si>
    <t xml:space="preserve">Hyatt India (L), Classic Legends (Jawa, Yezdi, BSA), Prestige Group, SOCIAL (Impresario), Turespana (Spain Tourism), Visit Victoria</t>
  </si>
  <si>
    <t xml:space="preserve">Officer's Choice, Saridon and Supradyn, Tata AIG General Insurance</t>
  </si>
  <si>
    <t xml:space="preserve">Lintas Live (folded into TBWA\Lintas), Lintas Live (now under Omnicom), Lintas Live (TBWA\Lintas)</t>
  </si>
  <si>
    <t xml:space="preserve">FCB Neo (absorbed into McCann)</t>
  </si>
  <si>
    <t xml:space="preserve">Berger Paints (Silk Glamor), Mahindra Thar ROXX, Royal Stag</t>
  </si>
  <si>
    <t xml:space="preserve">Horlicks, KFC India, Royal Stag</t>
  </si>
  <si>
    <t xml:space="preserve">FCB Neo, FCB Neo (retired 2026, FCB India unit)</t>
  </si>
  <si>
    <t xml:space="preserve">Interactive Avenues (Omnicom Media)</t>
  </si>
  <si>
    <t xml:space="preserve">BMW India (L), Indian Racing League and FIA F4 India, Twinings</t>
  </si>
  <si>
    <t xml:space="preserve">Apsara Zesta, Home Centre, Super League Kerala</t>
  </si>
  <si>
    <t xml:space="preserve">Interactive Avenues (now Omnicom Media)</t>
  </si>
  <si>
    <t xml:space="preserve">Bira 91, HDFC Life, SUGAR Cosmetics</t>
  </si>
  <si>
    <t xml:space="preserve">Initiative (Omnicom Media)</t>
  </si>
  <si>
    <t xml:space="preserve">Volvo Cars India (L), Ather Energy</t>
  </si>
  <si>
    <t xml:space="preserve">Initiative (IPG Mediabrands)</t>
  </si>
  <si>
    <t xml:space="preserve">Ketchum Sampark</t>
  </si>
  <si>
    <t xml:space="preserve">Aadhar Housing Finance, Usha International</t>
  </si>
  <si>
    <t xml:space="preserve">BMW India (L)</t>
  </si>
  <si>
    <t xml:space="preserve">Lodestar UM, Lodestar UM (now Omnicom Media)</t>
  </si>
  <si>
    <t xml:space="preserve">Netflix India, Tata Motors Passenger Vehicles (incl. Tata.ev)</t>
  </si>
  <si>
    <t xml:space="preserve">Omnicom Media, Omnicom Media Group (Lodestar UM, OMD) with Dentsu and Madison</t>
  </si>
  <si>
    <t xml:space="preserve">Bernbach (Omnicom, VW unit)</t>
  </si>
  <si>
    <t xml:space="preserve">Bernbach (Omnicom Advertising), Bernbach (Omnicom, ex DDB)</t>
  </si>
  <si>
    <t xml:space="preserve">Weber Shandwick India</t>
  </si>
  <si>
    <t xml:space="preserve">Omnicom (unit not named)</t>
  </si>
  <si>
    <t xml:space="preserve">Omnicom (agency unit not named)</t>
  </si>
  <si>
    <t xml:space="preserve">TBWA\Media Arts Lab India</t>
  </si>
  <si>
    <t xml:space="preserve">Johnnie Walker (L), Aditya Birla Capital, Air India, BIBA, Honda Cars India, Tasva, Tata Group IPL (Tata Motors, Air India Express and others), Triumph Motorcycles India, VLCC</t>
  </si>
  <si>
    <t xml:space="preserve">Bajaj Finserv insurance (Bajaj Life, Bajaj General), CarDekho, Gulf Oil Lubricants India, HELL Energy Drink, Lotte India, Motorola India, Popeyes India, Sony Entertainment Television, SAB, MAX, MAX 2, TTK Healthcare brands, TVS Motor, TVS NTORQ</t>
  </si>
  <si>
    <t xml:space="preserve">Dentsu, dentsu India, Dentsu India, Taproot Dentsu, Taproot Dentsu (folded into Dentsu Creative), WATConsult (folded into Dentsu Creative)</t>
  </si>
  <si>
    <t xml:space="preserve">Dentsu Creative Webchutney</t>
  </si>
  <si>
    <t xml:space="preserve">KLUDI India (L), Bhima Jewellers, Canon India, DSP Mutual Fund, Godrej Professional, Greenlam Laminates, RAK Ceramics India, Tanishq</t>
  </si>
  <si>
    <t xml:space="preserve">Catch (Spices, Pink Rock Salt), Freedom and Be-Rite edible oils, iQOO, Madhur Sugar, MakeMyTrip, NESCAFE Sunrise, New Holland, Papa Johns India</t>
  </si>
  <si>
    <t xml:space="preserve">Dentsu Webchutney</t>
  </si>
  <si>
    <t xml:space="preserve">Dentsu Creative Isobar</t>
  </si>
  <si>
    <t xml:space="preserve">De Beers Forevermark (L), Blackberrys, Canon India, Intel India</t>
  </si>
  <si>
    <t xml:space="preserve">Bandhan Bank, BGMI (Krafton India), HELL Energy Drink, Swiggy Instamart</t>
  </si>
  <si>
    <t xml:space="preserve">Dentsu Creative PR (ex Perfect Relations)</t>
  </si>
  <si>
    <t xml:space="preserve">HELL Energy Drink, Papa Johns India</t>
  </si>
  <si>
    <t xml:space="preserve">Dentsu Creative PR</t>
  </si>
  <si>
    <t xml:space="preserve">Dentsu Sports &amp; Entertainment</t>
  </si>
  <si>
    <t xml:space="preserve">Havas Creative India</t>
  </si>
  <si>
    <t xml:space="preserve">Bingo!, Burger King India, Chinese Wok, Eastman Auto &amp; Power, Harpic, Mamaearth, Moov, Mortein, Muthoot FinCorp, The Times of India, UTI Mutual Fund, Vanish, Veet</t>
  </si>
  <si>
    <t xml:space="preserve">Havas Worldwide India</t>
  </si>
  <si>
    <t xml:space="preserve">PR Pundit Havas Red</t>
  </si>
  <si>
    <t xml:space="preserve">hansgrohe and AXOR (L), Bioderma India, JBCN Group of Schools, ORRA</t>
  </si>
  <si>
    <t xml:space="preserve">Aakash Educational Services, Policybazaar</t>
  </si>
  <si>
    <t xml:space="preserve">Havas Media, Havas Media Network India</t>
  </si>
  <si>
    <t xml:space="preserve">Arena Media India (Havas)</t>
  </si>
  <si>
    <t xml:space="preserve">Social Beat (Cheil)</t>
  </si>
  <si>
    <t xml:space="preserve">Mercedes-Benz India (L), Brigade Group, Cialfo, Juicy Chemistry, Kalpataru, Khazana Jewellery, Pothys</t>
  </si>
  <si>
    <t xml:space="preserve">Social Beat</t>
  </si>
  <si>
    <t xml:space="preserve">Cheil X</t>
  </si>
  <si>
    <t xml:space="preserve">JSW MG Motor India, PNB MetLife</t>
  </si>
  <si>
    <t xml:space="preserve">Hero MotoCorp, Luminous</t>
  </si>
  <si>
    <t xml:space="preserve">Cheil X India</t>
  </si>
  <si>
    <t xml:space="preserve">Experience Commerce (Cheil)</t>
  </si>
  <si>
    <t xml:space="preserve">ICONIQA Hotels &amp; Resorts, MRF Tyres</t>
  </si>
  <si>
    <t xml:space="preserve">Eveready, Parle Candy Culture (Melody, Kismi, Londonderry)</t>
  </si>
  <si>
    <t xml:space="preserve">Experience Commerce (Cheil SWA)</t>
  </si>
  <si>
    <t xml:space="preserve">Cheil India</t>
  </si>
  <si>
    <t xml:space="preserve">Independent digital/social</t>
  </si>
  <si>
    <t xml:space="preserve">Jaisalmer Gin (L), Porsche India (L), Radico Khaitan (L), Rampur Indian Single Malt (L)</t>
  </si>
  <si>
    <t xml:space="preserve">Magic Moments, TVS NTORQ</t>
  </si>
  <si>
    <t xml:space="preserve">AdGlobal360</t>
  </si>
  <si>
    <t xml:space="preserve">Hakuhodo India</t>
  </si>
  <si>
    <t xml:space="preserve">Dizester, Jindal Stainless, Maruti Suzuki (Baleno, Service, Super Carry), Suzuki Motorcycle India</t>
  </si>
  <si>
    <t xml:space="preserve">Hakuhodo.Sync, Hakuhodo.Wyng</t>
  </si>
  <si>
    <t xml:space="preserve">PMG India (Hakuhodo)</t>
  </si>
  <si>
    <t xml:space="preserve">BMW India (L), Mercedes-Benz India (L), Porsche India (L), Toyota Kirloskar Motor</t>
  </si>
  <si>
    <t xml:space="preserve">Schbang</t>
  </si>
  <si>
    <t xml:space="preserve">Independent creative</t>
  </si>
  <si>
    <t xml:space="preserve">Indriya (Aditya Birla Jewellery) (L), Castrol India, HDFC Life, IDFC FIRST Bank, Kotak811, L'Oreal India, Louis Philippe, Mia by Tanishq, Skybags, Specta Quartz Surfaces, Tata Capital, Tata Communications, The Laughing Cow</t>
  </si>
  <si>
    <t xml:space="preserve">Amazon India, Britannia, Dabur, IIFL Home Finance, Jio, McCain India, Mentos and Centerfruit, Pidilite (Fevicol), ShareChat and Moj, Voltas</t>
  </si>
  <si>
    <t xml:space="preserve">Crosshairs Communication</t>
  </si>
  <si>
    <t xml:space="preserve">Luxury boutique</t>
  </si>
  <si>
    <t xml:space="preserve">Big Boy Toyz (L), Fairmont Jaipur (L), Harry Winston (L), Hazoorilal (L), Hermes India (L), Khurana Jewellery House (L), Kiehl's India (L), L'Occitane India (L), Le Royal Monceau Raffles Paris (L), OBEETEE (L), Raffles Udaipur (L), Raghavendra Rathore Jodhpur (L), Taj Hotels (IHCL) (L), Tarun Tahiliani (L), Thomas Goode &amp; Co. (L), Accor India (Raffles, Fairmont, Sofitel), Aspri Spirits, Luxmi Tea, Moroccanoil, ORRA</t>
  </si>
  <si>
    <t xml:space="preserve">MINI India (L), Nexus Select Citywalk (L), AGEasy, Anytime Fitness India, FILA India, Foot Locker India, Fujifilm India (instax, X Series), Garden Vareli, Motorola Razr 60, Nykaa, Titan licensed watches (Kenneth Cole, Tommy Hilfiger)</t>
  </si>
  <si>
    <t xml:space="preserve">inDrive, Lava Mobiles, Livpure, Myntra</t>
  </si>
  <si>
    <t xml:space="preserve">Sociowash, SW Network, SW Network (Youthbeat)</t>
  </si>
  <si>
    <t xml:space="preserve">Grapes Worldwide</t>
  </si>
  <si>
    <t xml:space="preserve">Balenciaga (L), Burberry (L), Cartier (L), Estee Lauder India (Estee Lauder, MAC, Clinique) (L), Gucci (L), Louis Vuitton (L), Piramal Realty (L), Tiffany &amp; Co. (L), Absolut, Campari, Harley-Davidson, Jameson, LivWell, Samsonite</t>
  </si>
  <si>
    <t xml:space="preserve">Bikano, MamyPoko Pants, Vibhor Oils</t>
  </si>
  <si>
    <t xml:space="preserve">Asus, Bosch, Siemens and Gaggenau (BSH), Mahindra Lifespaces, Mahindra Thar ROXX, Sebamed</t>
  </si>
  <si>
    <t xml:space="preserve">Britannia, Danone, Dinshaw's, Gullak, Nilkamal, Piramal Finance, Rasna, Symphony, upGrad, Vini Cosmetics (Fogg), Wonder Cement</t>
  </si>
  <si>
    <t xml:space="preserve">Hashtag Orange</t>
  </si>
  <si>
    <t xml:space="preserve">Forest Essentials (L), Aparna Venster and Okotech, Dr. Reddy's, Monte Carlo, Mufti, Nestle Health Science, ROCA India, SafeTree, The Man Company</t>
  </si>
  <si>
    <t xml:space="preserve">Escorts Kubota MU Series, Frankfinn Institute, Krazy Kebab Co, Swiss Beauty, Taco Bell India, Zuno General Insurance</t>
  </si>
  <si>
    <t xml:space="preserve">Talented</t>
  </si>
  <si>
    <t xml:space="preserve">Forest Essentials (L), HomeLane, Tanishq, The Hindu, Urban Company</t>
  </si>
  <si>
    <t xml:space="preserve">Britannia, Cars24, Cleartrip, Duolingo, Flipkart, Pantaloons, Rimzim Jeera, Star Health Insurance, Swiggy</t>
  </si>
  <si>
    <t xml:space="preserve">Monarch Legacy Edition (L), Motilal Oswal Financial Services, PCPL (Pranav Constructions), Seven Islands Whisky, Tata Housing, Triumph</t>
  </si>
  <si>
    <t xml:space="preserve">airpay money, Bingo!, Fiesta Condoms, Kurlon, MuscleBlaze, NICMAR, Parachute Advansed</t>
  </si>
  <si>
    <t xml:space="preserve">Famous Innovations</t>
  </si>
  <si>
    <t xml:space="preserve">Platinum Guild International (L), Taneira (L), Adidas India, BIBA, Mia by Tanishq, Sebamed, World Pickleball League</t>
  </si>
  <si>
    <t xml:space="preserve">Airtel, B Natural, Haier India, Kamiliant, Nilkamal Sleep, OPPO India</t>
  </si>
  <si>
    <t xml:space="preserve">Moonshot</t>
  </si>
  <si>
    <t xml:space="preserve">CRED, Mokobara</t>
  </si>
  <si>
    <t xml:space="preserve">Bold Care, Campus Activewear, Dr Agarwal's Eye Hospital, Gabit, Lenskart, MakeMyTrip, OYO, Shaadi.com, Subway India, Swiggy Instamart, Wild Stone</t>
  </si>
  <si>
    <t xml:space="preserve">Bombay Shaving Company, Duroflex and Sleepyhead, Jaquar Lighting, Nua</t>
  </si>
  <si>
    <t xml:space="preserve">Dish TV, Hero FinCorp, Lahori Zeera, Navneet, Ralco Tyres, Reliance Consumer Products, Veeba</t>
  </si>
  <si>
    <t xml:space="preserve">Enormous</t>
  </si>
  <si>
    <t xml:space="preserve">SoCheers</t>
  </si>
  <si>
    <t xml:space="preserve">Chandon (L), Glenmorangie (L), Asus, Broadway, Carlton, IndusInd General Insurance, Superdry Sport, The Belgian Waffle Co.</t>
  </si>
  <si>
    <t xml:space="preserve">Audi India, Godrej Interio</t>
  </si>
  <si>
    <t xml:space="preserve">Rediffusion</t>
  </si>
  <si>
    <t xml:space="preserve">Taj Hotels (IHCL) (L), Liebherr Refrigerators, Nippon India Mutual Fund</t>
  </si>
  <si>
    <t xml:space="preserve">Glucon-D, Keya Foods, Londonderry, Prabhuji Pure Food, Protinex, Tata Power</t>
  </si>
  <si>
    <t xml:space="preserve">White Rivers Media</t>
  </si>
  <si>
    <t xml:space="preserve">Piramal Realty (L), Reliance Jewels, The Times of India</t>
  </si>
  <si>
    <t xml:space="preserve">boAt, Pulse Candy, SMFG India Credit, Swiggy Dineout</t>
  </si>
  <si>
    <t xml:space="preserve">BC Web Wise</t>
  </si>
  <si>
    <t xml:space="preserve">Birla Estates, HDOR (Hundred Days of Running), Tira</t>
  </si>
  <si>
    <t xml:space="preserve">Gatsby, LIC Housing Finance, mPokket, MsChief, Tiger Balm, Zuno General Insurance</t>
  </si>
  <si>
    <t xml:space="preserve">AMD India (Ryzen AI), DeVANS (Godfather, Six Fields, GianChand), Tata AIG General Insurance, Van Heusen Innerwear</t>
  </si>
  <si>
    <t xml:space="preserve">Amazon Now, Miniklub, Neo by Nippon Paint</t>
  </si>
  <si>
    <t xml:space="preserve">AlphaTheta (Pioneer DJ), Kickers, Koche, Kotak Securities, Plum, Royaloak</t>
  </si>
  <si>
    <t xml:space="preserve">Lavie, The Souled Store</t>
  </si>
  <si>
    <t xml:space="preserve">Del Monte India, Hero Vida, Kotak Mahindra Bank, Uniqlo India</t>
  </si>
  <si>
    <t xml:space="preserve">Pizza Hut India, realme</t>
  </si>
  <si>
    <t xml:space="preserve">Lyxel&amp;Flamingo</t>
  </si>
  <si>
    <t xml:space="preserve">Omega (L), Converse India, Kimirica, O3+, United Colors of Benetton</t>
  </si>
  <si>
    <t xml:space="preserve">Big Bowl, Kurlon</t>
  </si>
  <si>
    <t xml:space="preserve">One Hand Clap</t>
  </si>
  <si>
    <t xml:space="preserve">Bajaj Chetak, Bumble India, Netflix India, Prime Video, Underneat</t>
  </si>
  <si>
    <t xml:space="preserve">EMotorad, Swiggy Instamart</t>
  </si>
  <si>
    <t xml:space="preserve">Narayana Health, Woodland, Wozoyo</t>
  </si>
  <si>
    <t xml:space="preserve">Kasturi Foods, Origami</t>
  </si>
  <si>
    <t xml:space="preserve">Ather Energy, Enamor, Myntra</t>
  </si>
  <si>
    <t xml:space="preserve">Bajaj Auto, Dream11, Santoor</t>
  </si>
  <si>
    <t xml:space="preserve">Makani Creatives</t>
  </si>
  <si>
    <t xml:space="preserve">Florsheim India, IRUS Eyewear, Shoppers Stop</t>
  </si>
  <si>
    <t xml:space="preserve">American Tourister, Stimulus and Eeken</t>
  </si>
  <si>
    <t xml:space="preserve">Verve Media</t>
  </si>
  <si>
    <t xml:space="preserve">Maple India, Vedas Fund</t>
  </si>
  <si>
    <t xml:space="preserve">Rasoi Raga, Shriram General Insurance, Snitch</t>
  </si>
  <si>
    <t xml:space="preserve">Bang in the Middle</t>
  </si>
  <si>
    <t xml:space="preserve">Antara Senior Living (L), Groupe SEB India (Tefal, Maharaja Whiteline)</t>
  </si>
  <si>
    <t xml:space="preserve">Confiance Communications</t>
  </si>
  <si>
    <t xml:space="preserve">Raga Svara (L), Libertario Coffee India, The Pant Project, Turkiye Tourism</t>
  </si>
  <si>
    <t xml:space="preserve">Curativity</t>
  </si>
  <si>
    <t xml:space="preserve">Gulf Oil Lubricants India, Too Yumm!, Urbn</t>
  </si>
  <si>
    <t xml:space="preserve">Digital Refresh Networks</t>
  </si>
  <si>
    <t xml:space="preserve">Hari:Bol, LIC, Nissin Geki Korean Noodles</t>
  </si>
  <si>
    <t xml:space="preserve">Pilgrim, Tata Starbucks</t>
  </si>
  <si>
    <t xml:space="preserve">Madison Media Alpha, Madison World, MOMS (Madison Outdoor Media Solutions)</t>
  </si>
  <si>
    <t xml:space="preserve">Quirk Head</t>
  </si>
  <si>
    <t xml:space="preserve">The Leela Palace Jaipur (L), The Westin Gurgaon (L), The Westin Sohna Resort (L), Marriott Udaipur and Jim Corbett</t>
  </si>
  <si>
    <t xml:space="preserve">Scribbld</t>
  </si>
  <si>
    <t xml:space="preserve">Brushers Co, Foot Locker India, Suzette, Terrapy</t>
  </si>
  <si>
    <t xml:space="preserve">Sideways</t>
  </si>
  <si>
    <t xml:space="preserve">Happilo, Licious</t>
  </si>
  <si>
    <t xml:space="preserve">Aakash Educational Services, Haisha Paints</t>
  </si>
  <si>
    <t xml:space="preserve">The Minimalist</t>
  </si>
  <si>
    <t xml:space="preserve">AFC Furniture Solutions, Schwarzkopf India</t>
  </si>
  <si>
    <t xml:space="preserve">Eveready, TyresNmore</t>
  </si>
  <si>
    <t xml:space="preserve">Webenza</t>
  </si>
  <si>
    <t xml:space="preserve">Brigade Group, Prestige Group, Sterling Holidays</t>
  </si>
  <si>
    <t xml:space="preserve">Actimedia PR</t>
  </si>
  <si>
    <t xml:space="preserve">ITC Hotels (L), Air Canada, Senco Gold &amp; Diamonds</t>
  </si>
  <si>
    <t xml:space="preserve">ActiMedia, Actimedia PR &amp; Digital</t>
  </si>
  <si>
    <t xml:space="preserve">Casagrand, Indriya (Aditya Birla Jewellery)</t>
  </si>
  <si>
    <t xml:space="preserve">AdLift</t>
  </si>
  <si>
    <t xml:space="preserve">Braindad</t>
  </si>
  <si>
    <t xml:space="preserve">Myntra, TRESemme</t>
  </si>
  <si>
    <t xml:space="preserve">Creativefuel</t>
  </si>
  <si>
    <t xml:space="preserve">Balaji Wafers, JioHotstar, Priyagold</t>
  </si>
  <si>
    <t xml:space="preserve">Glad U Came</t>
  </si>
  <si>
    <t xml:space="preserve">World Luxury Chamber of Commerce (L), Eze Perfumes, Park Avenue</t>
  </si>
  <si>
    <t xml:space="preserve">Gozoop (now YAAP)</t>
  </si>
  <si>
    <t xml:space="preserve">CookieMan India, Godrej Properties, Tata Tele Business Services</t>
  </si>
  <si>
    <t xml:space="preserve">Gozoop Creative, Gozoop Hawk</t>
  </si>
  <si>
    <t xml:space="preserve">Madison Loop (ex Madison BMB)</t>
  </si>
  <si>
    <t xml:space="preserve">Oberoi Realty (L), Godrej Properties, Raymond</t>
  </si>
  <si>
    <t xml:space="preserve">Madison Loop</t>
  </si>
  <si>
    <t xml:space="preserve">Pulp Strategy</t>
  </si>
  <si>
    <t xml:space="preserve">Zoya (L), Microsoft Azure</t>
  </si>
  <si>
    <t xml:space="preserve">Scarecrow M&amp;C Saatchi</t>
  </si>
  <si>
    <t xml:space="preserve">Alcon PRECISION1, Reliance Jewels</t>
  </si>
  <si>
    <t xml:space="preserve">Story Digital</t>
  </si>
  <si>
    <t xml:space="preserve">Riya Perfumes, Wozoyo</t>
  </si>
  <si>
    <t xml:space="preserve">Wondrlab</t>
  </si>
  <si>
    <t xml:space="preserve">Audi India (L), AJIO, Hettich India</t>
  </si>
  <si>
    <t xml:space="preserve">Wondrlab India</t>
  </si>
  <si>
    <t xml:space="preserve">80dB Communications</t>
  </si>
  <si>
    <t xml:space="preserve">FabIndia, Smytten</t>
  </si>
  <si>
    <t xml:space="preserve">80 dB Communications, 80dB Mavericks</t>
  </si>
  <si>
    <t xml:space="preserve">a simple agency</t>
  </si>
  <si>
    <t xml:space="preserve">Adfactors PR</t>
  </si>
  <si>
    <t xml:space="preserve">Mercedes-Benz India (L), AU Small Finance Bank</t>
  </si>
  <si>
    <t xml:space="preserve">Blink Digital</t>
  </si>
  <si>
    <t xml:space="preserve">Brand Catapult</t>
  </si>
  <si>
    <t xml:space="preserve">Courtyard by Marriott Gurugram Downtown, The Park Hotels</t>
  </si>
  <si>
    <t xml:space="preserve">Communicate India</t>
  </si>
  <si>
    <t xml:space="preserve">Hershey's Brookside, Savills India</t>
  </si>
  <si>
    <t xml:space="preserve">Runwal (L)</t>
  </si>
  <si>
    <t xml:space="preserve">Concept Communications, Concept PR</t>
  </si>
  <si>
    <t xml:space="preserve">Curry Nation</t>
  </si>
  <si>
    <t xml:space="preserve">Mangi, MPJ</t>
  </si>
  <si>
    <t xml:space="preserve">DNA Entertainment Networks</t>
  </si>
  <si>
    <t xml:space="preserve">HiveMinds</t>
  </si>
  <si>
    <t xml:space="preserve">iCubesWire</t>
  </si>
  <si>
    <t xml:space="preserve">Central Park (L), Wozoyo</t>
  </si>
  <si>
    <t xml:space="preserve">Image Stereo</t>
  </si>
  <si>
    <t xml:space="preserve">Madchatter</t>
  </si>
  <si>
    <t xml:space="preserve">House of Hiranandani (L)</t>
  </si>
  <si>
    <t xml:space="preserve">Monk-E</t>
  </si>
  <si>
    <t xml:space="preserve">Sprite, vivo India</t>
  </si>
  <si>
    <t xml:space="preserve">RepIndia</t>
  </si>
  <si>
    <t xml:space="preserve">Sephora India (L)</t>
  </si>
  <si>
    <t xml:space="preserve">tgthr</t>
  </si>
  <si>
    <t xml:space="preserve">The New Thing</t>
  </si>
  <si>
    <t xml:space="preserve">Prime Video, Tinder India</t>
  </si>
  <si>
    <t xml:space="preserve">Thinkstr</t>
  </si>
  <si>
    <t xml:space="preserve">Baidyanath Rhuma Oil, Truecaller</t>
  </si>
  <si>
    <t xml:space="preserve">Toaster India</t>
  </si>
  <si>
    <t xml:space="preserve">Toaster INSEA</t>
  </si>
  <si>
    <t xml:space="preserve">Admatazz</t>
  </si>
  <si>
    <t xml:space="preserve">Alphabet Media</t>
  </si>
  <si>
    <t xml:space="preserve">Animal</t>
  </si>
  <si>
    <t xml:space="preserve">Hyatt India (L)</t>
  </si>
  <si>
    <t xml:space="preserve">Beam and Words</t>
  </si>
  <si>
    <t xml:space="preserve">Tarun Tahiliani (L)</t>
  </si>
  <si>
    <t xml:space="preserve">BlackCab Agency Network</t>
  </si>
  <si>
    <t xml:space="preserve">Indri (L)</t>
  </si>
  <si>
    <t xml:space="preserve">Blue Vector</t>
  </si>
  <si>
    <t xml:space="preserve">Volvo Cars India (L)</t>
  </si>
  <si>
    <t xml:space="preserve">Cartwheel Creative Consultancy</t>
  </si>
  <si>
    <t xml:space="preserve">Chimp&amp;z Inc</t>
  </si>
  <si>
    <t xml:space="preserve">Cut The Crap</t>
  </si>
  <si>
    <t xml:space="preserve">DViO Digital</t>
  </si>
  <si>
    <t xml:space="preserve">Emporiom Digital</t>
  </si>
  <si>
    <t xml:space="preserve">Ethinos</t>
  </si>
  <si>
    <t xml:space="preserve">Everest Brand Solutions</t>
  </si>
  <si>
    <t xml:space="preserve">Delhi Duty Free (L)</t>
  </si>
  <si>
    <t xml:space="preserve">Filter Coffee Co.</t>
  </si>
  <si>
    <t xml:space="preserve">First Sight</t>
  </si>
  <si>
    <t xml:space="preserve">Smoor (L)</t>
  </si>
  <si>
    <t xml:space="preserve">Garage Worldwide</t>
  </si>
  <si>
    <t xml:space="preserve">GreenHonchos</t>
  </si>
  <si>
    <t xml:space="preserve">Homegrown</t>
  </si>
  <si>
    <t xml:space="preserve">Hovers</t>
  </si>
  <si>
    <t xml:space="preserve">Hypothesis (Only Much Louder)</t>
  </si>
  <si>
    <t xml:space="preserve">IMARTI Media</t>
  </si>
  <si>
    <t xml:space="preserve">Jack in the Box Worldwide</t>
  </si>
  <si>
    <t xml:space="preserve">Kommune</t>
  </si>
  <si>
    <t xml:space="preserve">Manja</t>
  </si>
  <si>
    <t xml:space="preserve">Monks Interactive</t>
  </si>
  <si>
    <t xml:space="preserve">Nash8</t>
  </si>
  <si>
    <t xml:space="preserve">Oktobuzz</t>
  </si>
  <si>
    <t xml:space="preserve">Pepper Communications Group</t>
  </si>
  <si>
    <t xml:space="preserve">Timbertales Luxury Resort (L)</t>
  </si>
  <si>
    <t xml:space="preserve">popkorn (Value 360)</t>
  </si>
  <si>
    <t xml:space="preserve">popkorn</t>
  </si>
  <si>
    <t xml:space="preserve">Prius Communications</t>
  </si>
  <si>
    <t xml:space="preserve">Vianaar (L)</t>
  </si>
  <si>
    <t xml:space="preserve">Punctuate Productions</t>
  </si>
  <si>
    <t xml:space="preserve">Roll Dot Agency</t>
  </si>
  <si>
    <t xml:space="preserve">Ruder Finn India</t>
  </si>
  <si>
    <t xml:space="preserve">Savvytree</t>
  </si>
  <si>
    <t xml:space="preserve">SGA (Strategic Growth Advisors)</t>
  </si>
  <si>
    <t xml:space="preserve">Shreyansh Solutions</t>
  </si>
  <si>
    <t xml:space="preserve">Spek Digital (Schbang Network)</t>
  </si>
  <si>
    <t xml:space="preserve">Sunny Side Up</t>
  </si>
  <si>
    <t xml:space="preserve">Lapis Bard (L)</t>
  </si>
  <si>
    <t xml:space="preserve">Techmagnate</t>
  </si>
  <si>
    <t xml:space="preserve">The Other Circle</t>
  </si>
  <si>
    <t xml:space="preserve">The Astor Goa (L)</t>
  </si>
  <si>
    <t xml:space="preserve">The Script Room</t>
  </si>
  <si>
    <t xml:space="preserve">The Think Tank</t>
  </si>
  <si>
    <t xml:space="preserve">Value 360 Communications</t>
  </si>
  <si>
    <t xml:space="preserve">Viral Pitch</t>
  </si>
  <si>
    <t xml:space="preserve">Wieden+Kennedy India</t>
  </si>
  <si>
    <t xml:space="preserve">Wit &amp; Chai Group</t>
  </si>
  <si>
    <t xml:space="preserve">Yellow</t>
  </si>
  <si>
    <t xml:space="preserve">DeVANS (Godfather, Six Fields, GianChand) (L), Hyundai Motor India, Kia India</t>
  </si>
  <si>
    <t xml:space="preserve">Accenture Song (with Spark44)</t>
  </si>
  <si>
    <t xml:space="preserve">NP Digital India</t>
  </si>
  <si>
    <t xml:space="preserve">Qoruz</t>
  </si>
  <si>
    <t xml:space="preserve">Agency</t>
  </si>
  <si>
    <t xml:space="preserve">What changed</t>
  </si>
  <si>
    <t xml:space="preserve">When</t>
  </si>
  <si>
    <t xml:space="preserve">Why it opens doors</t>
  </si>
  <si>
    <t xml:space="preserve">Accounts exposed (from this map, luxury and premium first)</t>
  </si>
  <si>
    <t xml:space="preserve">DDB Mudra (brand retired)</t>
  </si>
  <si>
    <t xml:space="preserve">Omnicom closed its IPG deal and retired the DDB, FCB and MullenLowe brands. India now runs as Omnicom Advertising India under Prasoon Joshi (chairman) and Aditya Kanthy (president).</t>
  </si>
  <si>
    <t xml:space="preserve">Dec 2025 to Jan 2026</t>
  </si>
  <si>
    <t xml:space="preserve">Clients were redistributed across McCann, BBDO Group and TBWA\Lintas. Several legacy DDB accounts still show no confirmed new home.</t>
  </si>
  <si>
    <t xml:space="preserve">Adani Group (corporate), Ethnix by Raymond, Infosys, Instagram, Malabar Gold &amp; Diamonds, Meta AI, Myntra, Narayana Health, Netflix India, Philips, Raymond, Royal Challenge, Spotify India, ACKO, plus 13 more</t>
  </si>
  <si>
    <t xml:space="preserve">afaqs: Aditya Kanthy and Prasoon Joshi to steer Omnicom's India reboot</t>
  </si>
  <si>
    <t xml:space="preserve">BBDO Group India (BBDO, Ulka, Mudra)</t>
  </si>
  <si>
    <t xml:space="preserve">Mudra and Ulka (ex FCB Ulka) moved under BBDO Group India. Jitender Dabas became group CEO in Feb 2026.</t>
  </si>
  <si>
    <t xml:space="preserve">Dec 2025 to Feb 2026</t>
  </si>
  <si>
    <t xml:space="preserve">Repeated leadership change at BBDO, which holds Mercedes-Benz India and World Gold Council.</t>
  </si>
  <si>
    <t xml:space="preserve">Mercedes-Benz India (L), Bhima Jewellers, DAAWAT, Dewar's, Gillette, Kansai Nerolac, McDonald's India (North &amp; East), Provident Housing (Puravankara), Shoppers Stop, Sunfeast Dark Fantasy, Tata Ultra Marathon, WhatsApp, Whiskas, World Gold Council India, plus 11 more</t>
  </si>
  <si>
    <t xml:space="preserve">Storyboard18: Ulka, Mudra find new home in BBDO after Omnicom IPG merger</t>
  </si>
  <si>
    <t xml:space="preserve">TBWA\Lintas (ex MullenLowe Lintas and TBWA India)</t>
  </si>
  <si>
    <t xml:space="preserve">MullenLowe Lintas and TBWA India merged into TBWA\Lintas from 1 Jan 2026. Co-CEO Prateek Bharadwaj was reported to be exiting in Feb 2026.</t>
  </si>
  <si>
    <t xml:space="preserve">Jan to Feb 2026</t>
  </si>
  <si>
    <t xml:space="preserve">Decades-old Lintas accounts (Tanishq, Axis Bank) now sit in a newly merged agency with changing leadership.</t>
  </si>
  <si>
    <t xml:space="preserve">Hyatt India (L), Rivaah by Tanishq (L), Axis Bank, Classic Legends (Jawa, Yezdi, BSA), Dosti Realty, Eicher Motors, Etihad Airways, FabIndia, Google Gemini, Havells, Hershey's, Hilton India, Hindware Italian Collection, IndusInd Bank, plus 52 more</t>
  </si>
  <si>
    <t xml:space="preserve">Storyboard18 (via Google News): Prateek Bharadwaj to exit TBWA\Lintas?</t>
  </si>
  <si>
    <t xml:space="preserve">McCann India (absorbed FCB India)</t>
  </si>
  <si>
    <t xml:space="preserve">FCB India was folded into McCann India under CEO Dheeraj Sinha, with ex DDB CCO Rahul Mathew running creative.</t>
  </si>
  <si>
    <t xml:space="preserve">Dec 2025 to 2026</t>
  </si>
  <si>
    <t xml:space="preserve">Competing clients now share one roof (for example KFC and Burger King inside Omnicom). Former FCB accounts show no 2026 work.</t>
  </si>
  <si>
    <t xml:space="preserve">Hilton India (L), Air India, Android, Asian Paints, Berger Paints (Silk Glamor), Birla Estates, Buckaroo, Centrum, CERA Sanitaryware, DBS Bank India, Johnson's Baby, Mahindra electric SUVs (BE 6, XEV 9e), Mahindra Thar ROXX, Manyavar, plus 30 more</t>
  </si>
  <si>
    <t xml:space="preserve">afaqs: CEO Dheeraj Sinha on leading McCann in the post-merger era</t>
  </si>
  <si>
    <t xml:space="preserve">WPP Creative India (Ogilvy, VML, AKQA, Grey, Landor, Burson, Design Bridge)</t>
  </si>
  <si>
    <t xml:space="preserve">WPP put its India creative agencies under one unit, WPP Creative India, with Hephzibah Pathak as CEO.</t>
  </si>
  <si>
    <t xml:space="preserve">Apr 2026</t>
  </si>
  <si>
    <t xml:space="preserve">Integration year: teams, leaders and account structures are shifting across all WPP creative clients.</t>
  </si>
  <si>
    <t xml:space="preserve">All WPP creative clients (see rows below)</t>
  </si>
  <si>
    <t xml:space="preserve">afaqs (via Google News): Ogilvy chair Hephzibah Pathak appointed CEO of WPP Creative India</t>
  </si>
  <si>
    <t xml:space="preserve">Grey 82.5 (Ogilvy group)</t>
  </si>
  <si>
    <t xml:space="preserve">Grey India and 82.5 Communications were merged into Grey 82.5 under Ogilvy. Grey's CCO left in Jul 2026.</t>
  </si>
  <si>
    <t xml:space="preserve">Jun to Jul 2026</t>
  </si>
  <si>
    <t xml:space="preserve">Former Grey and 82.5 clients are mid-transition.</t>
  </si>
  <si>
    <t xml:space="preserve">De Beers Forevermark (L), Bacardi India, Havells, Himalayan Natural Mineral Water, Indian Craft Brewery, JSW MG Motor India, Kajaria Ceramics, Kalapuri, MMTC-PAMP, Tanishq, Tata Coffee Grand Cold Coffee, Axis Bank, Bandhan Mutual Fund, Imperial Blue, plus 3 more</t>
  </si>
  <si>
    <t xml:space="preserve">afaqs: Ogilvy Group integrates Grey and 82.5 Communications to form Grey 82.5</t>
  </si>
  <si>
    <t xml:space="preserve">VML India (incl. Contract, Mirum, The Glitch)</t>
  </si>
  <si>
    <t xml:space="preserve">Group CCO Kalpesh Patankar left VML India in Aug 2026 and joined Publicis in Sep 2026. The CSO also left earlier in 2026.</t>
  </si>
  <si>
    <t xml:space="preserve">Aug to Sep 2026</t>
  </si>
  <si>
    <t xml:space="preserve">Creative leadership gap on auto and tech accounts.</t>
  </si>
  <si>
    <t xml:space="preserve">Anita Dongre (House of Anita Dongre) (L), BMW India (L), Diageo India Reserve portfolio (L), MINI India (L), Adani Realty, CenturyPly, CERA Sanitaryware, Cult.Sport, Diageo India (portfolio), Dove, Enamor, HSBC India, Kalapuri, KISNA, plus 21 more</t>
  </si>
  <si>
    <t xml:space="preserve">bestmediainfo (via Google News): Kalpesh Patankar exits VML India</t>
  </si>
  <si>
    <t xml:space="preserve">WPP hired Goldman Sachs to explore a sale of Burson.</t>
  </si>
  <si>
    <t xml:space="preserve">PR clients face a possible change of owner.</t>
  </si>
  <si>
    <t xml:space="preserve">Chalet Hotels (Athiva) (L), Ducati India (L), Birla Opus Paints, Honda Cars India, Mirae Asset Sharekhan, Eastman Auto &amp; Power</t>
  </si>
  <si>
    <t xml:space="preserve">bestmediainfo (via Google News): WPP explores Burson sale</t>
  </si>
  <si>
    <t xml:space="preserve">Piyush Pandey, the face of Ogilvy India, died in Oct 2025.</t>
  </si>
  <si>
    <t xml:space="preserve">Oct 2025</t>
  </si>
  <si>
    <t xml:space="preserve">Long-tenure accounts enter a new era. Luxury sub-brands (Emporio, Indriya, Raga) are run inside mass-market teams.</t>
  </si>
  <si>
    <t xml:space="preserve">Aqua Plumbings (Plumber Bathware, Aquini) (L), Asian Paints Emporio (L), Adani Airports, Allen Solly, Asian Paints, Asian Paints Beautiful Homes, Brooke Bond Taj Mahal, Cadbury Dairy Milk Silk, Godrej Properties, Indriya (Aditya Birla Jewellery), Lakme, Rustomjee, Titan Raga, Amazon India, plus 25 more</t>
  </si>
  <si>
    <t xml:space="preserve">afaqs: Industry in mourning over Piyush Pandey's demise</t>
  </si>
  <si>
    <t xml:space="preserve">BBH India (absorbed Publicis India)</t>
  </si>
  <si>
    <t xml:space="preserve">Publicis Groupe folded Publicis India into BBH India.</t>
  </si>
  <si>
    <t xml:space="preserve">Jan 2026</t>
  </si>
  <si>
    <t xml:space="preserve">Former Publicis India clients changed teams after the MD who fronted them left in 2025.</t>
  </si>
  <si>
    <t xml:space="preserve">Taj Hotels (IHCL) (L), CaratLane, DP World, HDFC Mutual Fund, Oaksmith, Skoda Auto India, CYBX, Garnier Men, HDFC Ergo, JAPFA, Microtek, Navratna, Nerolac Paints, Nestle Milkmaid, plus 5 more</t>
  </si>
  <si>
    <t xml:space="preserve">Storyboard18 (via Google News): Publicis folds Publicis India into BBH</t>
  </si>
  <si>
    <t xml:space="preserve">Publicis Digital Experience (Digitas, Razorfish, Indigo Consulting)</t>
  </si>
  <si>
    <t xml:space="preserve">Digitas, Razorfish and Indigo Consulting were combined into PDX under CEO Amaresh Godbole.</t>
  </si>
  <si>
    <t xml:space="preserve">Digital and social clients were re-teamed.</t>
  </si>
  <si>
    <t xml:space="preserve">Corona, Duolingo, EquBot, Figaro and Bertolli olive oils, Matter, boAt, Okaya, Renault India (Kiger)</t>
  </si>
  <si>
    <t xml:space="preserve">Storyboard18 (via Google News): Publicis brings PDX to India</t>
  </si>
  <si>
    <t xml:space="preserve">Dentsu India (all creative units)</t>
  </si>
  <si>
    <t xml:space="preserve">Income tax searches ran across Dentsu India offices in Mumbai, Delhi, Pune and Bengaluru. Dentsu also posted a large 2025 loss and cut jobs globally.</t>
  </si>
  <si>
    <t xml:space="preserve">Sep 2026</t>
  </si>
  <si>
    <t xml:space="preserve">Operational and reputational distraction. Clients may hedge with a second agency.</t>
  </si>
  <si>
    <t xml:space="preserve">De Beers Forevermark (L), Johnnie Walker (L), Aditya Birla Capital, Air India, BIBA, Blackberrys, Canon India, Honda Cars India, Intel India, Tasva, Tata Group IPL (Tata Motors, Air India Express and others), Triumph Motorcycles India, VLCC, Bajaj Finserv insurance (Bajaj Life, Bajaj General), plus 14 more</t>
  </si>
  <si>
    <t xml:space="preserve">Moneycontrol (via Google News): Dentsu India offices searched simultaneously</t>
  </si>
  <si>
    <t xml:space="preserve">Surjo Dutt was made CEO of Webchutney.</t>
  </si>
  <si>
    <t xml:space="preserve">May 2026</t>
  </si>
  <si>
    <t xml:space="preserve">Leadership change on digital accounts, on top of the Dentsu tax search.</t>
  </si>
  <si>
    <t xml:space="preserve">KLUDI India (L), Bhima Jewellers, Canon India, DSP Mutual Fund, Godrej Professional, Greenlam Laminates, RAK Ceramics India, Tanishq, Catch (Spices, Pink Rock Salt), Freedom and Be-Rite edible oils, iQOO, Madhur Sugar, MakeMyTrip, NESCAFE Sunrise, plus 2 more</t>
  </si>
  <si>
    <t xml:space="preserve">ET BrandEquity (via Google News): Webchutney makes Surjo Dutt the CEO</t>
  </si>
  <si>
    <t xml:space="preserve">Shortcut Shobiz India (new)</t>
  </si>
  <si>
    <t xml:space="preserve">Havas launched a luxury and lifestyle experiential agency with Paris-based Shortcut, led by Farah Lauren Khan.</t>
  </si>
  <si>
    <t xml:space="preserve">New direct competitor for luxury experiential and launch-event briefs.</t>
  </si>
  <si>
    <t xml:space="preserve">None mapped</t>
  </si>
  <si>
    <t xml:space="preserve">The Economic Times (via Google News): Havas India launches luxury experiential agency Shortcut Shobiz India</t>
  </si>
  <si>
    <t xml:space="preserve">Madison World (Madison Loop, Madison Media, HiveMinds)</t>
  </si>
  <si>
    <t xml:space="preserve">Madison's sale process is unresolved and Wondrlab reportedly exited the race. Madison BMB was merged into Madison Loop.</t>
  </si>
  <si>
    <t xml:space="preserve">Feb to Aug 2026</t>
  </si>
  <si>
    <t xml:space="preserve">Ownership uncertainty for Madison clients.</t>
  </si>
  <si>
    <t xml:space="preserve">Oberoi Realty (L), Godrej Properties, Pilgrim, Raymond, Tanishq, Tata Starbucks, Dr. Reddy's, Jindal Stainless</t>
  </si>
  <si>
    <t xml:space="preserve">Storyboard18 (via Google News): Wondrlab exits Madison acquisition race?</t>
  </si>
  <si>
    <t xml:space="preserve">Reported to be in advanced talks to be acquired by Accenture Song.</t>
  </si>
  <si>
    <t xml:space="preserve">Jul 2026</t>
  </si>
  <si>
    <t xml:space="preserve">An ownership change gives its clients a natural moment to review.</t>
  </si>
  <si>
    <t xml:space="preserve">Asus, Bosch, Siemens and Gaggenau (BSH), Mahindra Lifespaces, Mahindra Thar ROXX, Sebamed, Britannia, Danone, Dinshaw's, Gullak, Nilkamal, Piramal Finance, Rasna, Symphony, upGrad, plus 2 more</t>
  </si>
  <si>
    <t xml:space="preserve">IndianWeb2: Accenture in advanced talks to acquire The Womb</t>
  </si>
  <si>
    <t xml:space="preserve">YAAP completed its majority acquisition of Gozoop. YAAP founder Atul Hegde died in Jul 2026.</t>
  </si>
  <si>
    <t xml:space="preserve">Mar to Jul 2026</t>
  </si>
  <si>
    <t xml:space="preserve">Integration plus the loss of the acquirer's founder.</t>
  </si>
  <si>
    <t xml:space="preserve">Storyboard18 (via Google News): Yaap Digital acquires majority stake in Gozoop</t>
  </si>
  <si>
    <t xml:space="preserve">Social Beat (now Cheil)</t>
  </si>
  <si>
    <t xml:space="preserve">Cheil SWA Group acquired Social Beat.</t>
  </si>
  <si>
    <t xml:space="preserve">Nov 2025</t>
  </si>
  <si>
    <t xml:space="preserve">Integration into a Samsung-owned group, with senior exits reported.</t>
  </si>
  <si>
    <t xml:space="preserve">Mercedes-Benz India (L), Brigade Group, Cialfo, Juicy Chemistry, Kalpataru, Khazana Jewellery, Pothys, Fortune</t>
  </si>
  <si>
    <t xml:space="preserve">Social Samosa (via Google News): Cheil SWA Group acquires Social Beat</t>
  </si>
  <si>
    <t xml:space="preserve">Managing partner Gaurang Menon, who built the Mumbai business, stepped down.</t>
  </si>
  <si>
    <t xml:space="preserve">Mumbai accounts lose the person who won and ran them.</t>
  </si>
  <si>
    <t xml:space="preserve">Forest Essentials (L), Aparna Venster and Okotech, Dr. Reddy's, Monte Carlo, Mufti, Nestle Health Science, ROCA India, SafeTree, The Man Company, Escorts Kubota MU Series, Frankfinn Institute, Krazy Kebab Co, Swiss Beauty, Taco Bell India, plus 1 more</t>
  </si>
  <si>
    <t xml:space="preserve">MediaNews4U: Gaurang Menon steps down from Hashtag Orange</t>
  </si>
  <si>
    <t xml:space="preserve">Co-founder Akshay Gurnani exited and Harshil and Sohil Karia took full control.</t>
  </si>
  <si>
    <t xml:space="preserve">Mar 2025</t>
  </si>
  <si>
    <t xml:space="preserve">Leadership reshuffle at the largest independent social agency.</t>
  </si>
  <si>
    <t xml:space="preserve">Indriya (Aditya Birla Jewellery) (L), Castrol India, HDFC Life, IDFC FIRST Bank, Kotak811, L'Oreal India, Louis Philippe, Mia by Tanishq, Skybags, Specta Quartz Surfaces, Tata Capital, Tata Communications, The Laughing Cow, Amazon India, plus 9 more</t>
  </si>
  <si>
    <t xml:space="preserve">afaqs: Schbang announces leadership transition</t>
  </si>
  <si>
    <t xml:space="preserve">Meta disabled four of Blink's Business Manager accounts. Blink sued Meta in the Bombay High Court (hearing 12 Oct 2026).</t>
  </si>
  <si>
    <t xml:space="preserve">Clients' paid social is exposed while the dispute runs.</t>
  </si>
  <si>
    <t xml:space="preserve">Agoda, Fibe</t>
  </si>
  <si>
    <t xml:space="preserve">Storyboard18 (via Google News): Blink Digital seeks Rs 1,158 crore from Meta</t>
  </si>
  <si>
    <t xml:space="preserve">Big Bang Social (Collective Artists Network)</t>
  </si>
  <si>
    <t xml:space="preserve">Layoffs at the creator platform, which its owner is also looking to sell.</t>
  </si>
  <si>
    <t xml:space="preserve">Feb to Apr 2026</t>
  </si>
  <si>
    <t xml:space="preserve">Influencer and creator mandates at risk.</t>
  </si>
  <si>
    <t xml:space="preserve">Storyboard18 (via Google News): Layoffs at Collective Artists Network hit Big Bang Social</t>
  </si>
  <si>
    <t xml:space="preserve">Current relationships by category and agency group (excludes Recently lost). Unknown means no agency credited: often in-house, often an open door.</t>
  </si>
  <si>
    <t xml:space="preserve">Total</t>
  </si>
  <si>
    <t xml:space="preserve">Agency group</t>
  </si>
  <si>
    <t xml:space="preserve">Agency type</t>
  </si>
  <si>
    <t xml:space="preserve">Brand as reported</t>
  </si>
  <si>
    <t xml:space="preserve">Since</t>
  </si>
  <si>
    <t xml:space="preserve">Source date</t>
  </si>
  <si>
    <t xml:space="preserve">Agency as reported</t>
  </si>
  <si>
    <t xml:space="preserve">Research stream</t>
  </si>
  <si>
    <t xml:space="preserve">Chalet Hotels (JW Marriott Mumbai Sahar, Westin, Athiva)</t>
  </si>
  <si>
    <t xml:space="preserve">Burson</t>
  </si>
  <si>
    <t xml:space="preserve">Brands: travel, realty, auto, BFSI</t>
  </si>
  <si>
    <t xml:space="preserve">Ducati India appointed Burson as strategic communications partner for brand positioning and reputation in Sep 2024.</t>
  </si>
  <si>
    <t xml:space="preserve">Burson Group India</t>
  </si>
  <si>
    <t xml:space="preserve">Birla Opus appointed Burson for reputation management and brand communications in India in Jul 2024.</t>
  </si>
  <si>
    <t xml:space="preserve">PR only; creative and social sit elsewhere.; WPP hired Goldman Sachs in Apr 2026 to explore a sale of Burson</t>
  </si>
  <si>
    <t xml:space="preserve">Eastman Auto &amp; Power Ltd</t>
  </si>
  <si>
    <t xml:space="preserve">New incumbent, low near-term poachability; but social, content, experiential and dealer content can be carved out.; Account moved 2026-01 from Rediffusion; marketing director Vitesh Barar; WPP creative restructuring ongoing; Newly won in pitch; VML India creative head who oversaw Contract (Kalpesh Patankar) exited Aug 2026; Fresh pitch Jan 2026; MINI digital split out to SW Network; WPP network restructuring.</t>
  </si>
  <si>
    <t xml:space="preserve">Contract Advertising India (VML)</t>
  </si>
  <si>
    <t xml:space="preserve">unknown</t>
  </si>
  <si>
    <t xml:space="preserve">2022</t>
  </si>
  <si>
    <t xml:space="preserve">Contract Advertising</t>
  </si>
  <si>
    <t xml:space="preserve">Brands: jewellery, fashion, beauty, alcobev</t>
  </si>
  <si>
    <t xml:space="preserve">Shoppers Stop Ltd</t>
  </si>
  <si>
    <t xml:space="preserve">2019</t>
  </si>
  <si>
    <t xml:space="preserve">Contract Advertising made Shoppers Stop women's campaigns in 2019 and May 2022.</t>
  </si>
  <si>
    <t xml:space="preserve">Long association, no recent credit visible</t>
  </si>
  <si>
    <t xml:space="preserve">De Beers Group (natural diamonds)</t>
  </si>
  <si>
    <t xml:space="preserve">De Beers Group appointed 82.5 Communications for creative, retailer communications and category campaigns for natural diamonds in India.</t>
  </si>
  <si>
    <t xml:space="preserve">Split mandates: Forevermark creative sits with Dentsu Creative Isobar; unit now appears as Grey 82.5 (WPP consolidation).; Split mandate; 2026 De Beers India campaigns carry no agency credit; 82.5 Communications folded into Grey 82.5 in Jun 2026; team and brand transition</t>
  </si>
  <si>
    <t xml:space="preserve">82.5 Communications</t>
  </si>
  <si>
    <t xml:space="preserve">Luxury, PR, events</t>
  </si>
  <si>
    <t xml:space="preserve">Bacardi India (portfolio)</t>
  </si>
  <si>
    <t xml:space="preserve">82.5 Communications won Bacardi India's creative mandate for its brand portfolio after a competitive pitch (Dec 2024).</t>
  </si>
  <si>
    <t xml:space="preserve">New Director Marketing Goodies Narayanan (Dec 2025); Mahesh Kanchan now MD India and SEA (Jul 2026); Breezer Bold launch Sep 2026; Nearly two years in; WPP now brands the unit Grey 82.5 (restructuring).</t>
  </si>
  <si>
    <t xml:space="preserve">Grey 82.5 (formerly 82.5 Communications)</t>
  </si>
  <si>
    <t xml:space="preserve">Bacardi India brands</t>
  </si>
  <si>
    <t xml:space="preserve">82.5 Communications won the mandate for Bacardi India's brands including upcoming launches in Dec 2024.</t>
  </si>
  <si>
    <t xml:space="preserve">New Bacardi India marketing director Goodies Narayanan (Dec 2025) and MD Mahesh Kanchan widened to India and SEA (Jul 2026); 82.5 Communications folded into Grey 82.5 in Jun 2026; team and brand transition</t>
  </si>
  <si>
    <t xml:space="preserve">82.5 Communications (now Grey 82.5)</t>
  </si>
  <si>
    <t xml:space="preserve">2018</t>
  </si>
  <si>
    <t xml:space="preserve">Soho Square (2018) and then 82.5 Communications (Feb 2022) made Havells campaigns; no newer credit found.</t>
  </si>
  <si>
    <t xml:space="preserve">Long incumbency through Soho Square to 82.5 to Grey 82.5 rebrands</t>
  </si>
  <si>
    <t xml:space="preserve">82.5 Communications won a creative mandate for JSW MG's upcoming product campaign in Oct 2024; Cheil X made the Aug 2025 'EV Sahi Hai' campaign.</t>
  </si>
  <si>
    <t xml:space="preserve">Split mandate with Cheil X; new MD Anurag Mehrotra from Feb 2025; 82.5 Communications folded into Grey 82.5 in Jun 2026; team and brand transition</t>
  </si>
  <si>
    <t xml:space="preserve">82.5 Mumbai's 'Blinkstop' for Kalapuri was a Cannes Lions 2026 Direct shortlist.</t>
  </si>
  <si>
    <t xml:space="preserve">Two WPP agencies credited on the same brand</t>
  </si>
  <si>
    <t xml:space="preserve">82.5 Communications (Mumbai)</t>
  </si>
  <si>
    <t xml:space="preserve">AutumnGrey (Grey India)</t>
  </si>
  <si>
    <t xml:space="preserve">Autumn Grey conceptualised Tanishq's Women's Day 2025 film 'Her Choice'.</t>
  </si>
  <si>
    <t xml:space="preserve">Split mandate: Lowe Lintas makes Tanishq's main festive and diamond campaigns; Grey India merged into Grey 82.5 in Jun 2026 under 82.5 leadership; ex Grey India CCO Harsh Kapadia joined Code and Theory Jul 2026</t>
  </si>
  <si>
    <t xml:space="preserve">Grey India (now Grey 82.5)</t>
  </si>
  <si>
    <t xml:space="preserve">Grey 82.5 (ex Grey India / AutumnGrey)</t>
  </si>
  <si>
    <t xml:space="preserve">Grey 82.5</t>
  </si>
  <si>
    <t xml:space="preserve">Luminous Power Technologies</t>
  </si>
  <si>
    <t xml:space="preserve">Grey India and AutumnGrey made Luminous' Diwali 2023 campaign; 82.5 also did a 2022 solar campaign.</t>
  </si>
  <si>
    <t xml:space="preserve">Grey India and AutumnGrey</t>
  </si>
  <si>
    <t xml:space="preserve">Adani Realty collaborated with Mirum India on a VR offering in Apr 2023.</t>
  </si>
  <si>
    <t xml:space="preserve">Project scope; no recent credit visible</t>
  </si>
  <si>
    <t xml:space="preserve">Manyavar awarded its digital transformation mandate to Mirum India and WT Commerce (Mar 2023).</t>
  </si>
  <si>
    <t xml:space="preserve">Chief Marketing and Digital Officer Anand Narang since Sep 2023; creative partner not visible; Mirum India MD and co founder Mihir Karkare stepped down Jan 2025</t>
  </si>
  <si>
    <t xml:space="preserve">Association of Mutual Funds in India</t>
  </si>
  <si>
    <t xml:space="preserve">AMFI partnered Mirum India and WebEngage to drive martech for 'Mutual Fund Sahi Hai' in May 2024.</t>
  </si>
  <si>
    <t xml:space="preserve">Mirum India MD Mihir Karkare exited Jan 2025</t>
  </si>
  <si>
    <t xml:space="preserve">Ogilvy India (Ogilvy Delhi)</t>
  </si>
  <si>
    <t xml:space="preserve">Ogilvy South</t>
  </si>
  <si>
    <t xml:space="preserve">2021</t>
  </si>
  <si>
    <t xml:space="preserve">Godrej Properties' first digital brand campaign 'Everyday Joys' (Nov 2021) was crafted by Ogilvy India; no newer credit found.</t>
  </si>
  <si>
    <t xml:space="preserve">No visible Ogilvy work since 2021; real estate digital scope may be open</t>
  </si>
  <si>
    <t xml:space="preserve">2021-11</t>
  </si>
  <si>
    <t xml:space="preserve">Indriya</t>
  </si>
  <si>
    <t xml:space="preserve">Aditya Birla Jewellery (Aditya Birla Group)</t>
  </si>
  <si>
    <t xml:space="preserve">Ogilvy India created Indriya's Dec 2024 diamond film and the Sep 2025 festive Alka collection film.</t>
  </si>
  <si>
    <t xml:space="preserve">Young jewellery brand still building identity; handled by mass FMCG creative heads (Ogilvy West)</t>
  </si>
  <si>
    <t xml:space="preserve">Ogilvy (Beauty &amp; Luxury, Ogilvy West)</t>
  </si>
  <si>
    <t xml:space="preserve">Ogilvy South created Titan Raga's 'Your Way Is Beautiful' campaign with Alia Bhatt (Aug 2026).</t>
  </si>
  <si>
    <t xml:space="preserve">Ogilvy India (Ogilvy South)</t>
  </si>
  <si>
    <t xml:space="preserve">2014-11</t>
  </si>
  <si>
    <t xml:space="preserve">Vistara gave its creative mandate to Ogilvy in 2014; the brand was retired after its Nov 2024 merger into Air India.</t>
  </si>
  <si>
    <t xml:space="preserve">Brand folded into Air India; relationship ended with the brand</t>
  </si>
  <si>
    <t xml:space="preserve">Ogilvy conceptualised the 'bad boy' sequel film for the all-new Pulsar 150.</t>
  </si>
  <si>
    <t xml:space="preserve">Mass brand; relevant as Bajaj group context for Triumph and KTM premium lines.</t>
  </si>
  <si>
    <t xml:space="preserve">2001</t>
  </si>
  <si>
    <t xml:space="preserve">25 year incumbency on Pulsar</t>
  </si>
  <si>
    <t xml:space="preserve">Coca-Cola</t>
  </si>
  <si>
    <t xml:space="preserve">Split roster: VML India also works on Coca-Cola (Coke Holi) and Thums Up</t>
  </si>
  <si>
    <t xml:space="preserve">Ogilvy India (Ogilvy East)</t>
  </si>
  <si>
    <t xml:space="preserve">In play</t>
  </si>
  <si>
    <t xml:space="preserve">Incumbent since Tata Sky era</t>
  </si>
  <si>
    <t xml:space="preserve">Ogilvy India (Bengaluru)</t>
  </si>
  <si>
    <t xml:space="preserve">Diageo India Reserve and premium portfolio (Johnnie Walker, Smirnoff, VAT 69)</t>
  </si>
  <si>
    <t xml:space="preserve">2018-11</t>
  </si>
  <si>
    <t xml:space="preserve">The Glitch won Enamor's agency on record appointment in Jan 2022.</t>
  </si>
  <si>
    <t xml:space="preserve">https://www.medianews4u.com/the-glitch-wins-agency-on-record-appointment-for-enamor/</t>
  </si>
  <si>
    <t xml:space="preserve">VMLY&amp;R India (now VML)</t>
  </si>
  <si>
    <t xml:space="preserve">BMW Group India</t>
  </si>
  <si>
    <t xml:space="preserve">VML India listed MINI 'Find Your Way' (Countryman launch with Kareena Kapoor Khan) among its four Cannes Lions 2026 contenders.</t>
  </si>
  <si>
    <t xml:space="preserve">https://www.brandinginasia.com/vml-india-shares-the-stories-behind-four-cannes-lions-contenders/</t>
  </si>
  <si>
    <t xml:space="preserve">CERA Sanitaryware Ltd</t>
  </si>
  <si>
    <t xml:space="preserve">Wunderman Thompson India won CERA Sanitaryware's creative mandate in Aug 2022.</t>
  </si>
  <si>
    <t xml:space="preserve">Four years in; no recent credit visible</t>
  </si>
  <si>
    <t xml:space="preserve">VML India (ex Wunderman Thompson)</t>
  </si>
  <si>
    <t xml:space="preserve">Cult.Sport (Cult.fit)</t>
  </si>
  <si>
    <t xml:space="preserve">Wunderman Thompson India (now VML)</t>
  </si>
  <si>
    <t xml:space="preserve">Award led work; 82.5 also credited on Kalapuri</t>
  </si>
  <si>
    <t xml:space="preserve">Wunderman Thompson India won Skoda's strategy and creative mandate in Feb 2023; no 2025 or 2026 credit found.</t>
  </si>
  <si>
    <t xml:space="preserve">No recent VML credit visible; VML leadership churn</t>
  </si>
  <si>
    <t xml:space="preserve">Wunderman Thompson was named vivo India AOR in Jul 2023; VML made the V30 'Be the Pro' (Mar 2024) and 'Dreamchasers' (Jun 2025) campaigns.</t>
  </si>
  <si>
    <t xml:space="preserve">Coca-Cola (Coke Holi)</t>
  </si>
  <si>
    <t xml:space="preserve">VML India entered 'Coke Holi' for The Coca-Cola Company India at Cannes Lions 2026 in five categories.</t>
  </si>
  <si>
    <t xml:space="preserve">Ogilvy India also handles Coca-Cola brand work</t>
  </si>
  <si>
    <t xml:space="preserve">https://www.socialsamosa.com/sscanneswatch/vml-india-entries-for-cannes-lions-2026-12004723</t>
  </si>
  <si>
    <t xml:space="preserve">Wunderman Thompson South Asia made a Kingfisher music video (May 2020); no later credit found.</t>
  </si>
  <si>
    <t xml:space="preserve">No recent visible agency credit</t>
  </si>
  <si>
    <t xml:space="preserve">2020-05</t>
  </si>
  <si>
    <t xml:space="preserve">Wunderman Thompson South Asia (now VML)</t>
  </si>
  <si>
    <t xml:space="preserve">Studio X (VML)</t>
  </si>
  <si>
    <t xml:space="preserve">Wavemaker</t>
  </si>
  <si>
    <t xml:space="preserve">Pernod Ricard India (portfolio)</t>
  </si>
  <si>
    <t xml:space="preserve">New Media Manager hired Jan 2026</t>
  </si>
  <si>
    <t xml:space="preserve">Wavemaker India (WPP Media)</t>
  </si>
  <si>
    <t xml:space="preserve">Global, outcome-based model; India market social, events and owner content may still be locally sourced; JLR cutting jobs and restructuring.; Global mandate moved 2025-12 with India transition in H1 2026</t>
  </si>
  <si>
    <t xml:space="preserve">GroupM OOH Solutions conceptualised Manyavar's South India OOH launch with Ram Charan (Jan 2024).</t>
  </si>
  <si>
    <t xml:space="preserve">South India expansion</t>
  </si>
  <si>
    <t xml:space="preserve">GroupM OOH Solutions (now WPP Media)</t>
  </si>
  <si>
    <t xml:space="preserve">Walmart</t>
  </si>
  <si>
    <t xml:space="preserve">EssenceMediacom</t>
  </si>
  <si>
    <t xml:space="preserve">Taj Hotels</t>
  </si>
  <si>
    <t xml:space="preserve">Indian Hotels Company (IHCL, Tata Group)</t>
  </si>
  <si>
    <t xml:space="preserve">Publicis Groupe listed Taj Group of Hotels among BBH India brands with standout work when announcing new BBH leadership (Apr 2025).</t>
  </si>
  <si>
    <t xml:space="preserve">Appears project based; IHCL used Rediffusion for 'She Remains the Taj' (2022); prime luxury target</t>
  </si>
  <si>
    <t xml:space="preserve">2023</t>
  </si>
  <si>
    <t xml:space="preserve">https://www.medianews4u.com/caratlane-launches-written-in-the-stars-film-with-kayadu-lohar-as-regional-brand-ambassador/</t>
  </si>
  <si>
    <t xml:space="preserve">DP World's Sachin Tendulkar cricket film (Oct 2023) is tagged to BBH India.</t>
  </si>
  <si>
    <t xml:space="preserve">Skoda and BBH India launched 'You Never Drive Alone' (Feb 2026), a Kushaq film (Apr 2026) and the Kylaq Sportline campaign (Sep 2026).</t>
  </si>
  <si>
    <t xml:space="preserve">Sales and marketing head Jan Bures leaves for VW AG in Sep 2026; MD Piyush Arora adds sales and marketing role.</t>
  </si>
  <si>
    <t xml:space="preserve">https://www.campaignindia.in/article/skoda-and-bbh-india-launch-campaign-for-kylaq-sportline/48mvzb9mc8stayqeb8zy81q150</t>
  </si>
  <si>
    <t xml:space="preserve">2012</t>
  </si>
  <si>
    <t xml:space="preserve">14-year incumbent (fatigue risk); Kylaq 2025 launch was run by Publicis India, now folded into BBH</t>
  </si>
  <si>
    <t xml:space="preserve">BBH India to handle upGrad's repositioning campaign (Oct 2023).</t>
  </si>
  <si>
    <t xml:space="preserve">BIBA Apparels</t>
  </si>
  <si>
    <t xml:space="preserve">2019-12</t>
  </si>
  <si>
    <t xml:space="preserve">Taproot Dentsu won BIBA's creative mandate in Mar 2022, replacing Publicis India which won it in Dec 2019.</t>
  </si>
  <si>
    <t xml:space="preserve">Moved to Taproot Dentsu</t>
  </si>
  <si>
    <t xml:space="preserve">2024</t>
  </si>
  <si>
    <t xml:space="preserve">Enamor named Tilt Brand Solutions its brand and communications AOR (Mar 2025) after Publicis India's Jun 2024 'Fabulously Futuristic' campaign.</t>
  </si>
  <si>
    <t xml:space="preserve">Moved to Tilt Brand Solutions; brand has changed agencies three times since 2022</t>
  </si>
  <si>
    <t xml:space="preserve">Publicis India MD Oindrila Roy, who fronted this work, exited Aug 2025; Publicis India folded into BBH Jan 2026</t>
  </si>
  <si>
    <t xml:space="preserve">2017</t>
  </si>
  <si>
    <t xml:space="preserve">Leo Burnett India was hired to design Birla Opus brand architecture (Feb 2024) and went on to make its Holi 2025 and Eid 2026 films.</t>
  </si>
  <si>
    <t xml:space="preserve">Split roster since launch: DDB Mudra named creative partner Feb 2024; many 2026 campaigns uncredited</t>
  </si>
  <si>
    <t xml:space="preserve">HDFC Life unveiled its Jan 2026 brand campaign on parents shaping children's future with Leo India.</t>
  </si>
  <si>
    <t xml:space="preserve">Media moved to OMD (Omnicom) Jan 2025; marketing head Pritika Shah elevated May 2025</t>
  </si>
  <si>
    <t xml:space="preserve">afaqs files IndusInd Bank's ICC Men's Cricket World Cup 2023 campaign under Leo Burnett India.</t>
  </si>
  <si>
    <t xml:space="preserve">Lenovo India (Legion)</t>
  </si>
  <si>
    <t xml:space="preserve">No 2024 to 2026 evidence of Leo on Puma</t>
  </si>
  <si>
    <t xml:space="preserve">Sebapharma</t>
  </si>
  <si>
    <t xml:space="preserve">Leo India conceptualised Sebamed's Aug 2025 womb-to-world baby skincare campaign.</t>
  </si>
  <si>
    <t xml:space="preserve">Frequent campaigns in 2026 without agency credit; took AI discovery work to WPP Media (Sep 2026)</t>
  </si>
  <si>
    <t xml:space="preserve">https://www.medianews4u.com/sebameds-new-campaign-brings-the-wombs-comfort-to-baby-skincare/</t>
  </si>
  <si>
    <t xml:space="preserve">2021-07</t>
  </si>
  <si>
    <t xml:space="preserve">ACKO General Insurance</t>
  </si>
  <si>
    <t xml:space="preserve">Leo India's ACKO 'Tailor Test' won Gold at Cannes 2025 and a Grand Prix at Spikes Asia 2026; ACKO work took the Grand Effie 2024.</t>
  </si>
  <si>
    <t xml:space="preserve">Account started at Leo Burnett Orchard (2019); heavily awarded, hard to dislodge</t>
  </si>
  <si>
    <t xml:space="preserve">Amazon India relaunched its 'Aur Dikhao' campaign created by Leo Burnett India (May 2022).</t>
  </si>
  <si>
    <t xml:space="preserve">Bandhan Bank's 'Jahaan Bandhan, Wahaan Trust' brand campaign (Jan 2023) is tagged to Leo Burnett Orchard.</t>
  </si>
  <si>
    <t xml:space="preserve">Orchard brand retired in Leo merger</t>
  </si>
  <si>
    <t xml:space="preserve">BGMI</t>
  </si>
  <si>
    <t xml:space="preserve">KRAFTON India launched 'BGMI Career Mode' developed in partnership with Aeos Group and Leo India.</t>
  </si>
  <si>
    <t xml:space="preserve">Project style partnership rather than AOR</t>
  </si>
  <si>
    <t xml:space="preserve">https://www.medianews4u.com/krafton-india-and-leo-india-launch-bgmi-career-mode-to-translate-gameplay-into-career-skills/</t>
  </si>
  <si>
    <t xml:space="preserve">Cleartrip and Leo Burnett Orchard highlighted Clear Advantage in a Nov 2022 campaign.</t>
  </si>
  <si>
    <t xml:space="preserve">Leo India created Flipkart's Big Billion Days 2026 'Luck Badal Sakta Hai' film (Sep 2026) and a Namibia T20 sponsorship film (Feb 2026).</t>
  </si>
  <si>
    <t xml:space="preserve">Split roster: McCann India and Talented also credited on Flipkart 2026 work; media moved to Starcom (Publicis) in 2025</t>
  </si>
  <si>
    <t xml:space="preserve">https://campaignbriefasia.com/2026/09/16/leo-india-turns-bad-luck-into-unexpected-fortune-for-flipkarts-big-billion-days-2026/</t>
  </si>
  <si>
    <t xml:space="preserve">2026</t>
  </si>
  <si>
    <t xml:space="preserve">Moved within Publicis from L&amp;K Saatchi &amp; Saatchi (2023 IPL work); Reliance rotates agencies often</t>
  </si>
  <si>
    <t xml:space="preserve">1996</t>
  </si>
  <si>
    <t xml:space="preserve">McDonald's India (West &amp; South) Oct 2025 'You Said It. We Made It.' campaign was conceptualised by DDB Mudra, not long time agency Leo.</t>
  </si>
  <si>
    <t xml:space="preserve">Work moved to DDB Mudra after about 29 years with Leo; CBO Arvind R P exited Mar 2026; PR moved to The Good Edge Apr 2026</t>
  </si>
  <si>
    <t xml:space="preserve">https://www.medianews4u.com/mcdonalds-india-unveils-you-said-it-we-made-it-campaign-launches-big-yummy-burgers-inspired-by-real-customer-feedback/</t>
  </si>
  <si>
    <t xml:space="preserve">New Head of Marketing Shipra Srivastava (Apr 2026); Sep 2026 multilingual campaign carried no agency credit</t>
  </si>
  <si>
    <t xml:space="preserve">Procter &amp; Gamble</t>
  </si>
  <si>
    <t xml:space="preserve">Dunkin' India (social)</t>
  </si>
  <si>
    <t xml:space="preserve">Saatchi &amp; Saatchi Propagate was assigned Dunkin' India's social media and digital content strategy as part of the L&amp;K win (Sep 2023).</t>
  </si>
  <si>
    <t xml:space="preserve">Premium QSR social brief; no recent work found</t>
  </si>
  <si>
    <t xml:space="preserve">Enamor (digital)</t>
  </si>
  <si>
    <t xml:space="preserve">Saatchi &amp; Saatchi Propagate won Enamor's digital mandate (Jul 2023); Enamor named Tilt Brand Solutions brand and communications AOR in Mar 2025.</t>
  </si>
  <si>
    <t xml:space="preserve">Moved to Tilt Brand Solutions</t>
  </si>
  <si>
    <t xml:space="preserve">https://www.medianews4u.com/saatchi-saatchi-propagate-bags-enamors-digital-mandate/</t>
  </si>
  <si>
    <t xml:space="preserve">Propagate India received CYBX's digital and performance mandate alongside BBH India's creative and media (Feb 2026).</t>
  </si>
  <si>
    <t xml:space="preserve">Saatchi &amp; Saatchi Propagate won the digital marketing mandate for Jio-bp (Jun 2023).</t>
  </si>
  <si>
    <t xml:space="preserve">2019-04</t>
  </si>
  <si>
    <t xml:space="preserve">Publicis Beehive won Balaji Wafers' creative mandate via a multi-agency pitch (Apr 2019).</t>
  </si>
  <si>
    <t xml:space="preserve">Beehive now sits in the Saatchi, BBH and Propagate cluster (exchange4media, Dec 2025); no visible new business since 2021</t>
  </si>
  <si>
    <t xml:space="preserve">https://www.whizsky.com/press-releases/publicis-beehive-bags-creative-mandate-of-balaji-wafers</t>
  </si>
  <si>
    <t xml:space="preserve">Duolingo English Test</t>
  </si>
  <si>
    <t xml:space="preserve">Duolingo English Test's 'Why I Took the DET' campaign (Jul 2024) is tagged to Digitas India, which won DET's digital mandate in Jun 2023.</t>
  </si>
  <si>
    <t xml:space="preserve">Tara Kapur elevated to Head of Marketing DET (Mar 2026); Duolingo app work now with Talented</t>
  </si>
  <si>
    <t xml:space="preserve">afaqs files boAt's 'Break Through Music' campaign (Jun 2023) under Digitas India.</t>
  </si>
  <si>
    <t xml:space="preserve">Duolingo (app)</t>
  </si>
  <si>
    <t xml:space="preserve">Duolingo's India app campaigns in 2025 and 2026 are credited to Talented, after Digitas ran its Tollywood (2023) and Lakme Fashion Week (2024) work.</t>
  </si>
  <si>
    <t xml:space="preserve">Moved to Talented</t>
  </si>
  <si>
    <t xml:space="preserve">https://www.medianews4u.com/duolingo-and-talented-reimagine-chess-with-a-fashion-forward-campaign-featuring-praggnanandhaa/</t>
  </si>
  <si>
    <t xml:space="preserve">Digitas India was execution partner on the Renault Kiger gamified billboard and playable ads (Oct 2025).</t>
  </si>
  <si>
    <t xml:space="preserve">Audi India (brand communication)</t>
  </si>
  <si>
    <t xml:space="preserve">Saatchi &amp; Saatchi India made Audi's festive 2025 campaign, but Audi appointed Wondrlab brand communication partner after a multi-agency pitch (Mar 2026).</t>
  </si>
  <si>
    <t xml:space="preserve">Moved to Wondrlab (platform first: digital, social, content); earlier creative sat with BBH India (2020); Five-year-old retail mandate; Wondrlab platform-first win in Mar 2026 may have absorbed it.</t>
  </si>
  <si>
    <t xml:space="preserve">https://www.medianews4u.com/audi-india-appoints-wondrlab-as-brand-communication-partner/</t>
  </si>
  <si>
    <t xml:space="preserve">Audi India (retail and dealer communications)</t>
  </si>
  <si>
    <t xml:space="preserve">L&amp;K Saatchi &amp; Saatchi won Audi India's retail communications mandate supporting dealers in 38 cities (Oct 2021).</t>
  </si>
  <si>
    <t xml:space="preserve">Brand work went to Wondrlab Mar 2026; dealer and retail work exposed</t>
  </si>
  <si>
    <t xml:space="preserve">Arvind Limited appointed L&amp;K Saatchi &amp; Saatchi as marketing strategic partner for brand strategy on a new vertical (Jun 2024).</t>
  </si>
  <si>
    <t xml:space="preserve">No 2025 to 2026 Dunkin' work credited to Saatchi found</t>
  </si>
  <si>
    <t xml:space="preserve">2025</t>
  </si>
  <si>
    <t xml:space="preserve">L&amp;K Saatchi &amp; Saatchi made JioMart's 2023 IPL campaign 'Shopping Aisa, India Jaisa'; JioMart's Mar 2026 campaign was by Leo India.</t>
  </si>
  <si>
    <t xml:space="preserve">Moved to Leo India</t>
  </si>
  <si>
    <t xml:space="preserve">Brand overhaul Sep 2026; VP Marketing Aanandita Datta joined Aug 2025</t>
  </si>
  <si>
    <t xml:space="preserve">Publicis Groupe India's Team Spirit created McDowell's Soda's friendship campaign with Kartik Aaryan (Oct 2025).</t>
  </si>
  <si>
    <t xml:space="preserve">Diageo consolidated with Publicis</t>
  </si>
  <si>
    <t xml:space="preserve">Adani uses multiple agencies; Kinnect and 22feet leadership merged under Chandni Shah; unit says it will take only five new clients in 2026</t>
  </si>
  <si>
    <t xml:space="preserve">Omnicom 1</t>
  </si>
  <si>
    <t xml:space="preserve">Kinnect and 22feet leadership merged under Chandni Shah; unit says it will take only five new clients in 2026</t>
  </si>
  <si>
    <t xml:space="preserve">22feet won AJIO's digital and social AOR after a multi-agency pitch (May 2026).</t>
  </si>
  <si>
    <t xml:space="preserve">Freshly pitched, hard to move; CMO Arpan Biswas; Moved 2026-05; agency inside Omnicom-IPG India integration</t>
  </si>
  <si>
    <t xml:space="preserve">https://campaignbriefasia.com/2026/08/17/ajio-and-22feet-launch-rakhi-recovery-abhiyaan-to-recover-years-of-missed-gifts/</t>
  </si>
  <si>
    <t xml:space="preserve">DDB Tribal India</t>
  </si>
  <si>
    <t xml:space="preserve">Interio by Godrej</t>
  </si>
  <si>
    <t xml:space="preserve">22feet Tribal</t>
  </si>
  <si>
    <t xml:space="preserve">22Feet Tribal Worldwide</t>
  </si>
  <si>
    <t xml:space="preserve">Royal Canin</t>
  </si>
  <si>
    <t xml:space="preserve">22feet Tribal Worldwide created VW India's Children's Day 'when does love for the drive begin' campaign in Nov 2025.</t>
  </si>
  <si>
    <t xml:space="preserve">Digital may be absorbed into the Bernbach unit</t>
  </si>
  <si>
    <t xml:space="preserve">Split with BBDO Delhi inside Omnicom</t>
  </si>
  <si>
    <t xml:space="preserve">Battlegrounds Mobile India (BGMI)</t>
  </si>
  <si>
    <t xml:space="preserve">Krafton India</t>
  </si>
  <si>
    <t xml:space="preserve">22feet took BGMI's in-game wedding to Cannes Lions 2026; Krafton India was among the most awarded brands at Abby and Kyoorius 2026.</t>
  </si>
  <si>
    <t xml:space="preserve">https://news.google.com/rss/search?q=BGMI+Krafton+campaign+agency+22feet+OR+McCann+OR+Mudra+2026&amp;hl=en-IN&amp;gl=IN&amp;ceid=IN:en</t>
  </si>
  <si>
    <t xml:space="preserve">22feet (renamed from 22feet Tribal Worldwide) made Flipkart Freedom Sale, SASA LELE and Rakhi campaigns in 2026; digital AOR since Feb 2023.</t>
  </si>
  <si>
    <t xml:space="preserve">Split roster with McCann on creative; Kinnect and 22feet leadership merged under Chandni Shah; unit says it will take only five new clients in 2026</t>
  </si>
  <si>
    <t xml:space="preserve">https://campaignbriefasia.com/2026/08/11/flipkart-puts-a-new-spin-on-british-raj-for-freedom-sale-campaign-by-22feet-india/</t>
  </si>
  <si>
    <t xml:space="preserve">BBDO India conceptualised the India chapter of Mercedes-Benz's global '140 Years. 140 Places.' campaign.</t>
  </si>
  <si>
    <t xml:space="preserve">New head of marketing Nandita Godbole (Jul 2026, succeeding Amrit Baid); marketing budget kept flat despite record sales; festive Dream Days campaign carried no agency credit.</t>
  </si>
  <si>
    <t xml:space="preserve">https://www.afaqs.com/news/advertising/mercedes-benz-marks-140-years-with-india-chapter-of-global-expedition-12544146</t>
  </si>
  <si>
    <t xml:space="preserve">Mercedes-Benz</t>
  </si>
  <si>
    <t xml:space="preserve">Dedicated Team X unit; luxury social, content and experiential could be carved out; BBDO India CEO Suraja Kishore exited Apr 2025; Jitender Dabas named BBDO Group CEO Feb 2026 as Mudra and Ulka folded in</t>
  </si>
  <si>
    <t xml:space="preserve">https://campaignbriefasia.com/2026/09/17/mercedes-benz-celebrates-140-years-with-bbdo-indias-distinctly-indian-homecoming/</t>
  </si>
  <si>
    <t xml:space="preserve">2022-12</t>
  </si>
  <si>
    <t xml:space="preserve">BBDO India was appointed Jack Daniel's integrated communications agency in Dec 2022; Brown-Forman moved the creative AOR to 22feet via pitch in Apr 2026.</t>
  </si>
  <si>
    <t xml:space="preserve">Lost via multi-agency pitch; brand willing to switch</t>
  </si>
  <si>
    <t xml:space="preserve">McCafe (McDonald's India North &amp; East)</t>
  </si>
  <si>
    <t xml:space="preserve">Account newly transferred from DDB Mudra; BBDO India CEO Suraja Kishore exited Apr 2025; Jitender Dabas named BBDO Group CEO Feb 2026 as Mudra and Ulka folded in</t>
  </si>
  <si>
    <t xml:space="preserve">BBDO Delhi (CCO Krishna Mani) created the Whiskas POCKETS campaign in Feb 2026.</t>
  </si>
  <si>
    <t xml:space="preserve">Split mandate: 22feet made a Whiskas film in Jul 2026</t>
  </si>
  <si>
    <t xml:space="preserve">2015</t>
  </si>
  <si>
    <t xml:space="preserve">Newly transferred from DDB Mudra; BBDO India CEO Suraja Kishore exited Apr 2025; Jitender Dabas named BBDO Group CEO Feb 2026 as Mudra and Ulka folded in</t>
  </si>
  <si>
    <t xml:space="preserve">https://www.medianews4u.com/birla-opus-paints-tackles-indias-papdi-problem-with-humorous-campaign-for-style-power-bright/</t>
  </si>
  <si>
    <t xml:space="preserve">Social Samosa lists Whisper among BBDO India's key brands (Dec 2025).</t>
  </si>
  <si>
    <t xml:space="preserve">Volkswagen India</t>
  </si>
  <si>
    <t xml:space="preserve">Volkswagen Group</t>
  </si>
  <si>
    <t xml:space="preserve">Omnicom created Bernbach as Volkswagen's dedicated global marketing and communications agency, coordinating regional execution.</t>
  </si>
  <si>
    <t xml:space="preserve">India coverage inferred from global model; VW in talks with JSW for India investment (Jul 2026) which could reset local marketing.</t>
  </si>
  <si>
    <t xml:space="preserve">https://www.storyboard18.com/agency-news/omnicom-reinvents-the-volkswagen-playbook-with-bernbach-95341.htm</t>
  </si>
  <si>
    <t xml:space="preserve">Bernbach (Omnicom, ex DDB)</t>
  </si>
  <si>
    <t xml:space="preserve">Globally aligned so hard to poach outright; local social, content and experiential projects are the opening</t>
  </si>
  <si>
    <t xml:space="preserve">Bernbach (Omnicom Advertising)</t>
  </si>
  <si>
    <t xml:space="preserve">FCB Neo (retired 2026, FCB India unit)</t>
  </si>
  <si>
    <t xml:space="preserve">Omnicom 2 (ex IPG)</t>
  </si>
  <si>
    <t xml:space="preserve">FCB Neo with Horizon FCB Dubai created the Thar ROXX pothole 'THE Test Drive' activation.</t>
  </si>
  <si>
    <t xml:space="preserve">Mahindra EV work now credited to McCann; FCB units retired</t>
  </si>
  <si>
    <t xml:space="preserve">Royal Stag (Barrel Select Shorts, packaged water)</t>
  </si>
  <si>
    <t xml:space="preserve">Content</t>
  </si>
  <si>
    <t xml:space="preserve">FCB Neo made the 'For the Select Ones' Barrel Select Shorts film (Jun 2025); FCB India did Royal Stag packaged water (Oct 2024).</t>
  </si>
  <si>
    <t xml:space="preserve">FCB India won 360 creative from Ogilvy in Jul 2024; FCB Neo credited for the Dunked campaign in Jan 2026.</t>
  </si>
  <si>
    <t xml:space="preserve">FCB retired; QSR conflict inside Omnicom with Burger King (Kinnect), McDonald's and Domino's</t>
  </si>
  <si>
    <t xml:space="preserve">New CMO Debasree Dasgupta (Sep 2025); IPG to Omnicom merger integration</t>
  </si>
  <si>
    <t xml:space="preserve">FCB Neo</t>
  </si>
  <si>
    <t xml:space="preserve">Global media; new Volvo Cars CEO (ex Skoda) announced Sep 2026; India creative not publicly assigned.</t>
  </si>
  <si>
    <t xml:space="preserve">Initiative held Air India media since 2024 and lost it to Dentsu in June 2026.</t>
  </si>
  <si>
    <t xml:space="preserve">Account in motion; agency review mindset at the airline.; Lost 2026-06 after about 2 years amid Omnicom-IPG integration</t>
  </si>
  <si>
    <t xml:space="preserve">Initiative won Ather Energy's media planning and buying in 2024 against GroupM and Dentsu.</t>
  </si>
  <si>
    <t xml:space="preserve">Omnicom and IPG integration may trigger a media review.</t>
  </si>
  <si>
    <t xml:space="preserve">BMW India, Interactive Avenues and VDO.AI ran interactive CTV campaigns for the 2 Series Gran Coupe and X3.</t>
  </si>
  <si>
    <t xml:space="preserve">IPG Mediabrands folded into Omnicom Media; IA creative team integration under way; luxury auto</t>
  </si>
  <si>
    <t xml:space="preserve">https://www.medianews4u.com/bmw-india-interactive-avenues-and-vdo-ai-collaborate-to-launch-interactive-ctv-campaigns-showcasing-bmw-2-series-gran-coupe-and-bmw-x3/</t>
  </si>
  <si>
    <t xml:space="preserve">FCB Kinnect</t>
  </si>
  <si>
    <t xml:space="preserve">Intel</t>
  </si>
  <si>
    <t xml:space="preserve">FCB Kinnect credited for Intel's PC-in-education campaign.</t>
  </si>
  <si>
    <t xml:space="preserve">Kinnect (ex FCB Kinnect)</t>
  </si>
  <si>
    <t xml:space="preserve">Lenovo, Intel and FCB Kinnect produced the AI storytelling series 'Brave New Art 3'.</t>
  </si>
  <si>
    <t xml:space="preserve">Intra-Omnicom reshuffle; Kinnect says it will add only five new clients a year</t>
  </si>
  <si>
    <t xml:space="preserve">FCB Kinnect credited for Flipkart SASA LELE (Apr 2025) and DiwaLIT Glasses (Oct 2024).</t>
  </si>
  <si>
    <t xml:space="preserve">BBD 2026 campaign credited to McCann; split roster</t>
  </si>
  <si>
    <t xml:space="preserve">https://www.medianews4u.com/flipkarts-sasa-lele-a-double-sale-you-cant-look-away-from-or-stop-humming/</t>
  </si>
  <si>
    <t xml:space="preserve">SBI (festive loans)</t>
  </si>
  <si>
    <t xml:space="preserve">SBI's 'Celebrations Unlimited' festive loans campaign conceptualised by FCB Kinnect.</t>
  </si>
  <si>
    <t xml:space="preserve">Lodestar UM (now Omnicom Media)</t>
  </si>
  <si>
    <t xml:space="preserve">Lodestar UM</t>
  </si>
  <si>
    <t xml:space="preserve">Hilton's global marketing leader Mark Weinstein exited in Sep 2026; India wedding and luxury brands need local content beyond the global campaign.</t>
  </si>
  <si>
    <t xml:space="preserve">Media moved to Dentsu in Jun 2026; new CEO Tewolde Gebremariam (Aug 2026) and comms head Partha Ghosh exited (Sep 2026); FY26 loss over Rs 22,000 crore; McCann now inside Omnicom post IPG merger.</t>
  </si>
  <si>
    <t xml:space="preserve">https://www.storyboard18.com/brand-marketing/air-india-unveils-new-brand-campaign-featuring-vaibhav-sooryavanshi-ahead-of-asian-games-ws-l-111103.htm</t>
  </si>
  <si>
    <t xml:space="preserve">McCann Worldgroup bagged Air India's advertising and marketing communications mandate.</t>
  </si>
  <si>
    <t xml:space="preserve">Brand reset needed after the June 2025 AI171 crash; incumbent since 2023</t>
  </si>
  <si>
    <t xml:space="preserve">https://www.medianews4u.com/mccann-worldgroup-bags-air-indias-advertising-and-marketing-communications-mandate/</t>
  </si>
  <si>
    <t xml:space="preserve">Asian Paints (Royale, Apcolite, Ace)</t>
  </si>
  <si>
    <t xml:space="preserve">McCann credited for Royale Glitz with Deepika Padukone (Sep 2025), Apcolite All Protek (Jun 2025) and anti-damp work (May 2026).</t>
  </si>
  <si>
    <t xml:space="preserve">Paints conflict inside Omnicom: Berger (FCB Neo), Nerolac (Ulka), JSW Paints and Dulux on TBWA\Lintas roster</t>
  </si>
  <si>
    <t xml:space="preserve">Birla Estates' #StoriesPerSqFt T20 campaign with RCB players comprised three digital videos created by McCann.</t>
  </si>
  <si>
    <t xml:space="preserve">Project-based credits across agencies; 2026 Gujarat Titans and Real Advice 2.0 campaigns uncredited.</t>
  </si>
  <si>
    <t xml:space="preserve">CERA</t>
  </si>
  <si>
    <t xml:space="preserve">Premium bathroom repositioning under way</t>
  </si>
  <si>
    <t xml:space="preserve">Mahindra (EV range)</t>
  </si>
  <si>
    <t xml:space="preserve">Mahindra also used FCB Neo (Thar ROXX 2025); roster reshuffle after FCB retirement</t>
  </si>
  <si>
    <t xml:space="preserve">Work led by Prasoon Joshi, now Chairman of Omnicom Advertising India and off day-to-day</t>
  </si>
  <si>
    <t xml:space="preserve">https://www.medianews4u.com/manyavars-aap-kab-ban-rahe-hain-manyavar-campaign-celebrates-the-wedding-as-a-joyful-milestone-in-the-grooms-journey/</t>
  </si>
  <si>
    <t xml:space="preserve">McCann CEO Dheeraj Sinha cites Myntra among clients maintaining spend with the agency post-merger.</t>
  </si>
  <si>
    <t xml:space="preserve">Post-merger agency transition; Myntra pushing premium fashion and beauty</t>
  </si>
  <si>
    <t xml:space="preserve">Social Samosa lists Coca-Cola among McCann India's marquee clients.</t>
  </si>
  <si>
    <t xml:space="preserve">McCann made the Jan 2024 'I'm Complan Boy-Girl' film; Lowe Lintas won Complan creative after a pitch in Dec 2024.</t>
  </si>
  <si>
    <t xml:space="preserve">Moved to Lowe Lintas (now TBWA\Lintas) Dec 2024</t>
  </si>
  <si>
    <t xml:space="preserve">Flipkart (Big Billion Days)</t>
  </si>
  <si>
    <t xml:space="preserve">McCann India credited for the Big Billion Days 2026 iPhone campaign with Piyush Mishra.</t>
  </si>
  <si>
    <t xml:space="preserve">Flipkart work split across McCann, Kinnect and Lintas in 2024 to 2026; fragmented roster</t>
  </si>
  <si>
    <t xml:space="preserve">https://www.medianews4u.com/flipkart-turns-piyush-mishras-biggest-regret-into-a-big-billion-days-iphone-campaign/</t>
  </si>
  <si>
    <t xml:space="preserve">CEO interview names Maggi as an active McCann client after the Omnicom integration.</t>
  </si>
  <si>
    <t xml:space="preserve">Long tenure incumbent; Prasoon Joshi moved up to Chairman, Omnicom Advertising India</t>
  </si>
  <si>
    <t xml:space="preserve">McCann India created the 30-year 'Let's Family at McD' campaign with an anthem by Prasoon Joshi for Westlife.</t>
  </si>
  <si>
    <t xml:space="preserve">Inherited from DDB Mudra in the merger; new relationship still settling</t>
  </si>
  <si>
    <t xml:space="preserve">Now with Team WPP; brand has shown willingness to move agencies quickly</t>
  </si>
  <si>
    <t xml:space="preserve">New anchor shareholder SMBC (2025) could reset marketing [unverified, check before outreach]</t>
  </si>
  <si>
    <t xml:space="preserve">FCB India (retired 2026, absorbed into McCann India)</t>
  </si>
  <si>
    <t xml:space="preserve">FCB Interface (retired 2026, FCB India unit)</t>
  </si>
  <si>
    <t xml:space="preserve">FCB Interface tag lists DBS Bank India's 'Sounds of Budget' revamp.</t>
  </si>
  <si>
    <t xml:space="preserve">Interface leadership exit and FCB retirement</t>
  </si>
  <si>
    <t xml:space="preserve">Versuni India Home Solutions</t>
  </si>
  <si>
    <t xml:space="preserve">FCB Interface won creative for Philips kitchen appliances and garment care (Versuni).</t>
  </si>
  <si>
    <t xml:space="preserve">Interface CEO Gaurav Dudeja left to become Kinnect CBO (Jun 2026); Interface unit status unclear</t>
  </si>
  <si>
    <t xml:space="preserve">FCB India topic lists vivo's #JoyOfHomecoming Diwali campaign.</t>
  </si>
  <si>
    <t xml:space="preserve">https://www.afaqs.com/news/advertising/vivo-brings-back-the-joyofhomecoming-celebrating-the-spirit-of-diwali-preparations-10543173</t>
  </si>
  <si>
    <t xml:space="preserve">DDB Mudra created Myntra's M-Now (Jun 2025) and Rakhi gifting (Aug 2025) campaigns.</t>
  </si>
  <si>
    <t xml:space="preserve">Myntra called a creative pitch for EORS in Apr 2026; Tilt Brand Solutions made the Mar 2026 birthday campaign; marketing leader Sunder Balasubramanian exited Sep 2026; CMO exit Sep 2026 could trigger review</t>
  </si>
  <si>
    <t xml:space="preserve">Narayana Hrudayalaya</t>
  </si>
  <si>
    <t xml:space="preserve">Narayana One Health gave DDB Mudra its creative and experiential mandate after a pitch; 'Ayyo to Oh' spot followed in Feb 2025.</t>
  </si>
  <si>
    <t xml:space="preserve">Social media and ORM mandate went to Liqvd Asia in Aug 2026 (split mandate); DDB brand retired Jan 2026 and DDB Mudra split across McCann, BBDO Group (Mudra) and TBWA\Lintas; destination of this account not announced</t>
  </si>
  <si>
    <t xml:space="preserve">DDB Mudra's Netflix 'Heartbreak Billboard' features on The Work 2025 hot list.</t>
  </si>
  <si>
    <t xml:space="preserve">Netflix India influencer mandate put under review Apr 2026; media moved to Omnicom's Initiative May 2026; Talented made the Flipkart x Netflix film Aug 2026</t>
  </si>
  <si>
    <t xml:space="preserve">Social Samosa's Dec 2025 DDB obituary names Philips among DDB Mudra's notable clients.</t>
  </si>
  <si>
    <t xml:space="preserve">Philips also named as a TBWA India account (Ranjeev Vij, who exited Apr 2025); ownership unclear</t>
  </si>
  <si>
    <t xml:space="preserve">DDB Mudra won the creative AOR for the flagship Raymond brand after a multi-agency pitch in Nov 2022.</t>
  </si>
  <si>
    <t xml:space="preserve">AOR nearly four years old (pitch cycle due); DDB brand retired Jan 2026 and DDB Mudra split across McCann, BBDO Group (Mudra) and TBWA\Lintas; destination of this account not announced</t>
  </si>
  <si>
    <t xml:space="preserve">FSSAI challenged Royal Challenge's American oak maturation claim Aug 2026 (reputation and PR need); DDB brand retired Jan 2026 and DDB Mudra split across McCann, BBDO Group (Mudra) and TBWA\Lintas; destination of this account not announced</t>
  </si>
  <si>
    <t xml:space="preserve">DDB Mudra won Spotify India's digital marketing mandate in 2019 and Spotify remains on The Work 2025 client list.</t>
  </si>
  <si>
    <t xml:space="preserve">Incumbent since 2019 (fatigue); DDB brand retired Jan 2026 and DDB Mudra split across McCann, BBDO Group (Mudra) and TBWA\Lintas; destination of this account not announced</t>
  </si>
  <si>
    <t xml:space="preserve">VW creative in India was handled by DDB Mudra; after DDB was folded, Omnicom set up a dedicated Bernbach unit for VW.</t>
  </si>
  <si>
    <t xml:space="preserve">Long incumbency ended by merger; now a bespoke global unit</t>
  </si>
  <si>
    <t xml:space="preserve">DDB Mudra South created the 'ACKO Pola Varuma' campaign for ACKO in Chennai in June 2024.</t>
  </si>
  <si>
    <t xml:space="preserve">ACKO CMO Ashish Mishra exited Apr 2026; DDB brand retired Jan 2026 and DDB Mudra split across McCann, BBDO Group (Mudra) and TBWA\Lintas; destination of this account not announced</t>
  </si>
  <si>
    <t xml:space="preserve">DDB Mudra Group's BGMI 'Great In-Game Wedding' was a 2025 Cannes entry; the 2026 Cannes entry is credited to 22feet.</t>
  </si>
  <si>
    <t xml:space="preserve">Account moved to sister unit 22feet in 2026</t>
  </si>
  <si>
    <t xml:space="preserve">Birla Opus roped in DDB Mudra for four paint brands in Feb 2024; May 2026 Birla Opus work is credited to BBDO India.</t>
  </si>
  <si>
    <t xml:space="preserve">Moved to BBDO India along with DDB Mudra strategy head Shashank Lanjekar</t>
  </si>
  <si>
    <t xml:space="preserve">https://bwmarketingworld.businessworld.in/article/Account-Wins-Birla-Opus-DDB-Mudra-Prohed-PokerBaazi-Interbrand-India-HDFC-Bank-Wing-Communications-Planify/23-02-2024-510756/</t>
  </si>
  <si>
    <t xml:space="preserve">Dream11's 'Yeh Sabka Dream Hai' T20 World Cup campaign was made via DDB Mudra in May 2024.</t>
  </si>
  <si>
    <t xml:space="preserve">DDB Mudra made Flipkart Big Billion Days 2025 work; 2026 BBD campaigns are credited to McCann India within Omnicom.</t>
  </si>
  <si>
    <t xml:space="preserve">Moved to McCann India in 2026 with ex DDB Mudra CCO Rahul Mathew; roster now split McCann (creative) and 22feet (digital)</t>
  </si>
  <si>
    <t xml:space="preserve">Gulf Oil</t>
  </si>
  <si>
    <t xml:space="preserve">Gulf is listed among DDB Mudra Group clients on The Work 2024 hot list.</t>
  </si>
  <si>
    <t xml:space="preserve">2020-09</t>
  </si>
  <si>
    <t xml:space="preserve">DDB Mudra won the N&amp;E integrated marketing mandate in Sep 2020; by Aug 2026 N&amp;E McCafe work is credited to BBDO India.</t>
  </si>
  <si>
    <t xml:space="preserve">Moved inside Omnicom to BBDO India after Mudra folded into BBDO Group</t>
  </si>
  <si>
    <t xml:space="preserve">DDB Mudra Mumbai made W&amp;S campaigns through Oct 2025; the June 2026 30th anniversary campaign is by McCann India.</t>
  </si>
  <si>
    <t xml:space="preserve">Moved inside Omnicom to McCann India in 2026; W&amp;S and N&amp;E franchisees now on different Omnicom agencies</t>
  </si>
  <si>
    <t xml:space="preserve">DDB Mudra's #BetaStayfreeLeAana was a Cannes 2025 entry; by Sep 2026 the same platform is run by Team WPP.</t>
  </si>
  <si>
    <t xml:space="preserve">Account moved twice in a year (McCann India then Team WPP); Kenvue in ownership flux [unverified, check before outreach]</t>
  </si>
  <si>
    <t xml:space="preserve">DDB Mudra's Steadfast Shredder work appeared on The Work 2024; the 2026 Cannes Bronze for Steadfast went to TBWA\Lintas.</t>
  </si>
  <si>
    <t xml:space="preserve">Moved inside Omnicom to TBWA\Lintas</t>
  </si>
  <si>
    <t xml:space="preserve">2019-09</t>
  </si>
  <si>
    <t xml:space="preserve">Bira 91 partnered OMD (Sep 2019); no newer agency news found.</t>
  </si>
  <si>
    <t xml:space="preserve">Press reports of financial stress in 2025; turnaround brief possible [unverified, check before outreach]</t>
  </si>
  <si>
    <t xml:space="preserve">Media only; creative and social partners separate.</t>
  </si>
  <si>
    <t xml:space="preserve">Creative agency not credited on 2024 #GRWS campaign</t>
  </si>
  <si>
    <t xml:space="preserve">Raymond Lifestyle demerged and listed 2024; CEO Satyaki Ghosh</t>
  </si>
  <si>
    <t xml:space="preserve">https://www.medianews4u.com/raymonds-the-complete-man-campaign-celebrates-modern-fatherhood-and-emotional-presence/</t>
  </si>
  <si>
    <t xml:space="preserve">Omnicom Media</t>
  </si>
  <si>
    <t xml:space="preserve">Tata Motors PV's Rs 450 crore media pitch concluded with existing roster retained: Lodestar UM, OMD, Dentsu and Madison.</t>
  </si>
  <si>
    <t xml:space="preserve">Fragmented roster across ICE, EV and outdoor; new launches (Sierra, Harrier EV) create content briefs.</t>
  </si>
  <si>
    <t xml:space="preserve">Omnicom Media Group (Lodestar UM, OMD) with Dentsu and Madison</t>
  </si>
  <si>
    <t xml:space="preserve">Hyatt</t>
  </si>
  <si>
    <t xml:space="preserve">Hyatt Hotels</t>
  </si>
  <si>
    <t xml:space="preserve">TBWA\Lintas created the 'One Wedding. Many Stories.' Rivaah campaign shot at Taj Jai Mahal Palace; CMO Pelki Tshering.</t>
  </si>
  <si>
    <t xml:space="preserve">Bridal and destination-wedding content is specialist territory; MullenLowe retired; Lintas rebadged TBWA\Lintas Jan 2026; co-CEO Prateek Bharadwaj exit reported Feb 2026</t>
  </si>
  <si>
    <t xml:space="preserve">Axis Bank (NRI Services)</t>
  </si>
  <si>
    <t xml:space="preserve">TBWA Lintas conceptualised Axis Bank's NRI campaign 'Far Away But Never Apart'.</t>
  </si>
  <si>
    <t xml:space="preserve">Lintas folded into TBWA post Omnicom and IPG merger; integration churn is a door opener.</t>
  </si>
  <si>
    <t xml:space="preserve">TBWA\Lintas created Axis Bank's NRI 'Far Away But Never Apart' films; CMO Anoop Manohar.</t>
  </si>
  <si>
    <t xml:space="preserve">Long Lintas tenure; NRI and wealth work suits premium specialists</t>
  </si>
  <si>
    <t xml:space="preserve">https://www.medianews4u.com/axis-banks-new-nri-campaign-turns-distance-into-a-story-of-connection/</t>
  </si>
  <si>
    <t xml:space="preserve">TBWA\Lintas (ex Lowe Lintas)</t>
  </si>
  <si>
    <t xml:space="preserve">TBWA India</t>
  </si>
  <si>
    <t xml:space="preserve">2018-05</t>
  </si>
  <si>
    <t xml:space="preserve">Lowe Lintas won FabIndia's creative mandate in May 2018; FabIndia's 2026 seasonal campaigns carry no agency credit.</t>
  </si>
  <si>
    <t xml:space="preserve">Eight-year-old mandate; seasonal films now appear in-house</t>
  </si>
  <si>
    <t xml:space="preserve">Lowe Lintas (now TBWA\Lintas)</t>
  </si>
  <si>
    <t xml:space="preserve">Decades-long incumbency; MullenLowe retired; Lintas rebadged TBWA\Lintas Jan 2026; co-CEO Prateek Bharadwaj exit reported Feb 2026</t>
  </si>
  <si>
    <t xml:space="preserve">Hilton</t>
  </si>
  <si>
    <t xml:space="preserve">Mullen Lintas (folded into TBWA\Lintas)</t>
  </si>
  <si>
    <t xml:space="preserve">IndusInd Bank Ltd</t>
  </si>
  <si>
    <t xml:space="preserve">IndusInd Bank's 'Fixed bhi, Fabulous bhi' FD campaign was a brainchild of TBWA Lintas.</t>
  </si>
  <si>
    <t xml:space="preserve">New CMO Sheran Mendiratta Mehra (Oct 2025) and new Head of Marketing and Partnerships (May 2026); affluent banking needs premium content.</t>
  </si>
  <si>
    <t xml:space="preserve">https://www.afaqs.com/news/advertising/indusind-bank-launches-fixed-bhi-fabulous-bhi-campaign-for-fds-11810481</t>
  </si>
  <si>
    <t xml:space="preserve">Lintas made 'Game Ho Ya Life, #WePlayLikeMumbai' (2025); Kinnect replaced Lintas in Mar 2026.</t>
  </si>
  <si>
    <t xml:space="preserve">Moved to Kinnect Mar 2026</t>
  </si>
  <si>
    <t xml:space="preserve">Tanishq (Rivaah)</t>
  </si>
  <si>
    <t xml:space="preserve">Long-tenured Lintas relationship now running as TBWA\Lintas after network merger; integration period.</t>
  </si>
  <si>
    <t xml:space="preserve">Standard Chartered Bank</t>
  </si>
  <si>
    <t xml:space="preserve">Social Samosa lists Standard Chartered among TBWA India's clients (Dec 2025).</t>
  </si>
  <si>
    <t xml:space="preserve">Premium banking; TBWA India merged into TBWA\Lintas Jan 2026; co-lead Prateek Bharadwaj reported exiting Feb 2026</t>
  </si>
  <si>
    <t xml:space="preserve">Decades-long incumbent; heavy 2026 launch slate (gemstones, natural diamonds, gold exchange); CMO Pelki Tshering testing new formats like ChatGPT Ads; Decades-long Lintas incumbency (fatigue); MullenLowe retired; Lintas rebadged TBWA\Lintas Jan 2026; co-CEO Prateek Bharadwaj exit reported Feb 2026</t>
  </si>
  <si>
    <t xml:space="preserve">TBWA\Lintas (formerly Lowe Lintas)</t>
  </si>
  <si>
    <t xml:space="preserve">Account lead Ranjeev Vij exited Apr 2025; parent Air India uses McCann; TBWA India merged into TBWA\Lintas Jan 2026; co-lead Prateek Bharadwaj reported exiting Feb 2026</t>
  </si>
  <si>
    <t xml:space="preserve">Mullen Lintas and Lintas Live made the 2022 Parineeti campaign; FCB Ulka won the account after a pitch in Nov 2025 (prior agency not named).</t>
  </si>
  <si>
    <t xml:space="preserve">Moved to FCB Ulka Nov 2025 (inferred)</t>
  </si>
  <si>
    <t xml:space="preserve">Bandhan Bank sits on the TBWA\Lintas client wall, but Dentsu Creative Isobar won its creative account in Jul 2026 (prior agency not named).</t>
  </si>
  <si>
    <t xml:space="preserve">Moved to Dentsu Creative Isobar Jul 2026</t>
  </si>
  <si>
    <t xml:space="preserve">https://www.afaqs.com/news/newbizwins/dentsu-creative-isobar-bags-bandhan-banks-creative-account-12186723</t>
  </si>
  <si>
    <t xml:space="preserve">Britannia (Milk Bikis, NutriChoice)</t>
  </si>
  <si>
    <t xml:space="preserve">Lintas credited for NutriChoice 'Face the Facts' and a Milk Bikis Ajith fan activation, Apr 2025.</t>
  </si>
  <si>
    <t xml:space="preserve">Britannia split between Lintas and McCann</t>
  </si>
  <si>
    <t xml:space="preserve">https://www.medianews4u.com/britannia-nutrichoice-rolls-out-bold-face-the-facts-campaign-with-refreshingly-honest-packaging/</t>
  </si>
  <si>
    <t xml:space="preserve">Pitch led by Subbu, since elevated to Omnicom Advertising India CSO</t>
  </si>
  <si>
    <t xml:space="preserve">2021-05</t>
  </si>
  <si>
    <t xml:space="preserve">Lowe Lintas created 'Naam Hai Kamiliant, Kaam Hai Toughness' under CCO Prateek Bharadwaj.</t>
  </si>
  <si>
    <t xml:space="preserve">2009</t>
  </si>
  <si>
    <t xml:space="preserve">Tata AIG</t>
  </si>
  <si>
    <t xml:space="preserve">Social handled separately (Social Panga since 2023); TBWA India merged into TBWA\Lintas Jan 2026; co-lead Prateek Bharadwaj reported exiting Feb 2026</t>
  </si>
  <si>
    <t xml:space="preserve">TVS Motor (child safety)</t>
  </si>
  <si>
    <t xml:space="preserve">MullenLowe Lintas tag lists TVS 'Protect Little Riders' child safety campaign.</t>
  </si>
  <si>
    <t xml:space="preserve">TVS split between Lintas and Kinnect</t>
  </si>
  <si>
    <t xml:space="preserve">Hyatt created a new President India and Southwest Asia role (Vikas Chawla, Mar 2026); Lintas absorbed into TBWA after Omnicom and IPG merger.</t>
  </si>
  <si>
    <t xml:space="preserve">Lintas Live (TBWA\Lintas)</t>
  </si>
  <si>
    <t xml:space="preserve">Lintas Live (folded into TBWA\Lintas)</t>
  </si>
  <si>
    <t xml:space="preserve">2020-12</t>
  </si>
  <si>
    <t xml:space="preserve">Five-plus year incumbency; Lintas Live absorbed into TBWA\Lintas</t>
  </si>
  <si>
    <t xml:space="preserve">Lintas Live (now under Omnicom)</t>
  </si>
  <si>
    <t xml:space="preserve">Lintas Live bagged the PR and advocacy mandate for Tata AIG.</t>
  </si>
  <si>
    <t xml:space="preserve">Bhima Jewels (diamond range)</t>
  </si>
  <si>
    <t xml:space="preserve">FCB Ulka tag lists Bhima's diamond range campaign fronted by Sobhita Dhulipala.</t>
  </si>
  <si>
    <t xml:space="preserve">Ulka (ex FCB Ulka, now in BBDO Group India)</t>
  </si>
  <si>
    <t xml:space="preserve">FCB Ulka</t>
  </si>
  <si>
    <t xml:space="preserve">Bajaj Almond Drops and Bajaj No Marks</t>
  </si>
  <si>
    <t xml:space="preserve">Won weeks before Ulka moved into BBDO Group; Ulka moved into BBDO Group; new group CEO Jitender Dabas from Feb 2026</t>
  </si>
  <si>
    <t xml:space="preserve">Ulka</t>
  </si>
  <si>
    <t xml:space="preserve">SAR Group</t>
  </si>
  <si>
    <t xml:space="preserve">Livpure appointed Weber Shandwick for media engagement, reputation and narrative; CMO Nitin Malhotra.</t>
  </si>
  <si>
    <t xml:space="preserve">2020</t>
  </si>
  <si>
    <t xml:space="preserve">Taproot Dentsu</t>
  </si>
  <si>
    <t xml:space="preserve">Dentsu, Havas, Asian</t>
  </si>
  <si>
    <t xml:space="preserve">Dentsu won Air India's Rs 100 to 150 crore media planning and buying mandate after a multi-agency pitch.</t>
  </si>
  <si>
    <t xml:space="preserve">Fresh media reshuffle often triggers creative and content rethink; Dentsu India under tax probe and global restructuring.; Media moved 2026-06; Dentsu India tax searches 2026-09</t>
  </si>
  <si>
    <t xml:space="preserve">Dentsu India</t>
  </si>
  <si>
    <t xml:space="preserve">BIBA Fashion</t>
  </si>
  <si>
    <t xml:space="preserve">Taproot Dentsu won BIBA seasonal creative campaigns after multi-agency pitch, Gurgaon.</t>
  </si>
  <si>
    <t xml:space="preserve">Taproot brand retired in 2022 merger; later BIBA campaign credited to iProspect</t>
  </si>
  <si>
    <t xml:space="preserve">https://www.afaqs.com/news/advertising/taproot-dentsu-wins-creative-mandate-for-biba</t>
  </si>
  <si>
    <t xml:space="preserve">Taproot Dentsu (folded into Dentsu Creative)</t>
  </si>
  <si>
    <t xml:space="preserve">Honda Motor Co.</t>
  </si>
  <si>
    <t xml:space="preserve">Dentsu Creative India created 'A Honda Goes Beyond' brand campaign.</t>
  </si>
  <si>
    <t xml:space="preserve">Japanese network alignment; no 2024-26 credits found</t>
  </si>
  <si>
    <t xml:space="preserve">https://www.dentsu.com/in/en/our-news/dentsu-creative-india-launches-a-honda-goes-beyond-campaign</t>
  </si>
  <si>
    <t xml:space="preserve">No 2024-26 credits found</t>
  </si>
  <si>
    <t xml:space="preserve">Bajaj Allianz General Insurance</t>
  </si>
  <si>
    <t xml:space="preserve">WATConsult (folded into Dentsu Creative)</t>
  </si>
  <si>
    <t xml:space="preserve">Gulf Oil Lubricants</t>
  </si>
  <si>
    <t xml:space="preserve">Hinduja Group</t>
  </si>
  <si>
    <t xml:space="preserve">Dentsu Creative credited for 'The Unstoppables' movie-format campaign with Dhoni, Pandya, Mandhana.</t>
  </si>
  <si>
    <t xml:space="preserve">https://www.medianews4u.com/gulf-oil-gives-its-new-ad-campaign-a-full-fledged-movie-format/</t>
  </si>
  <si>
    <t xml:space="preserve">HELL Energy</t>
  </si>
  <si>
    <t xml:space="preserve">dentsu India</t>
  </si>
  <si>
    <t xml:space="preserve">Lotte India (Choco Pie, PEPERO, Joee)</t>
  </si>
  <si>
    <t xml:space="preserve">Split: Hakuhodo's AdGlobal360 won awards for TVS Ntorq digital</t>
  </si>
  <si>
    <t xml:space="preserve">Luxury retail rollout in India needs ongoing social, content and PR; Dentsu India offices searched by tax authorities Sep 2026; COO South Asia retired Aug 2026 and Chief Client Officer exited Nov 2025; De Beers splits work across two networks; PR and luxury events not assigned publicly.</t>
  </si>
  <si>
    <t xml:space="preserve">https://www.dentsu.com/in/en/our-news/dentsu-creative-isobar-wins-integrated-creative-mandate-for-forevermark</t>
  </si>
  <si>
    <t xml:space="preserve">Just pitched Aug 2026; watch for content and influencer spillover work; Dentsu India offices searched by tax authorities Sep 2026; COO South Asia retired Aug 2026 and Chief Client Officer exited Nov 2025; Moved 2026-08; Dentsu India offices searched in GST probe 2026-09; parent cutting about 3,400 jobs; Split: digital with GreenHonchos since Jul 2025.</t>
  </si>
  <si>
    <t xml:space="preserve">Canon India (Imaging Consumer Business)</t>
  </si>
  <si>
    <t xml:space="preserve">Split within Dentsu: Webchutney did brand creative in 2025, Isobar now holds digital; Moved 2026-07; Dentsu India tax searches 2026-09</t>
  </si>
  <si>
    <t xml:space="preserve">Bandhan Bank Ltd</t>
  </si>
  <si>
    <t xml:space="preserve">Freshly awarded; low near-term.; Moved 2026-07; incumbent not named; Dentsu India regulatory scrutiny 2026-09</t>
  </si>
  <si>
    <t xml:space="preserve">BGMI (Battlegrounds Mobile India)</t>
  </si>
  <si>
    <t xml:space="preserve">Isobar credited for 'Make BGMI your first' short-film campaign.</t>
  </si>
  <si>
    <t xml:space="preserve">https://www.medianews4u.com/dentsu-creative-isobar-and-krafton-india-elevate-bgmi-beyond-gaming-in-latest-campaign/</t>
  </si>
  <si>
    <t xml:space="preserve">Bundled holding-company deal; creative and social can be unbundled later</t>
  </si>
  <si>
    <t xml:space="preserve">Isobar was creative partner for the 'Instawarmer' tech-led winter activation in Delhi-NCR.</t>
  </si>
  <si>
    <t xml:space="preserve">Project-led work; no retainer confirmed</t>
  </si>
  <si>
    <t xml:space="preserve">https://www.dentsu.com/in/en/our-news/swiggy-instamart-dentsu-creative-isobar-and-lifelong-heat-up-delhi-ncr-campaign</t>
  </si>
  <si>
    <t xml:space="preserve">Dentsu Creative PR (formerly Perfect Relations) handles PR and reputation within the integrated HELL mandate.</t>
  </si>
  <si>
    <t xml:space="preserve">Dentsu Creative PR handles earned media, influencer engagement and reputation for the India launch.</t>
  </si>
  <si>
    <t xml:space="preserve">Heritage jeweller; project film credit, social and content likely separate</t>
  </si>
  <si>
    <t xml:space="preserve">Webchutney created Canon India's Go Beyond campaign for young creators in May 2025.</t>
  </si>
  <si>
    <t xml:space="preserve">Canon work now spread across two Dentsu units; creative lead unclear</t>
  </si>
  <si>
    <t xml:space="preserve">https://www.medianews4u.com/canon-india-dentsu-creative-webchutney-unveil-go-beyond-campaign-to-inspire-young-creators/</t>
  </si>
  <si>
    <t xml:space="preserve">Dentsu Webchutney won Tanishq's digital mandate in 2021 and a Laadli Grand Prix for Tanishq work in Dec 2022; no 2024 to 2026 confirmation found.</t>
  </si>
  <si>
    <t xml:space="preserve">Digital incumbent 5 years with no recent visible credit; Five-plus year incumbent, no 2025-26 credits found; fatigue risk; Dentsu India offices searched by tax authorities Sep 2026; COO South Asia retired Aug 2026 and Chief Client Officer exited Nov 2025</t>
  </si>
  <si>
    <t xml:space="preserve">https://www.medianews4u.com/laadli-media-and-advertising-awards-for-gender-sensitivity-2022-dentsu-webchutney-wins-grand-prix-for-tanishq/</t>
  </si>
  <si>
    <t xml:space="preserve">Dentsu Webchutney won MakeMyTrip digital creative account after multi-agency pitch, Mumbai.</t>
  </si>
  <si>
    <t xml:space="preserve">Four-year-old mandate, no recent public credits found</t>
  </si>
  <si>
    <t xml:space="preserve">Air India Ltd (Tata)</t>
  </si>
  <si>
    <t xml:space="preserve">Air India Express is presenting partner of the JioHotstar series 'Voices of the Land' with Dentsu S&amp;E as integration partner.</t>
  </si>
  <si>
    <t xml:space="preserve">Dentsu also holds Tata Group IPL media; Air India CEO mulling Air India Express merger (Sep 2026) could consolidate agencies.</t>
  </si>
  <si>
    <t xml:space="preserve">ITC Limited</t>
  </si>
  <si>
    <t xml:space="preserve">2021-03</t>
  </si>
  <si>
    <t xml:space="preserve">Havas Creative India won digital communication mandate for ITC Bingo and sub-brands.</t>
  </si>
  <si>
    <t xml:space="preserve">Havas Worldwide India credited for the 360-degree Korean Spicy Fest campaign.</t>
  </si>
  <si>
    <t xml:space="preserve">https://www.medianews4u.com/burger-king-india-debuts-limited-time-korean-spicy-fest-menu/</t>
  </si>
  <si>
    <t xml:space="preserve">Named creative agency on record for brand communication, Gurugram office.</t>
  </si>
  <si>
    <t xml:space="preserve">3-year incumbent; Feb 2026 Sreeleela film uncredited; Honasa leadership reshuffle May 2026</t>
  </si>
  <si>
    <t xml:space="preserve">Havas Worldwide India created the K-beauty themed Rice Facewash digital film.</t>
  </si>
  <si>
    <t xml:space="preserve">D2C beauty brands rotate agencies often; no 2025-26 credit found</t>
  </si>
  <si>
    <t xml:space="preserve">Bennett, Coleman &amp; Co.</t>
  </si>
  <si>
    <t xml:space="preserve">Havas Creative India's 'Ink of Democracy' for TOI won India's first Gold Lion at Cannes 2025.</t>
  </si>
  <si>
    <t xml:space="preserve">https://www.medianews4u.com/havas-creative-india-wins-indias-first-gold-at-cannes-lions-2025-for-ink-of-democracy/</t>
  </si>
  <si>
    <t xml:space="preserve">Havas Media</t>
  </si>
  <si>
    <t xml:space="preserve">Havas Media Network India</t>
  </si>
  <si>
    <t xml:space="preserve">ORRA Fine Jewellery</t>
  </si>
  <si>
    <t xml:space="preserve">ORRA diamond jewellery appointed PR Pundit as India communications partner.</t>
  </si>
  <si>
    <t xml:space="preserve">Six-year-old PR mandate; likely fatigue or already moved</t>
  </si>
  <si>
    <t xml:space="preserve">Samsung Galaxy (mobile)</t>
  </si>
  <si>
    <t xml:space="preserve">Captive in-house network agency; near-zero poach odds</t>
  </si>
  <si>
    <t xml:space="preserve">https://www.afaqs.com/news/advertising/cheil-india-rolls-out-trusted-by-india-campaign-for-galaxy-a-series-12030227</t>
  </si>
  <si>
    <t xml:space="preserve">Samsung consolidated its ATL media (est. Rs 300 crore) with Cheil India after a pitch, moving traditional media from Lodestar UM.</t>
  </si>
  <si>
    <t xml:space="preserve">Captive agency; not poachable; Media consolidated 2026-05; pitch triggered by Omnicom-IPG merger and Apple conflict</t>
  </si>
  <si>
    <t xml:space="preserve">JSW Group and SAIC</t>
  </si>
  <si>
    <t xml:space="preserve">Cheil X launched JSW MG's 'EV Sahi Hai' testimonial campaign.</t>
  </si>
  <si>
    <t xml:space="preserve">JSW to become largest shareholder (May 2026) and Parth Jindal named chairman (Aug 2026): ownership shift likely triggers agency realignment; MG Select luxury line needs premium creative.; Cheil X CEO Jitender Dabas left for BBDO India in 2026; no 2025-26 MG credit found</t>
  </si>
  <si>
    <t xml:space="preserve">https://www.afaqs.com/news/advertising/cheil-x-launches-ev-sahi-hai-campaign-to-promote-jsw-mg-electric-vehicles-9659781</t>
  </si>
  <si>
    <t xml:space="preserve">Hero MotoCorp (festive campaigns)</t>
  </si>
  <si>
    <t xml:space="preserve">Cheil X reportedly won the festive-season creative pitch against WPP and Omnicom Advertising India (date inferred from e4m profile).</t>
  </si>
  <si>
    <t xml:space="preserve">2013</t>
  </si>
  <si>
    <t xml:space="preserve">EVEREADY</t>
  </si>
  <si>
    <t xml:space="preserve">Won digital and media account (social, ORM, SEO, media) after multi-agency pitch, Mumbai.</t>
  </si>
  <si>
    <t xml:space="preserve">Social Beat's work page lists engagement campaigns for Mercedes-Benz.</t>
  </si>
  <si>
    <t xml:space="preserve">Indie digital</t>
  </si>
  <si>
    <t xml:space="preserve">Social Beat's work page lists real estate lead generation for Brigade Group.</t>
  </si>
  <si>
    <t xml:space="preserve">Split: PMG India handles Porsche experiential</t>
  </si>
  <si>
    <t xml:space="preserve">TVS Ntorq and TVS Zest</t>
  </si>
  <si>
    <t xml:space="preserve">AdGlobal360 awarded for TVS Ntorq digital and TVS Zest influencer marketing in 2026.</t>
  </si>
  <si>
    <t xml:space="preserve">Split with Dentsu Creative on NTORQ brand creative</t>
  </si>
  <si>
    <t xml:space="preserve">Hakuhodo.Wyng</t>
  </si>
  <si>
    <t xml:space="preserve">Hakuhodo India leadership changed Jun 2026 (new co-MDs); Creative moved 2026-05</t>
  </si>
  <si>
    <t xml:space="preserve">Hakuhodo.Sync</t>
  </si>
  <si>
    <t xml:space="preserve">PMG India won Launch Event and Brand Experience of the Year for BMW at WOW Awards Asia 2026.</t>
  </si>
  <si>
    <t xml:space="preserve">Experiential only; content and social separate</t>
  </si>
  <si>
    <t xml:space="preserve">Mercedes-Benz India (incl. Maybach)</t>
  </si>
  <si>
    <t xml:space="preserve">PMG India won Luxury Brand Activation of the Year for Mercedes at WOW Awards Asia 2026 and Maybach SL 680 launch awards.</t>
  </si>
  <si>
    <t xml:space="preserve">Experiential only; social, content and PR are separate opportunities</t>
  </si>
  <si>
    <t xml:space="preserve">PMG India awarded for Porsche cause-related and environmental marketing at e4m Automotive Awards 2026.</t>
  </si>
  <si>
    <t xml:space="preserve">Stale PR roster</t>
  </si>
  <si>
    <t xml:space="preserve">80dB Mavericks</t>
  </si>
  <si>
    <t xml:space="preserve">80 dB Communications</t>
  </si>
  <si>
    <t xml:space="preserve">Big celebrity spend (SRK); brand creative and social not visible</t>
  </si>
  <si>
    <t xml:space="preserve">ITC Hotels signed ActiMedia as PR and communications partner in 2021.</t>
  </si>
  <si>
    <t xml:space="preserve">Five year old PR relationship; ITC Hotels demerged and listed, acquiring Zuri Kumarakom and GHK (2026), new F&amp;B marketing head (Aug 2026).</t>
  </si>
  <si>
    <t xml:space="preserve">ActiMedia</t>
  </si>
  <si>
    <t xml:space="preserve">Split roster; listed company; new sub-brand Ti22 by Aham (Aug 2026); Kiara Advani campaign</t>
  </si>
  <si>
    <t xml:space="preserve">Actimedia PR &amp; Digital</t>
  </si>
  <si>
    <t xml:space="preserve">Mercedes-Benz AG</t>
  </si>
  <si>
    <t xml:space="preserve">Mercedes-Benz India appointed Adfactors PR for integrated communications after a multi-agency evaluation, effective 1 April 2025.</t>
  </si>
  <si>
    <t xml:space="preserve">New head of marketing Nandita Godbole elevated Jul 2026 (afaqs); creative, social and experiential partners not publicly mapped.</t>
  </si>
  <si>
    <t xml:space="preserve">Casagrand Tesseract</t>
  </si>
  <si>
    <t xml:space="preserve">AdLift won the SEO mandate for Indriya, Aditya Birla's jewellery brand (May 2026).</t>
  </si>
  <si>
    <t xml:space="preserve">Young, well-funded brand; creative and social agency not visible; Only SEO assigned 2026-05; creative, social and PR partners not disclosed; Split digital roster with Schbang (social and content).</t>
  </si>
  <si>
    <t xml:space="preserve">AdLift bagged the SEO mandate for Indriya.</t>
  </si>
  <si>
    <t xml:space="preserve">Young brand building a multi-agency roster.</t>
  </si>
  <si>
    <t xml:space="preserve">https://www.afaqs.com/news/newbizwins/adlift-bags-seo-mandate-for-indriya-11885816</t>
  </si>
  <si>
    <t xml:space="preserve">Hyatt India (F&amp;B)</t>
  </si>
  <si>
    <t xml:space="preserve">Hyatt India's F&amp;B campaign on its culinary legacy was conceptualised by Animal.</t>
  </si>
  <si>
    <t xml:space="preserve">Project-based credits suggest no single AOR; new India president may consolidate.</t>
  </si>
  <si>
    <t xml:space="preserve">Indie creative</t>
  </si>
  <si>
    <t xml:space="preserve">Desai Foods</t>
  </si>
  <si>
    <t xml:space="preserve">Mother's Recipe picked Bang in the Middle to service its mainline creative account.</t>
  </si>
  <si>
    <t xml:space="preserve">Three years old, no recent work seen</t>
  </si>
  <si>
    <t xml:space="preserve">Zuno also listed as a Hashtag Orange Mumbai client, suggesting a split roster.</t>
  </si>
  <si>
    <t xml:space="preserve">Beam and Words won the social media mandate for Tarun Tahiliani (Aug 2022).</t>
  </si>
  <si>
    <t xml:space="preserve">Four-year-old social mandate; luxury couture fit</t>
  </si>
  <si>
    <t xml:space="preserve">Blink Digital was creative partner on Agoda's gen-AI personalised campaign with Ayushmann Khurrana (Mar 2024).</t>
  </si>
  <si>
    <t xml:space="preserve">Volvo Car Group</t>
  </si>
  <si>
    <t xml:space="preserve">2020-04</t>
  </si>
  <si>
    <t xml:space="preserve">Blue Vector won Volvo Cars India's social media strategy and execution mandate in Apr 2020.</t>
  </si>
  <si>
    <t xml:space="preserve">Incumbent six plus years if still active; no recent confirmation found.</t>
  </si>
  <si>
    <t xml:space="preserve">afaqs names Braindad for recent Myntra campaigns.</t>
  </si>
  <si>
    <t xml:space="preserve">Myntra splits work between Tilt, Braindad and SW Network</t>
  </si>
  <si>
    <t xml:space="preserve">Kotak's inclusion themed campaign (2018) is tagged to Cartwheel Creative Consultancy; no newer work found.</t>
  </si>
  <si>
    <t xml:space="preserve">Kotak content work now tagged to Creativeland Asia (2025), roster fragmented</t>
  </si>
  <si>
    <t xml:space="preserve">https://www.afaqs.com/news/advertising/53191_kotak-mahindra-bank-plays-inclusion-card</t>
  </si>
  <si>
    <t xml:space="preserve">2018-07</t>
  </si>
  <si>
    <t xml:space="preserve">medianews4u Chimp&amp;z archive lists Tata Play's World TV Day campaign (Nov 2023).</t>
  </si>
  <si>
    <t xml:space="preserve">Chimp&amp;z acquired Yellophant Digital (May 2024) to serve budget clients.</t>
  </si>
  <si>
    <t xml:space="preserve">Runwal Group (Runwal Realty)</t>
  </si>
  <si>
    <t xml:space="preserve">Creative and social not assigned publicly; Runwal rebranded to Runwal Realty with Sonam Kapoor (Apr 2025), hired Rakesh Setia as luxury CEO (Apr 2026) and moved to a generational brand platform.</t>
  </si>
  <si>
    <t xml:space="preserve">Concept PR</t>
  </si>
  <si>
    <t xml:space="preserve">Concept Communications</t>
  </si>
  <si>
    <t xml:space="preserve">Kotak Mahindra Bank (Air+ credit card)</t>
  </si>
  <si>
    <t xml:space="preserve">Marketing head Kedar Ravangave exited Jul 2026; Kotak acquiring Deutsche Bank's India retail, private banking and wealth business (Jul 2026): big new affluent brief.</t>
  </si>
  <si>
    <t xml:space="preserve">https://www.storyboard18.com/advertising/meh-rupay-kotak-and-caratlane-had-every-possible-advantage-their-campaigns-did-not-show-it-99583.htm</t>
  </si>
  <si>
    <t xml:space="preserve">afaqs' piece on Kotak's AI driven content strategy is tagged to Creativeland Asia (Mar 2025).</t>
  </si>
  <si>
    <t xml:space="preserve">Creativeland lost senior leaders (Divya Agarwal exit Apr 2025)</t>
  </si>
  <si>
    <t xml:space="preserve">Taj Lands End</t>
  </si>
  <si>
    <t xml:space="preserve">IHCL</t>
  </si>
  <si>
    <t xml:space="preserve">Tarun Tahiliani Design</t>
  </si>
  <si>
    <t xml:space="preserve">Accor India</t>
  </si>
  <si>
    <t xml:space="preserve">Incumbent 3+ years; a boutique handling a multi-brand chain may be stretched.</t>
  </si>
  <si>
    <t xml:space="preserve">Orra</t>
  </si>
  <si>
    <t xml:space="preserve">Curativity conceptualised Axis Bank's 'MotherTonguelish' (Mar 2026) and 'open ki aadat pad jaayegi' (Sep 2026) campaigns; CMO Anoop Manohar.</t>
  </si>
  <si>
    <t xml:space="preserve">Multi-agency roster (Curativity, TBWA Lintas); split mandates mean Burgundy wealth and NRI content can be pitched separately.</t>
  </si>
  <si>
    <t xml:space="preserve">https://www.afaqs.com/news/advertising/axis-bank-shows-what-happens-when-open-becomes-the-new-normal-12559223</t>
  </si>
  <si>
    <t xml:space="preserve">Gulf Pride</t>
  </si>
  <si>
    <t xml:space="preserve">Moved 2026-04</t>
  </si>
  <si>
    <t xml:space="preserve">Digital Refresh Networks bagged the digital mandate for Mia by Tanishq in Jul 2021.</t>
  </si>
  <si>
    <t xml:space="preserve">Five years old; Schbang also credits a Mia range launch, suggesting a shifting roster.</t>
  </si>
  <si>
    <t xml:space="preserve">Kingfisher (Women's Premier League)</t>
  </si>
  <si>
    <t xml:space="preserve">United Breweries appointed a new communications lead in Aug 2026 (afaqs).</t>
  </si>
  <si>
    <t xml:space="preserve">Enormous was named creative partner for Bombay Shaving Company with integrated creative duties.</t>
  </si>
  <si>
    <t xml:space="preserve">Westside appears among Ethinos' client logos on its homepage.</t>
  </si>
  <si>
    <t xml:space="preserve">Delhi Duty Free (DDFS)</t>
  </si>
  <si>
    <t xml:space="preserve">Biba</t>
  </si>
  <si>
    <t xml:space="preserve">Famous Innovations conceptualised Mia by Tanishq's 'For the Star in You' campaign (Oct 2023) and earlier #ThisIsMe.</t>
  </si>
  <si>
    <t xml:space="preserve">New Marketing Lead Sneha Kanukolanu joined Jul 2026; Aug 2026 Rakhi film carried no agency credit; Aneet Padda new ambassador</t>
  </si>
  <si>
    <t xml:space="preserve">https://bestmediainfo.com/2023/10/mia-by-tanishq-s-for-the-star-in-you-campaign-inspires-individuals-to-embrace-their-inner-radiance</t>
  </si>
  <si>
    <t xml:space="preserve">Famous Innovations conceptualised Sebamed's two film hair fall versus hair loss digital campaign.</t>
  </si>
  <si>
    <t xml:space="preserve">Sebamed also listed as a Womb client, split roster</t>
  </si>
  <si>
    <t xml:space="preserve">Haier Group</t>
  </si>
  <si>
    <t xml:space="preserve">Haier is listed among Famous Innovations' existing clients.</t>
  </si>
  <si>
    <t xml:space="preserve">OPPO's 'Aawara gang' Ranbir Kapoor campaign appears under afaqs' Famous Innovations tag (Jun 2025).</t>
  </si>
  <si>
    <t xml:space="preserve">Garage Worldwide is credited on Senco's #AapkaShukriya artisan campaign (Apr 2025).</t>
  </si>
  <si>
    <t xml:space="preserve">Several 2025 to 2026 Senco films uncredited</t>
  </si>
  <si>
    <t xml:space="preserve">Gozoop Creative</t>
  </si>
  <si>
    <t xml:space="preserve">Gozoop merged into YAAP in 2026; ORM-only scope leaves creative and social open.</t>
  </si>
  <si>
    <t xml:space="preserve">https://www.medianews4u.com/gozoop-hawk-bags-digital-customer-service-mandate-for-godrej-properties/</t>
  </si>
  <si>
    <t xml:space="preserve">Gozoop Hawk</t>
  </si>
  <si>
    <t xml:space="preserve">Estee Lauder</t>
  </si>
  <si>
    <t xml:space="preserve">Piramal Realty appears among Grapes Worldwide client logos.</t>
  </si>
  <si>
    <t xml:space="preserve">Two agencies (White Rivers, Grapes) list Piramal Realty; roster fragmented or rotated.</t>
  </si>
  <si>
    <t xml:space="preserve">GreenHonchos won Blackberrys' digital mandate.</t>
  </si>
  <si>
    <t xml:space="preserve">Creative moved to a network agency in Aug 2026; digital may get consolidated.</t>
  </si>
  <si>
    <t xml:space="preserve">Forest Essentials (Estee Lauder stake)</t>
  </si>
  <si>
    <t xml:space="preserve">Luxury Ayurveda brand serviced by a generalist digital shop; scope unclear.</t>
  </si>
  <si>
    <t xml:space="preserve">Dr Reddy's is named among Hashtag Orange Mumbai clients; afaqs reports HiveMinds won Dr Reddy's integrated digital mandate in Jun 2026.</t>
  </si>
  <si>
    <t xml:space="preserve">Gaurang Menon, Managing Partner and Creative Head West who built the Mumbai business, stepped down Sep 2026. Dr Reddy's handed an integrated digital mandate to HiveMinds (Jun 2026).</t>
  </si>
  <si>
    <t xml:space="preserve">Social Samosa lists Hashtag Orange winning Zuno Insurance's communications mandate in Jun 2025.</t>
  </si>
  <si>
    <t xml:space="preserve">Split with BC Web Wise (digital). Gaurang Menon, Managing Partner and Creative Head West who built the Mumbai business, stepped down Sep 2026.</t>
  </si>
  <si>
    <t xml:space="preserve">HiveMinds is managing Tanishq's first ChatGPT Ads campaign for festive and wedding season (Sep 2026).</t>
  </si>
  <si>
    <t xml:space="preserve">Digital split from creative; experimentation budget</t>
  </si>
  <si>
    <t xml:space="preserve">https://www.socialsamosa.com/industry-updates/tanishq-joins-chatgpt-ads-audience-discovery-consideration-12568214</t>
  </si>
  <si>
    <t xml:space="preserve">Bacardi (Casa Bacardi)</t>
  </si>
  <si>
    <t xml:space="preserve">Homegrown led creative direction and culture events for Casa Bacardi summer 2025.</t>
  </si>
  <si>
    <t xml:space="preserve">Culture and experiential work split from network creative</t>
  </si>
  <si>
    <t xml:space="preserve">https://www.medianews4u.com/bacardi-launches-casa-bacardi-its-your-mood-its-your-summer-to-celebrate-indias-summer-state-of-mind/</t>
  </si>
  <si>
    <t xml:space="preserve">PN Gadgil &amp; Sons</t>
  </si>
  <si>
    <t xml:space="preserve">Performance only; brand, social and PR for a listed jeweller not assigned publicly.</t>
  </si>
  <si>
    <t xml:space="preserve">Split roster (Tilt brand, OML influencer, Initiative media); post IPO scrutiny on marketing ROI.</t>
  </si>
  <si>
    <t xml:space="preserve">https://www.afaqs.com/news/newbizwins/hypothesis-by-oml-wins-influencer-marketing-mandate-for-ather-energy-8916060</t>
  </si>
  <si>
    <t xml:space="preserve">Split roster across three agencies within 3 months; iCubesWire restructured leadership in Jun 2026 after Kushal Sanghvi exited Oct 2025.</t>
  </si>
  <si>
    <t xml:space="preserve">IMARTI Media won VLCC's social media mandate (Dec 2019).</t>
  </si>
  <si>
    <t xml:space="preserve">CCPA fined VLCC for misleading ads (Aug 2025); reputation rebuild need</t>
  </si>
  <si>
    <t xml:space="preserve">BKT Tyres (Elevate Your Drive)</t>
  </si>
  <si>
    <t xml:space="preserve">BKT launched its 'Elevate Your Drive' campaign with Ranveer Singh, Infectious' first work on the account.</t>
  </si>
  <si>
    <t xml:space="preserve">Infectious co-founder Nisha Singhania stepped back from CEO role in Apr 2026, leadership transition</t>
  </si>
  <si>
    <t xml:space="preserve">Netflix India (Voices of Tomorrow)</t>
  </si>
  <si>
    <t xml:space="preserve">Netflix and Kommune ran the third edition of Voices of Tomorrow voice-talent programme (Sep 2024).</t>
  </si>
  <si>
    <t xml:space="preserve">https://www.medianews4u.com/the-third-edition-of-netflix-and-kommunes-voices-of-tomorrow-nurtures-lgbtqia-and-senior-adult-voice-talent/</t>
  </si>
  <si>
    <t xml:space="preserve">Liqvd Asia won Woodland's digital communications mandate: social, influencer and brand storytelling.</t>
  </si>
  <si>
    <t xml:space="preserve">Wozoyo appointed Liqvd Asia as digital marketing partner.</t>
  </si>
  <si>
    <t xml:space="preserve">Roster split with iCubesWire (media) and Story Digital (creative).</t>
  </si>
  <si>
    <t xml:space="preserve">Lyxel&amp;Flamingo lists a Kurlon GEO/SEO AI-visibility case study; Tonic Worldwide won Kurlon's digital mandate via multi-agency pitch in Jun 2026.</t>
  </si>
  <si>
    <t xml:space="preserve">Kurlon ran a digital pitch won by Tonic (Jun 2026).</t>
  </si>
  <si>
    <t xml:space="preserve">https://lyxelandflamingo.com/case-studies/seo/kurlon-geo-seo-ai-visibility/</t>
  </si>
  <si>
    <t xml:space="preserve">PR-led agency; social and content for the brand may sit elsewhere.</t>
  </si>
  <si>
    <t xml:space="preserve">Incumbent about 3 years; typical review window.; Three year incumbent on a luxury realty account; Madison BMB CEO Raj Nair exited in the merger</t>
  </si>
  <si>
    <t xml:space="preserve">Godrej Industries</t>
  </si>
  <si>
    <t xml:space="preserve">Godrej Properties is listed among Madison Loop's marquee clients.</t>
  </si>
  <si>
    <t xml:space="preserve">Raymonds is listed among Madison Loop's marquee clients.</t>
  </si>
  <si>
    <t xml:space="preserve">Madison Media Alpha</t>
  </si>
  <si>
    <t xml:space="preserve">Project-level OOH only</t>
  </si>
  <si>
    <t xml:space="preserve">MOMS (Madison Outdoor Media Solutions)</t>
  </si>
  <si>
    <t xml:space="preserve">Madison World</t>
  </si>
  <si>
    <t xml:space="preserve">Shoppers Stop's #Don'tStop women's day campaign is tagged to Makani Creatives (Mar 2024).</t>
  </si>
  <si>
    <t xml:space="preserve">https://www.afaqs.com/news/advertising/shoppers-stop-empowers-women-to-embrace-their-choices-fearlessly-with-dontstop-campaign</t>
  </si>
  <si>
    <t xml:space="preserve">Manja created AJIO's 'Because Fashion' Big Bold Sale campaign (May 2025).</t>
  </si>
  <si>
    <t xml:space="preserve">Project-based creative roster</t>
  </si>
  <si>
    <t xml:space="preserve">https://www.medianews4u.com/ajio-launches-because-fashion-campaign-celebrating-bold-style-choices-with-big-bold-sale/</t>
  </si>
  <si>
    <t xml:space="preserve">Sprite's logo appears on Monk-E's creator-led work showcase.</t>
  </si>
  <si>
    <t xml:space="preserve">Vivo India</t>
  </si>
  <si>
    <t xml:space="preserve">Vivo</t>
  </si>
  <si>
    <t xml:space="preserve">Vivo's logo appears on Monk-E's creator-led work showcase.</t>
  </si>
  <si>
    <t xml:space="preserve">CRED famously rotates creators and agencies per campaign, no exclusive AOR</t>
  </si>
  <si>
    <t xml:space="preserve">Mokobara's Diljit Dosanjh ad appears under afaqs' Moonshot tag (Jun 2025).</t>
  </si>
  <si>
    <t xml:space="preserve">Diljit ad drew plagiarism comparisons with a Carlton campaign, possible brand friction</t>
  </si>
  <si>
    <t xml:space="preserve">Shaadi.com's Anupam Mittal de-influencing ad appears under afaqs' Moonshot tag (Jul 2024).</t>
  </si>
  <si>
    <t xml:space="preserve">Moonshot won IndIAA 2025 for Swiggy Instamart and made the 'Chawal' and 2025 burglar ads.</t>
  </si>
  <si>
    <t xml:space="preserve">IndiGo (IndiGo BluChip and Axis Bank card)</t>
  </si>
  <si>
    <t xml:space="preserve">Nash8 turned the IndiGo Axis Bank credit card launch into a gamified campaign 'The Escape Route'.</t>
  </si>
  <si>
    <t xml:space="preserve">Co-brand work only; main brand creative unattributed.</t>
  </si>
  <si>
    <t xml:space="preserve">One Hand Clap made the Bads of Bollywood teaser ad with SRK and Aryan Khan and lists Netflix as a client.</t>
  </si>
  <si>
    <t xml:space="preserve">Prime Video is listed among One Hand Clap's clients.</t>
  </si>
  <si>
    <t xml:space="preserve">One Hand Clap made Swiggy's meme ads and Instamart's 'InstaFart' (Feb 2025); afaqs names it on Swiggy in Sep 2025.</t>
  </si>
  <si>
    <t xml:space="preserve">Swiggy splits creative across Moonshot, Talented and One Hand Clap</t>
  </si>
  <si>
    <t xml:space="preserve">Project-led collection campaign; no retained mandate evident.; Undated logo wall; verify India scope and current status.</t>
  </si>
  <si>
    <t xml:space="preserve">JSW MG's Ganesh Chaturthi film was scripted and produced by Punctuate Productions (agency and production house).</t>
  </si>
  <si>
    <t xml:space="preserve">Fragmented roster across festive and EV work.</t>
  </si>
  <si>
    <t xml:space="preserve">https://www.afaqs.com/news/advertising/jsw-mg-motor-indias-ganesh-chaturthi-film-shows-how-cars-become-part-of-family-traditions-9758951</t>
  </si>
  <si>
    <t xml:space="preserve">Just awarded; GIHG also runs Olive Garden, Chili's and P.F. Chang's in India, adjacent brands may be up for grabs</t>
  </si>
  <si>
    <t xml:space="preserve">Marriott Udaipur and Marriott Jim Corbett</t>
  </si>
  <si>
    <t xml:space="preserve">Rediffusion handled BMW India strategy, creative, digital and dealer communication from 2022 until the January 2026 switch to Contract.</t>
  </si>
  <si>
    <t xml:space="preserve">Brand just ran a review; signals willingness to change partners.; Account moved 2026-01 after about 4 years</t>
  </si>
  <si>
    <t xml:space="preserve">Rediffusion collaborated with IHCL on the 'She Remains the Taj' launch and earlier Taj 'Dekho Apna Desh' work; no newer agency credit found for 2024 to 2026.</t>
  </si>
  <si>
    <t xml:space="preserve">No public agency news since 2022; IHCL split into two verticals under Accelerate 2030 (700 hotels target) and registered a Taj sound mark in Jan 2026, so brand, content and launch briefs keep coming.</t>
  </si>
  <si>
    <t xml:space="preserve">Sephora India retained RepIndia as social media partner (Sep 2021).</t>
  </si>
  <si>
    <t xml:space="preserve">Five-year-old social mandate</t>
  </si>
  <si>
    <t xml:space="preserve">Scarecrow's afaqs tag lists Reliance Jewels' Valentine's films and Vindhya Akshaya Tritiya collection launch (2024).</t>
  </si>
  <si>
    <t xml:space="preserve">No Reliance Jewels work seen from Scarecrow after 2024, possible fatigue</t>
  </si>
  <si>
    <t xml:space="preserve">Split digital roster: AdLift (Liqvd Asia) won Indriya's SEO mandate May 2026. Co-founder Akshay Gurnani exited Mar 2025; Bangalore head Sushant Vithaldas left May 2025.; Indriya added AdLift for SEO in May 2026; roster spreading across agencies.</t>
  </si>
  <si>
    <t xml:space="preserve">https://www.schbang.com/casestudies/indriya-went-from-zero-to-50m-views-in-a-year-heres-how</t>
  </si>
  <si>
    <t xml:space="preserve">Schbang news centre carries HDFC Life's Kal Ka Reality Check retirement campaign.</t>
  </si>
  <si>
    <t xml:space="preserve">IDFC FIRST Bank's Sumeet Vyas campaign questioning banking norms is tagged to Schbang (Jun 2026).</t>
  </si>
  <si>
    <t xml:space="preserve">L'Oreal Group brands</t>
  </si>
  <si>
    <t xml:space="preserve">Social Samosa's Mar 2025 report on the Gurnani exit names L'Oreal Group among Schbang's major clients.</t>
  </si>
  <si>
    <t xml:space="preserve">Schbang conceptualised Louis Philippe's Albini linen digital campaign (Jun 2026).</t>
  </si>
  <si>
    <t xml:space="preserve">Schbang work page lists a nationwide range-launch campaign for Mia by Tanishq.</t>
  </si>
  <si>
    <t xml:space="preserve">Digital Refresh Networks also won Mia's digital mandate (2021); roster appears project-based.</t>
  </si>
  <si>
    <t xml:space="preserve">Schbang's work page features a nationwide buzz campaign for a Mia by Tanishq range launch.</t>
  </si>
  <si>
    <t xml:space="preserve">Mia hired a new marketing lead, Sneha Kanukolanu, in Jul 2026 (afaqs).</t>
  </si>
  <si>
    <t xml:space="preserve">Amazon India (Great Freedom Sale)</t>
  </si>
  <si>
    <t xml:space="preserve">Schbang conceptualised the shopper personas ad film for Amazon India's Great Freedom Sale.</t>
  </si>
  <si>
    <t xml:space="preserve">Project style campaign credit; Amazon runs multiple agencies, so a sale-period brief is contestable.</t>
  </si>
  <si>
    <t xml:space="preserve">https://www.medianews4u.com/schbang-brings-quirky-shopper-personas-to-life-for-amazon-indias-great-freedom-sale/</t>
  </si>
  <si>
    <t xml:space="preserve">Britannia (Treat Creme Wafers, 50-50, Gobbles, Laughing Cow, Toastea)</t>
  </si>
  <si>
    <t xml:space="preserve">medianews4u Schbang archive lists Britannia 50-50, Gobbles (2025) and Treat Creme Wafers x Naruto (Feb 2026) work by Schbang.</t>
  </si>
  <si>
    <t xml:space="preserve">Multi-brand relationship spread across many sub-brands; long tenure.</t>
  </si>
  <si>
    <t xml:space="preserve">https://www.medianews4u.com/tag/schbang/</t>
  </si>
  <si>
    <t xml:space="preserve">Dabur (Chyawanprash, Amla, Hajmola, Fem, Oxylife)</t>
  </si>
  <si>
    <t xml:space="preserve">Schbang news centre lists campaigns for several Dabur brands.</t>
  </si>
  <si>
    <t xml:space="preserve">Dabur also works with Hashtag Orange, a split roster.</t>
  </si>
  <si>
    <t xml:space="preserve">McCain Foods India</t>
  </si>
  <si>
    <t xml:space="preserve">Scribbld won the digital and social media mandate for Foot Locker India.</t>
  </si>
  <si>
    <t xml:space="preserve">Metro Brands gave Foot Locker mainline creative to SW Network two months later, possible consolidation risk; Split with SW Network, which took Foot Locker mainline creative in Nov 2025.; SW Network won Foot Locker mandates two months later; overlap or churn.</t>
  </si>
  <si>
    <t xml:space="preserve">Mohey (Manyavar Mohey)</t>
  </si>
  <si>
    <t xml:space="preserve">Aakash Institute</t>
  </si>
  <si>
    <t xml:space="preserve">Aakash Educational Services (BYJU'S)</t>
  </si>
  <si>
    <t xml:space="preserve">Aakash launched ANTHE and 'problem solvers' campaigns with Sideways in 2024 and April 2025.</t>
  </si>
  <si>
    <t xml:space="preserve">Parent BYJU'S insolvency turmoil could force budget cuts or agency review</t>
  </si>
  <si>
    <t xml:space="preserve">Audi appears on SoCheers' client marquee; Audi India appointed Wondrlab as brand communication partner after a multi-agency pitch in Mar 2026.</t>
  </si>
  <si>
    <t xml:space="preserve">Audi consolidated brand comms with Wondrlab (Mar 2026).</t>
  </si>
  <si>
    <t xml:space="preserve">ASUS India</t>
  </si>
  <si>
    <t xml:space="preserve">SoCheers won the digital mandate for ASUS India.</t>
  </si>
  <si>
    <t xml:space="preserve">SoCheers conceptualised Broadway's culture-led Pune store launch across street activations, OOH, films and creators.</t>
  </si>
  <si>
    <t xml:space="preserve">SoCheers work page lists Godrej Interio; 22feet won Interio by Godrej's social media mandate after a multi-agency pitch in Jun 2026.</t>
  </si>
  <si>
    <t xml:space="preserve">Social mandate moved to 22feet (Jun 2026).</t>
  </si>
  <si>
    <t xml:space="preserve">Six Fields, Godfather, Gingalalahu</t>
  </si>
  <si>
    <t xml:space="preserve">DeVANS beer and gin brands</t>
  </si>
  <si>
    <t xml:space="preserve">Devans Modern Breweries</t>
  </si>
  <si>
    <t xml:space="preserve">Social Panga won the digital mandate for DeVANS' beer and gin brands.</t>
  </si>
  <si>
    <t xml:space="preserve">Godfather social moved from Toaster INSEA within 9 months; DeVANS churns agencies.</t>
  </si>
  <si>
    <t xml:space="preserve">Social Panga won Tata AIG's social media creative mandate in March 2023.</t>
  </si>
  <si>
    <t xml:space="preserve">Incumbent 3+ years; mandate may be due for review.</t>
  </si>
  <si>
    <t xml:space="preserve">Social Panga won Balaji Wafers' digital creative mandates in Jul 2024; Balaji appointed Creativefuel as social and digital partner in Jan 2026.</t>
  </si>
  <si>
    <t xml:space="preserve">Moved to Creativefuel (Jan 2026).</t>
  </si>
  <si>
    <t xml:space="preserve">Wozoyo India</t>
  </si>
  <si>
    <t xml:space="preserve">Story Digital won the creative digital partner mandate for Wozoyo India.</t>
  </si>
  <si>
    <t xml:space="preserve">Wozoyo roster split across Liqvd Asia, iCubesWire and Story Digital.</t>
  </si>
  <si>
    <t xml:space="preserve">https://www.medianews4u.com/story-digital-wins-creative-digital-partner-mandate-for-wozoyo-india/</t>
  </si>
  <si>
    <t xml:space="preserve">Lapis Bard (William Penn)</t>
  </si>
  <si>
    <t xml:space="preserve">Recently awarded; lifestyle content and influencer layers still open.; Appointed 2026-01 with no pitch disclosed; sister brand BMW moved creative the same month; BMW India mainline moved to Contract (WPP) in Jan 2026; MINI digital sits separately, split mandates; BMW India moved integrated communications to Contract Advertising the same week (Jan 2026), group roster in flux.; Split mandate inside BMW Group India (BMW creative with Contract); PR and experiential not assigned publicly.</t>
  </si>
  <si>
    <t xml:space="preserve">SW Network</t>
  </si>
  <si>
    <t xml:space="preserve">FILA and Foot Locker</t>
  </si>
  <si>
    <t xml:space="preserve">SW Network won FILA's digital creative and Foot Locker's mainline creative mandates from Metro Brands.</t>
  </si>
  <si>
    <t xml:space="preserve">Scribbld holds Foot Locker digital and social since Sep 2025, split mandate</t>
  </si>
  <si>
    <t xml:space="preserve">SW Network won the FILA and Foot Locker mandates from Metro Brands.</t>
  </si>
  <si>
    <t xml:space="preserve">Scribbld had Foot Locker digital and social from Sep 2025; Metro Brands reshuffles quickly.</t>
  </si>
  <si>
    <t xml:space="preserve">Fujifilm instax</t>
  </si>
  <si>
    <t xml:space="preserve">Nykaa Wanderlust</t>
  </si>
  <si>
    <t xml:space="preserve">Campaign credit; retainer status unknown.</t>
  </si>
  <si>
    <t xml:space="preserve">Mandate now 2.5 years old</t>
  </si>
  <si>
    <t xml:space="preserve">Sociowash</t>
  </si>
  <si>
    <t xml:space="preserve">Kenneth Cole New York and Tommy Hilfiger Watches</t>
  </si>
  <si>
    <t xml:space="preserve">Sociowash won media, performance and digital strategy for Titan's licensed Kenneth Cole and Tommy Hilfiger watch brands.</t>
  </si>
  <si>
    <t xml:space="preserve">Collection-led mandate from Jan 2024; nearly 3 years old, likely up for renewal.</t>
  </si>
  <si>
    <t xml:space="preserve">Myntra Style Squad</t>
  </si>
  <si>
    <t xml:space="preserve">Myntra (Flipkart Group)</t>
  </si>
  <si>
    <t xml:space="preserve">SW Network's Youthbeat bagged the mandate for the Myntra Style Squad campus campaign.</t>
  </si>
  <si>
    <t xml:space="preserve">https://www.afaqs.com/news/newbizwins/sw-networks-youthbeat-bags-mandate-for-myntra-style-squad-campaign-11157365</t>
  </si>
  <si>
    <t xml:space="preserve">SW Network (Youthbeat)</t>
  </si>
  <si>
    <t xml:space="preserve">Talented conceptualised Forest Essentials' 'Take Your Time' slow-beauty campaign (Mar 2026).</t>
  </si>
  <si>
    <t xml:space="preserve">New Head of Retail Marketing Nupur Sarda (Nov 2025); year-long activations need experiential and social partners</t>
  </si>
  <si>
    <t xml:space="preserve">HomeLane India is listed among Talented's clients.</t>
  </si>
  <si>
    <t xml:space="preserve">Tanishq is listed among Talented's notable clients.</t>
  </si>
  <si>
    <t xml:space="preserve">Tanishq's lead brand work sits with Lowe Lintas (IndIAA 2025 Tanishq Rivaah), Talented is project based</t>
  </si>
  <si>
    <t xml:space="preserve">Talented's 'Nature Shapes Britannia' won a Silver Lion at Cannes Lions 2025.</t>
  </si>
  <si>
    <t xml:space="preserve">Split roster: The Womb and Schbang also credited on Britannia brands</t>
  </si>
  <si>
    <t xml:space="preserve">Cleartrip (Flipkart)</t>
  </si>
  <si>
    <t xml:space="preserve">Duolingo Inc</t>
  </si>
  <si>
    <t xml:space="preserve">Flipkart runs a multi-agency roster, Talented handles regional BBD work, so mandate is fragmented</t>
  </si>
  <si>
    <t xml:space="preserve">https://www.afaqs.com/news/advertising/flipkart-trades-celebs-for-local-faces-in-kolkata-big-billion-days-ad-12564903</t>
  </si>
  <si>
    <t xml:space="preserve">Team Pumpkin won the social media mandate for Kotak Securities to build its presence and reach new investor segments.</t>
  </si>
  <si>
    <t xml:space="preserve">Two years in; content marketing split with NP Digital.</t>
  </si>
  <si>
    <t xml:space="preserve">Lavie Sport</t>
  </si>
  <si>
    <t xml:space="preserve">Rebrand from Max Life to Axis Max Life creates brand, content and social refresh needs.</t>
  </si>
  <si>
    <t xml:space="preserve">Krafton India (BGMI)</t>
  </si>
  <si>
    <t xml:space="preserve">Krafton Inc</t>
  </si>
  <si>
    <t xml:space="preserve">Eveready Industries (Burman family)</t>
  </si>
  <si>
    <t xml:space="preserve">Birla Estates' 'Real Advise' campaign with Vicky Kaushal was conceptualised and executed by The Script Room.</t>
  </si>
  <si>
    <t xml:space="preserve">Real Advice returned as a multi-format education platform (Jan 2026) without named agency; split roster.</t>
  </si>
  <si>
    <t xml:space="preserve">Mahindra Thar Roxx</t>
  </si>
  <si>
    <t xml:space="preserve">Mahindra Auto splits work across several agencies; Womb ownership change pending; Mahindra runs different agencies per nameplate; Mahindra Group hired a new Group Chief Strategy Officer (Aug 2026).</t>
  </si>
  <si>
    <t xml:space="preserve">Britannia also uses Talented and Schbang, split roster; Womb ownership change pending</t>
  </si>
  <si>
    <t xml:space="preserve">RK Group</t>
  </si>
  <si>
    <t xml:space="preserve">The Womb named brand strategy and creative agency on record for Wonder Cement, debuting a Ranbir Kapoor IPL campaign.</t>
  </si>
  <si>
    <t xml:space="preserve">Womb in advanced acquisition talks with Accenture Song (Jul 2026), clients may reassess</t>
  </si>
  <si>
    <t xml:space="preserve">Ather onboarded Tilt Brand Solutions as brand and communications agency for its new product line.</t>
  </si>
  <si>
    <t xml:space="preserve">Two plus years in; new models (Rizta family) create briefs.</t>
  </si>
  <si>
    <t xml:space="preserve">CBO Hari Krishnan exited Tilt in Oct 2025, servicing leadership changed; Tilt CBO Hari Krishnan exited Oct 2025; Tilt added Santoor AOR Apr 2026 (bandwidth).</t>
  </si>
  <si>
    <t xml:space="preserve">Myntra also hands influencer programmes to SW Network's Youthbeat, split roster</t>
  </si>
  <si>
    <t xml:space="preserve">https://www.afaqs.com/news/advertising/alia-bhatt-ranbir-kapoor-find-every-reason-to-shop-in-myntras-bff-campaign-12583285</t>
  </si>
  <si>
    <t xml:space="preserve">Tilt and ZeroFifty won IndIAA 2025 for Dream11; afaqs (Sep 2025) cites Tilt as a new age agency exposed when star client Dream11 stumbled.</t>
  </si>
  <si>
    <t xml:space="preserve">Real money gaming ban (Aug 2025) hit Dream11 spend; Tilt needs replacement billings</t>
  </si>
  <si>
    <t xml:space="preserve">Toaster INSEA ran a full-funnel digital campaign for Tira Beauty (Aug 2025).</t>
  </si>
  <si>
    <t xml:space="preserve">Ahaan Panday ambassador (Feb 2026); Reliance bought Anomaly (Apr 2026) and launched AJIO Beauty (Jul 2026)</t>
  </si>
  <si>
    <t xml:space="preserve">Godfather Beer</t>
  </si>
  <si>
    <t xml:space="preserve">Toaster INSEA won the social mandate for Godfather Beer.</t>
  </si>
  <si>
    <t xml:space="preserve">DeVANS gave a separate digital mandate for its beer and gin brands to Social Panga in Aug 2026, split roster; Social Panga took DeVANS digital incl. Godfather in Aug 2026; likely displaced.</t>
  </si>
  <si>
    <t xml:space="preserve">Tilaknagar is building a luxury spirits portfolio and moved PR to Apostrophe Ventures (Aug 2026).</t>
  </si>
  <si>
    <t xml:space="preserve">Seven Islands whisky appears in Tonic Worldwide client list.</t>
  </si>
  <si>
    <t xml:space="preserve">Bingo! (Mad Angles, Originals)</t>
  </si>
  <si>
    <t xml:space="preserve">MG Motor India</t>
  </si>
  <si>
    <t xml:space="preserve">Value360 Group homepage lists MG Motor among named clients.</t>
  </si>
  <si>
    <t xml:space="preserve">Undated client mention; mandate scope not stated.</t>
  </si>
  <si>
    <t xml:space="preserve">https://www.value360india.com/</t>
  </si>
  <si>
    <t xml:space="preserve">Brigade also appears on Social Beat's work page; split or rotating roster.</t>
  </si>
  <si>
    <t xml:space="preserve">Prestige appears on Webenza's client logo wall.</t>
  </si>
  <si>
    <t xml:space="preserve">White Rivers Media listed Reliance Jewels collection films among Q4 2023 wins.</t>
  </si>
  <si>
    <t xml:space="preserve">Project-based collection films; no retained mandate evident.</t>
  </si>
  <si>
    <t xml:space="preserve">The Times of India Metro editions</t>
  </si>
  <si>
    <t xml:space="preserve">Times of India Metro Supplements</t>
  </si>
  <si>
    <t xml:space="preserve">White Rivers Media won the digital creative mandate for Times of India's metro supplements.</t>
  </si>
  <si>
    <t xml:space="preserve">White Rivers Media listed boAt influencer collaborations and content localisation among Q4 2023 wins.</t>
  </si>
  <si>
    <t xml:space="preserve">White Rivers Media won SMFG India Credit's social media, content strategy and digital communication mandate.</t>
  </si>
  <si>
    <t xml:space="preserve">Volkswagen Group (Audi AG)</t>
  </si>
  <si>
    <t xml:space="preserve">Freshly awarded, low near-term; watch for PR, experiential and luxury lifestyle content gaps.; Account moved 2026-03 after multi-agency pitch; head of marketing and PR Gaurav Sinha; Luxury auto account that just went through a pitch, Audi reviews periodically; BMW moved to Contract in Jan 2026, category in flux; Fresh pitch winner, unlikely to move before 2027; watch for experiential and PR gaps.; Account moved in Mar 2026 pitch; PR and luxury experiential partners not named.</t>
  </si>
  <si>
    <t xml:space="preserve">AJIO and Wondrlab launched the multi-starrer festive film 'This Is How We Festival' (Sep 2025).</t>
  </si>
  <si>
    <t xml:space="preserve">Creative split between Wondrlab and Manja; AJIO Luxe and AJIO Beauty (Jul 2026) need work; AJIO named 22feet its digital agency of record in May 2026.</t>
  </si>
  <si>
    <t xml:space="preserve">https://www.medianews4u.com/ajio-and-wondrlab-launch-a-multi-starrer-festive-film-this-is-how-we-festival/</t>
  </si>
  <si>
    <t xml:space="preserve">Last visible agency moves 2021 to 2022; stale roster</t>
  </si>
  <si>
    <t xml:space="preserve">JLR ran a global creative review; incumbent Accenture Song's contract runs to mid 2026 and Spark44 was JLR's in-house creative agency; WPP won in 2026.</t>
  </si>
  <si>
    <t xml:space="preserve">Global handover to WPP in 2026 means India local social, content and events briefs get reset.</t>
  </si>
  <si>
    <t xml:space="preserve">https://www.storyboard18.com/agency-news/jaguar-land-rovers-launches-global-creative-agency-review-post-rebrand-65006.htm</t>
  </si>
  <si>
    <t xml:space="preserve">GianChand Single Malt</t>
  </si>
  <si>
    <t xml:space="preserve">New Indian single malt entrant; DeVANS splits brands across agencies (Social Panga holds beer and gin); PR and experiential open.</t>
  </si>
  <si>
    <t xml:space="preserve">https://www.medianews4u.com/innocean-india-bags-digital-social-media-mandate-for-gianchand-single-malt/</t>
  </si>
  <si>
    <t xml:space="preserve">Group runs many specialist agencies; premium wealth and Kotak Private are separate briefs.</t>
  </si>
  <si>
    <t xml:space="preserve">Raffles, Fairmont and Sofitel (Accor India)</t>
  </si>
  <si>
    <t xml:space="preserve">No agency credit found for Accor's luxury brands in India; Accor launched an 'All For Love' celebrations platform in Apr 2026 without credited agency.</t>
  </si>
  <si>
    <t xml:space="preserve">Frequent marketing hires at Raffles Udaipur, Raffles and Fairmont Jaipur (2026); new Accor CCO South Asia; weddings and celebrations push suits a luxury content agency.</t>
  </si>
  <si>
    <t xml:space="preserve">Axis Bank Burgundy (wealth)</t>
  </si>
  <si>
    <t xml:space="preserve">Estee Lauder's India ANR campaign (Jun 2026) credits no agency; last local agency seen was Isobar (2020).</t>
  </si>
  <si>
    <t xml:space="preserve">Local India campaigns growing; global creative with local social and influencer needs</t>
  </si>
  <si>
    <t xml:space="preserve">No Hazoorilal agency credit surfaced in jewellery-mandate sweeps.</t>
  </si>
  <si>
    <t xml:space="preserve">Luxury heritage jeweller, likely boutique or in-house</t>
  </si>
  <si>
    <t xml:space="preserve">#TomorrowMatters sustainability campaign (Jul 2024) carried no agency credit.</t>
  </si>
  <si>
    <t xml:space="preserve">Low visible agency footprint; DGM Digital Marketing in place (Dec 2025) suggests digital run in-house.</t>
  </si>
  <si>
    <t xml:space="preserve">ITC Hotels (incl. Mementos, Welcomhotel)</t>
  </si>
  <si>
    <t xml:space="preserve">No creative, social or digital agency credit found for ITC Hotels, Mementos or Welcomhotel 2024 to 2026; Welcomhotel ITC Dwarka hired a marcom lead in May 2026.</t>
  </si>
  <si>
    <t xml:space="preserve">Newly independent listed company building its own brand voice; 'Responsible Luxury' platform, new acquisitions and Mementos luxury tier need premium content.</t>
  </si>
  <si>
    <t xml:space="preserve">https://www.campaignindia.in/article/welcomhotel-itc-dwarka-appoints-marketing-communications-lead/4bpd5zctc5zat1p7hd8cs87g5a</t>
  </si>
  <si>
    <t xml:space="preserve">Oberoi Realty Ltd</t>
  </si>
  <si>
    <t xml:space="preserve">Oberoi Realty's first official brand film for Three Sixty West (Jun 2026) credited no agency; SVP Marketing Sarina Menezes spoke for it.</t>
  </si>
  <si>
    <t xml:space="preserve">Shift to storytelling-led brand films; Ritz-Carlton serviced residences at Three Sixty West show appetite for ultra luxury content.</t>
  </si>
  <si>
    <t xml:space="preserve">https://www.medianews4u.com/oberoi-realty-uses-storytelling-over-salesmanship-to-reinforce-the-exclusivity-of-three-sixty-west/</t>
  </si>
  <si>
    <t xml:space="preserve">No agency credit found; Piramal Realty appointed Abhijeet Maheshwari as CEO in Jul 2024.</t>
  </si>
  <si>
    <t xml:space="preserve">CEO two years in; Mumbai luxury towers need premium content; no visible incumbent.</t>
  </si>
  <si>
    <t xml:space="preserve">https://www.afaqs.com/people-spotting/piramal-realty-appoints-abhijeet-maheshwari-as-ceo</t>
  </si>
  <si>
    <t xml:space="preserve">Porsche AG (via Skoda Auto Volkswagen India)</t>
  </si>
  <si>
    <t xml:space="preserve">No India agency found; Ashutosh Dixit became Brand Director of Porsche India in May 2026, succeeding Manolito Vujicic.</t>
  </si>
  <si>
    <t xml:space="preserve">New brand director within the last six months; Porsche globally cutting costs, so efficient local content partners appeal.</t>
  </si>
  <si>
    <t xml:space="preserve">Runwal (luxury segment)</t>
  </si>
  <si>
    <t xml:space="preserve">Runwal Group</t>
  </si>
  <si>
    <t xml:space="preserve">Rambagh Palace (Taj)</t>
  </si>
  <si>
    <t xml:space="preserve">No property-level agency credit found; Taj palaces appear to be marketed centrally by IHCL.</t>
  </si>
  <si>
    <t xml:space="preserve">Iconic palace with global luxury audience; property content, wedding and experiential storytelling can be pitched as a specialist add-on to IHCL.</t>
  </si>
  <si>
    <t xml:space="preserve">The Oberoi Hotels &amp; Resorts (incl. Trident)</t>
  </si>
  <si>
    <t xml:space="preserve">Volvo Cars India (creative and social)</t>
  </si>
  <si>
    <t xml:space="preserve">Volvo's Auto Expo 2025 safety billboards and Mandira Bedi social push carried no agency credit.</t>
  </si>
  <si>
    <t xml:space="preserve">EV-led luxury positioning; small team, likely project-based agencies.</t>
  </si>
  <si>
    <t xml:space="preserve">https://www.socialsamosa.com/campaign-spot/volvo-celebrates-innovation-road-safety-auto-expo-2025-8663302</t>
  </si>
  <si>
    <t xml:space="preserve">Zoya's Oct 2025 'Whispers from the Valley' film was conceptualised by director Sharon Nayak with Zoya's in-house marketing team; no agency credited.</t>
  </si>
  <si>
    <t xml:space="preserve">No agency of record visible; luxury positioning suits a boutique partner; Sonam Kapoor ambassador</t>
  </si>
  <si>
    <t xml:space="preserve">https://www.medianews4u.com/zoyas-latest-campaign-paints-a-portrait-of-renewal-in-kashmirs-valley/</t>
  </si>
  <si>
    <t xml:space="preserve">No agency credit found; Adani Realty named Harinder Dhillon Head Sales and Marketing Delhi NCR (Jun 2026) and a new senior marketing manager (Jan 2026).</t>
  </si>
  <si>
    <t xml:space="preserve">Adani Group put a Rs 500 to 600 crore media mandate up for review (Dec 2025); NCR expansion team newly built.</t>
  </si>
  <si>
    <t xml:space="preserve">https://www.socialsamosa.com/industry-updates/adani-realty-harinder-dhillon-head-sales-marketing-delhi-ncr-11903616</t>
  </si>
  <si>
    <t xml:space="preserve">adidas</t>
  </si>
  <si>
    <t xml:space="preserve">adidas India named a new Brand Director (Dec 2025); no local agency found.</t>
  </si>
  <si>
    <t xml:space="preserve">Arvind Ltd</t>
  </si>
  <si>
    <t xml:space="preserve">Axis Max Life Insurance (creative)</t>
  </si>
  <si>
    <t xml:space="preserve">Axis Max Life's Rohit Sharma retirement campaign (Aug 2026) credited no agency; CMO Rahul Talwar.</t>
  </si>
  <si>
    <t xml:space="preserve">Rebrand from Max Life to Axis Max Life (Dec 2024) and new MD and CEO Sumit Madan (Jun 2025).</t>
  </si>
  <si>
    <t xml:space="preserve">Bacardi</t>
  </si>
  <si>
    <t xml:space="preserve">Bajaj Finserv (Bajaj Life, Bajaj General)</t>
  </si>
  <si>
    <t xml:space="preserve">Bajaj Finserv rebranded its insurance arms after buying out Allianz (Oct 2025); Bajaj Life's ChatGPT ads (Sep 2026) credited no agency.</t>
  </si>
  <si>
    <t xml:space="preserve">Rebrand from Bajaj Allianz to Bajaj Life and Bajaj General creates brand-building briefs; CMO Chandramohan Mehra experimenting with AI channels.</t>
  </si>
  <si>
    <t xml:space="preserve">No agency mandate or campaign credit found in Indian trade press 2024 to 2026.</t>
  </si>
  <si>
    <t xml:space="preserve">Bengaluru luxury, office and hospitality portfolio; no visible incumbent in trade press.</t>
  </si>
  <si>
    <t xml:space="preserve">Club Mahindra (rebranding to Club M)</t>
  </si>
  <si>
    <t xml:space="preserve">CRED's absurdist biometric UPI campaign (Jul 2026) credited no agency; CRED is known for in-house creative.</t>
  </si>
  <si>
    <t xml:space="preserve">Founder Kunal Shah moved to lead WhatsApp at Meta and exited CRED's board (Jul 2026) after Meta's USD 900 million investment: creative control may loosen.</t>
  </si>
  <si>
    <t xml:space="preserve">No brand agency credit found; a young event agency executed its Pune debut drone and laser show (Jan 2026) and #HomesDelivered ran with Swiggy Instamart (2024).</t>
  </si>
  <si>
    <t xml:space="preserve">Targeting Rs 40,000 crore of launches in FY26 across new cities; experiential and launch content briefs per project; MD and CEO Gaurav Pandey reappointed (Aug 2025).</t>
  </si>
  <si>
    <t xml:space="preserve">https://www.socialsamosa.com/indian-social-media-case-studies/case-study-godrej-properties-drones-laser-show-pune-real-estate-debut-11003916</t>
  </si>
  <si>
    <t xml:space="preserve">Harley-Davidson India</t>
  </si>
  <si>
    <t xml:space="preserve">Hero MotoCorp (licence)</t>
  </si>
  <si>
    <t xml:space="preserve">Harley-Davidson India named Ahaan Panday brand ambassador to lead campaigns and activations (Dec 2025); no agency credited.</t>
  </si>
  <si>
    <t xml:space="preserve">Youth push around X440; Hero MotoCorp media account was put to pitch in 2024.</t>
  </si>
  <si>
    <t xml:space="preserve">HDFC Life (creative)</t>
  </si>
  <si>
    <t xml:space="preserve">HDFC Life's 2025 to 2026 campaigns (Life Ki Script, Kal Ka Plan with KKR, microdrama series) credited no creative agency; OMD handles media.</t>
  </si>
  <si>
    <t xml:space="preserve">Pritika Shah elevated to EVP and Head of Marketing (May 2025); experimenting with microdramas: content partner opening.</t>
  </si>
  <si>
    <t xml:space="preserve">https://www.storyboard18.com/brand-marketing/hdfc-life-enters-microdrama-with-new-term-insurance-campaign-ws-l-111463.htm</t>
  </si>
  <si>
    <t xml:space="preserve">HDFC AMC</t>
  </si>
  <si>
    <t xml:space="preserve">HDFC MF's 2025 to 2026 investor education work (Barni Se Azadi, Wealthcare, Zindagi Ke Liye SIP) credited no agency.</t>
  </si>
  <si>
    <t xml:space="preserve">High volume of purpose content; AMFI moved creative to Concept Communications (Jan 2026) showing category churn.</t>
  </si>
  <si>
    <t xml:space="preserve">Jameson India</t>
  </si>
  <si>
    <t xml:space="preserve">No Jameson India agency credit surfaced.</t>
  </si>
  <si>
    <t xml:space="preserve">Mahindra electric origin SUVs (BE 6, XEV 9e)</t>
  </si>
  <si>
    <t xml:space="preserve">No agency credit found for Mahindra's electric origin SUVs in 2024 to 2026 coverage checked.</t>
  </si>
  <si>
    <t xml:space="preserve">EV sub-brand building and new launches create content and experiential briefs.</t>
  </si>
  <si>
    <t xml:space="preserve">Myra AI assistant film (May 2026) carried no agency credit; marketing run as a P&amp;L under COO Raj Rishi Singh.</t>
  </si>
  <si>
    <t xml:space="preserve">Abhinav Narula elevated to SVP Marketing (May 2026); India IPO filing and creator programme with Meta; performance-first culture.</t>
  </si>
  <si>
    <t xml:space="preserve">https://www.storyboard18.com/brand-marketing/makemytrip-has-a-warning-for-every-cmo-in-india-101991.htm</t>
  </si>
  <si>
    <t xml:space="preserve">Premium D2C luggage with growing offline sales</t>
  </si>
  <si>
    <t xml:space="preserve">Flipkart Group</t>
  </si>
  <si>
    <t xml:space="preserve">Nykaa's 2025 to 2026 campaigns (Pink Friday, Hot Pink Sale, New At Nykaa) are published without agency credits.</t>
  </si>
  <si>
    <t xml:space="preserve">Zee copyright lawsuit over music (May 2026); talks for Deepika Padukone's 82E (Apr 2026); marketing spend up 29% in Q2 FY26</t>
  </si>
  <si>
    <t xml:space="preserve">No Orra agency credit surfaced in jewellery-mandate sweeps.</t>
  </si>
  <si>
    <t xml:space="preserve">P N Gadgil Jewellers</t>
  </si>
  <si>
    <t xml:space="preserve">PNGS signed Sonali Bendre as ambassador (May 2026) and ran 'Dagina Maharashtra-cha' (Sep 2026); no agency named in listings.</t>
  </si>
  <si>
    <t xml:space="preserve">Listed 2024; new ambassador; sub-brand Gargi active with Mithila Palkar</t>
  </si>
  <si>
    <t xml:space="preserve">Prestige's 'Rise With Us' corporate campaign (Aug 2026) credited no agency; quotes came from whole time director Uzma Irfan.</t>
  </si>
  <si>
    <t xml:space="preserve">Corporate brand campaign signals a shift to brand building; no visible incumbent agency.</t>
  </si>
  <si>
    <t xml:space="preserve">PUMA</t>
  </si>
  <si>
    <t xml:space="preserve">PUMA India's #RCBEverywhere campaign (Apr 2026) credits no agency, suggesting in-house execution.</t>
  </si>
  <si>
    <t xml:space="preserve">New MD Ramprasad Sridharan (Nov 2025); Head of Marketing Shreya Sachdev</t>
  </si>
  <si>
    <t xml:space="preserve">No Reliance Jewels agency credit surfaced in jewellery-mandate sweeps.</t>
  </si>
  <si>
    <t xml:space="preserve">Reliance retail scale; roster unclear</t>
  </si>
  <si>
    <t xml:space="preserve">Samsung India (Mobile)</t>
  </si>
  <si>
    <t xml:space="preserve">Standard Chartered India (Wealth and Retail Banking)</t>
  </si>
  <si>
    <t xml:space="preserve">SUGAR's Oct 2024 #GRWS celebrity campaign names no creative agency.</t>
  </si>
  <si>
    <t xml:space="preserve">Festive push via Qcom, creators and experiences (Sep 2026 interview)</t>
  </si>
  <si>
    <t xml:space="preserve">Tata Motors Passenger Vehicles and Tata.ev (now Tata.Cars)</t>
  </si>
  <si>
    <t xml:space="preserve">No creative agency credit found; Tata Motors PV rebranded its customer-facing identity to Tata.Cars (Aug 2026) and Chairman Chandrasekaran set a mandate to make it a consumer brand powerhouse.</t>
  </si>
  <si>
    <t xml:space="preserve">Rebrand plus post demerger identity plus EV share battle: high-value moment for new creative and content partners.</t>
  </si>
  <si>
    <t xml:space="preserve">https://www.storyboard18.com/brand-marketing/tata-motors-passenger-vehicles-rebrands-as-tata-cars-for-customer-facing-identity-109089.htm</t>
  </si>
  <si>
    <t xml:space="preserve">Tata Motors SUVs</t>
  </si>
  <si>
    <t xml:space="preserve">Tata Starbucks' 'Trace the Cup' single-origin film (Apr 2026) credits no agency.</t>
  </si>
  <si>
    <t xml:space="preserve">Head of Product and Marketing Mitali Maheshwari; content-led, no visible creative agency</t>
  </si>
  <si>
    <t xml:space="preserve">No Toyota Kirloskar agency mandate or campaign credit found in 2024 to 2026 trade press coverage checked.</t>
  </si>
  <si>
    <t xml:space="preserve">Vistara (legacy)</t>
  </si>
  <si>
    <t xml:space="preserve">No longer a standalone account; Air India premium economy and business products carry the Vistara legacy.</t>
  </si>
  <si>
    <t xml:space="preserve">YES BANK Ltd</t>
  </si>
  <si>
    <t xml:space="preserve">'Score Kya Hua' credit score campaign (Nov 2025) and Team India campaign (Sep 2026) credited no agency.</t>
  </si>
  <si>
    <t xml:space="preserve">New MD and CEO Vinay Tonse (Mar 2026); new Chief Experience Officer (May 2025).</t>
  </si>
  <si>
    <t xml:space="preserve">SNV Aviation</t>
  </si>
  <si>
    <t xml:space="preserve">Akasa's CMO Naarayan T V favours an experience-led, low-ad approach over agency-led campaigns; festive and crew films carried no agency credit.</t>
  </si>
  <si>
    <t xml:space="preserve">CMO joined Sep 2025; IPO planned in 2 to 4 years; content and social storytelling rather than ATL is the opening.</t>
  </si>
  <si>
    <t xml:space="preserve">Haier Appliances India</t>
  </si>
  <si>
    <t xml:space="preserve">IndiGo's 20th anniversary campaign (Sep 2026) carried no agency credit; it hired a head of content and creative marketing in Sep 2026.</t>
  </si>
  <si>
    <t xml:space="preserve">New CEO Willie Walsh (Apr 2026), new VP Marketing and Digital Deepti Sampat (Jan 2026) and global expansion push (Jun 2026): fresh leadership, in-house leaning.</t>
  </si>
  <si>
    <t xml:space="preserve">McDonald's India (West and South)</t>
  </si>
  <si>
    <t xml:space="preserve">Royal Challenge Packaged Drinking Water campaigns (Dec 2025) name no agency.</t>
  </si>
  <si>
    <t xml:space="preserve">Diageo put RCB up for sale (Nov 2025), brand-association rethink</t>
  </si>
  <si>
    <t xml:space="preserve">Swiss Beauty onboarded a CMO in Aug 2024; no agency appointment found.</t>
  </si>
  <si>
    <t xml:space="preserve">New CMO Vidushi Goyal (Aug 2024) and AVP Marketing Shalini Kochar (Feb 2026)</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</si>
</sst>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
      <name val="Arial"/>
      <family val="0"/>
      <charset val="1"/>
    </font>
    <font>
      <b val="true"/>
      <sz val="12"/>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u val="single"/>
      <sz val="10"/>
      <color rgb="FF0563C1"/>
      <name val="Arial"/>
      <family val="0"/>
      <charset val="1"/>
    </font>
  </fonts>
  <fills count="4">
    <fill>
      <patternFill patternType="none"/>
    </fill>
    <fill>
      <patternFill patternType="gray125"/>
    </fill>
    <fill>
      <patternFill patternType="solid">
        <fgColor rgb="FFFFF2CC"/>
        <bgColor rgb="FFFFEB9C"/>
      </patternFill>
    </fill>
    <fill>
      <patternFill patternType="solid">
        <fgColor rgb="FF1F1F1F"/>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5" fillId="2"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1F1F"/>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1F4E78"/>
          <bgColor rgb="FF000000"/>
        </patternFill>
      </fill>
    </dxf>
    <dxf>
      <fill>
        <patternFill patternType="solid">
          <fgColor rgb="FF9C5700"/>
          <bgColor rgb="FF000000"/>
        </patternFill>
      </fill>
    </dxf>
    <dxf>
      <fill>
        <patternFill patternType="solid">
          <fgColor rgb="FF0000FF"/>
          <bgColor rgb="FF000000"/>
        </patternFill>
      </fill>
    </dxf>
    <dxf>
      <fill>
        <patternFill patternType="solid">
          <fgColor rgb="FF0563C1"/>
          <bgColor rgb="FF000000"/>
        </patternFill>
      </fill>
    </dxf>
    <dxf>
      <fill>
        <patternFill patternType="solid">
          <fgColor rgb="FFFFF2CC"/>
          <bgColor rgb="FF000000"/>
        </patternFill>
      </fill>
    </dxf>
    <dxf>
      <font>
        <name val="Arial"/>
        <charset val="1"/>
        <family val="0"/>
        <b val="1"/>
        <color rgb="FF006100"/>
      </font>
      <fill>
        <patternFill>
          <bgColor rgb="FFC6EFCE"/>
        </patternFill>
      </fill>
    </dxf>
    <dxf>
      <font>
        <name val="Arial"/>
        <charset val="1"/>
        <family val="0"/>
        <b val="1"/>
        <color rgb="FF9C5700"/>
      </font>
      <fill>
        <patternFill>
          <bgColor rgb="FFFFEB9C"/>
        </patternFill>
      </fill>
    </dxf>
    <dxf>
      <font>
        <name val="Arial"/>
        <charset val="1"/>
        <family val="0"/>
        <color rgb="FF1F4E78"/>
      </font>
      <fill>
        <patternFill>
          <bgColor rgb="FFDDEBF7"/>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FF2C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1F4E78"/>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storyboard18.com/brand-marketing/82-5-communications-wins-creative-mandate-for-de-beers-group-44868.htm" TargetMode="External"/><Relationship Id="rId2" Type="http://schemas.openxmlformats.org/officeDocument/2006/relationships/hyperlink" Target="https://www.medianews4u.com/82-5-communications-secures-creative-mandate-for-de-beers/" TargetMode="External"/><Relationship Id="rId3" Type="http://schemas.openxmlformats.org/officeDocument/2006/relationships/hyperlink" Target="https://www.afaqs.com/news/advertising/hilton-wants-indias-hustlers-to-feel-at-home-enough-to-dance-just-ask-deepika-12186053" TargetMode="External"/><Relationship Id="rId4" Type="http://schemas.openxmlformats.org/officeDocument/2006/relationships/hyperlink" Target="https://www.tbwaindia.com/" TargetMode="External"/><Relationship Id="rId5" Type="http://schemas.openxmlformats.org/officeDocument/2006/relationships/hyperlink" Target="https://www.afaqs.com/news/advertising/hyatt-india-launches-official-instagram-page-with-vaani-kapoor-8449076" TargetMode="External"/><Relationship Id="rId6" Type="http://schemas.openxmlformats.org/officeDocument/2006/relationships/hyperlink" Target="https://www.afaqs.com/news/advertising/hyatt-india-launches-new-fb-campaign-to-highlight-its-culinary-legacy-7777415" TargetMode="External"/><Relationship Id="rId7" Type="http://schemas.openxmlformats.org/officeDocument/2006/relationships/hyperlink" Target="https://www.medianews4u.com/m3m-appoints-nitin-singh-as-head-of-marketing/" TargetMode="External"/><Relationship Id="rId8" Type="http://schemas.openxmlformats.org/officeDocument/2006/relationships/hyperlink" Target="https://www.afaqs.com/news/advertising/madison-bmb-integrates-with-madison-loop" TargetMode="External"/><Relationship Id="rId9" Type="http://schemas.openxmlformats.org/officeDocument/2006/relationships/hyperlink" Target="https://www.afaqs.com/news/advertising/madison-loop-wins-the-integrated-account-of-oberoi-realty" TargetMode="External"/><Relationship Id="rId10" Type="http://schemas.openxmlformats.org/officeDocument/2006/relationships/hyperlink" Target="https://www.afaqs.com/news/advertising/rivaah-by-tanishq-brings-many-stories-to-one-wedding-12540691" TargetMode="External"/><Relationship Id="rId11" Type="http://schemas.openxmlformats.org/officeDocument/2006/relationships/hyperlink" Target="https://www.afaqs.com/people-spotting/ashish-bajaj-to-lead-brand-and-communications-at-sobha-limited-10563656" TargetMode="External"/><Relationship Id="rId12" Type="http://schemas.openxmlformats.org/officeDocument/2006/relationships/hyperlink" Target="https://www.socialsamosa.com/industry-updates/shweta-jain-steps-down-cmo-sales-officer-the-leela-palaces-9356489" TargetMode="External"/><Relationship Id="rId13" Type="http://schemas.openxmlformats.org/officeDocument/2006/relationships/hyperlink" Target="https://www.storyboard18.com/agency-news/exclusive-bmw-india-appoints-vmls-contract-advertising-india-as-creative-agency-87842.htm" TargetMode="External"/><Relationship Id="rId14" Type="http://schemas.openxmlformats.org/officeDocument/2006/relationships/hyperlink" Target="https://www.adgully.com/post/11327/contract-advertising-india-wins-integrated-creative-mandate-for-bmw-india" TargetMode="External"/><Relationship Id="rId15" Type="http://schemas.openxmlformats.org/officeDocument/2006/relationships/hyperlink" Target="https://www.medianews4u.com/the-glitch-expands-their-integrated-creative-portfolio-with-the-addition-of-diageo-indias-premium-luxury-and-reserve-brands/" TargetMode="External"/><Relationship Id="rId16" Type="http://schemas.openxmlformats.org/officeDocument/2006/relationships/hyperlink" Target="https://www.medianews4u.com/ducati-india-appoints-burson-as-strategic-communications-partner/" TargetMode="External"/><Relationship Id="rId17" Type="http://schemas.openxmlformats.org/officeDocument/2006/relationships/hyperlink" Target="https://www.afaqs.com/people-spotting/ducati-india-elevates-amit-chauhan-to-head-of-marketing-11805878" TargetMode="External"/><Relationship Id="rId18" Type="http://schemas.openxmlformats.org/officeDocument/2006/relationships/hyperlink" Target="https://www.adgully.com/post/611/mercedes-benz-india-awards-pr-mandate-to-adfactors-pr" TargetMode="External"/><Relationship Id="rId19" Type="http://schemas.openxmlformats.org/officeDocument/2006/relationships/hyperlink" Target="https://www.afaqs.com/people-spotting/mercedes-benz-india-elevates-nandita-godbole-as-head-of-marketing-12159853" TargetMode="External"/><Relationship Id="rId20" Type="http://schemas.openxmlformats.org/officeDocument/2006/relationships/hyperlink" Target="https://www.storyboard18.com/agency-news/sw-network-wins-full-digital-mandate-for-mini-india-87868.htm" TargetMode="External"/><Relationship Id="rId21" Type="http://schemas.openxmlformats.org/officeDocument/2006/relationships/hyperlink" Target="https://www.afaqs.com/news/newbizwins/sw-network-wins-digital-creative-mandate-for-mini-india-11012093" TargetMode="External"/><Relationship Id="rId22" Type="http://schemas.openxmlformats.org/officeDocument/2006/relationships/hyperlink" Target="https://www.hakuhodo-global.com/news/hakuhodo-india-network-secures-16-prestigious-awards-at-e4m-automotive-marketing-awards-2026.html" TargetMode="External"/><Relationship Id="rId23" Type="http://schemas.openxmlformats.org/officeDocument/2006/relationships/hyperlink" Target="https://www.afaqs.com/people-spotting/&#353;koda-india-appoints-ashutosh-dixit-as-brand-director-of-porsche-india-11802850" TargetMode="External"/><Relationship Id="rId24" Type="http://schemas.openxmlformats.org/officeDocument/2006/relationships/hyperlink" Target="https://www.storyboard18.com/brand-makers/kunal-sharma-named-sazerac-india-managing-director-ws-l-110645.htm" TargetMode="External"/><Relationship Id="rId25" Type="http://schemas.openxmlformats.org/officeDocument/2006/relationships/hyperlink" Target="https://www.campaignindia.in/article/dlf-malls-launches-phygital-summer-up-campaign/4pvgt96ejphfhssc00m9ec3vmp" TargetMode="External"/><Relationship Id="rId26" Type="http://schemas.openxmlformats.org/officeDocument/2006/relationships/hyperlink" Target="https://www.afaqs.com/news/mktg/elan-group-onboards-shah-rukh-khan-as-brand-ambassador-8750776" TargetMode="External"/><Relationship Id="rId27" Type="http://schemas.openxmlformats.org/officeDocument/2006/relationships/hyperlink" Target="https://www.afaqs.com/people-spotting/himanshu-raj-joins-juniper-green-energy-experion-developers-as-vp-communications-8598890" TargetMode="External"/><Relationship Id="rId28" Type="http://schemas.openxmlformats.org/officeDocument/2006/relationships/hyperlink" Target="https://www.afaqs.com/people-spotting/noopur-khandekar-joins-galeries-lafayette-india-as-brand-marketing-head-12391643" TargetMode="External"/><Relationship Id="rId29" Type="http://schemas.openxmlformats.org/officeDocument/2006/relationships/hyperlink" Target="https://www.afaqs.com/people-spotting/itc-hotels-appoints-rajiv-singh-as-head-food-beverages-marketing-12250848" TargetMode="External"/><Relationship Id="rId30" Type="http://schemas.openxmlformats.org/officeDocument/2006/relationships/hyperlink" Target="https://www.exchange4media.com/pr-and-corporate-communication-news/itc-hotels-ropes-in-actimedia-as-pr-and-communications-partner-113939.html" TargetMode="External"/><Relationship Id="rId31" Type="http://schemas.openxmlformats.org/officeDocument/2006/relationships/hyperlink" Target="https://www.storyboard18.com/brand-marketing/taj-gvk-hotels-to-become-krishna-gvk-hotels-taj-gvk-hotels-to-become-krishna-gvk-hotels-ws-l-106223.htm" TargetMode="External"/><Relationship Id="rId32" Type="http://schemas.openxmlformats.org/officeDocument/2006/relationships/hyperlink" Target="https://quirkhead.ae/" TargetMode="External"/><Relationship Id="rId33" Type="http://schemas.openxmlformats.org/officeDocument/2006/relationships/hyperlink" Target="https://www.afaqs.com/news/newbizwins/prohed-bags-performance-marketing-mandate-for-vianaar-11220895" TargetMode="External"/><Relationship Id="rId34" Type="http://schemas.openxmlformats.org/officeDocument/2006/relationships/hyperlink" Target="https://campaignbriefasia.com/2026/09/23/adani-realty-and-22feet-india-celebrate-the-journey-of-bappas-homecoming/" TargetMode="External"/><Relationship Id="rId35" Type="http://schemas.openxmlformats.org/officeDocument/2006/relationships/hyperlink" Target="https://www.medianews4u.com/adani-realty-collaborates-with-mirum-india-for-its-vr-offering/" TargetMode="External"/><Relationship Id="rId36" Type="http://schemas.openxmlformats.org/officeDocument/2006/relationships/hyperlink" Target="https://www.afaqs.com/people-spotting/arvind-smartspaces-appoints-ankit-dave-as-head-of-marketing-12583232" TargetMode="External"/><Relationship Id="rId37" Type="http://schemas.openxmlformats.org/officeDocument/2006/relationships/hyperlink" Target="https://www.afaqs.com/news/advertising/famous-innovations-wins-5-major-mandates-in-h2-strengthens-geographical-expansion-11727022" TargetMode="External"/><Relationship Id="rId38" Type="http://schemas.openxmlformats.org/officeDocument/2006/relationships/hyperlink" Target="https://www.medianews4u.com/taproot-dentsu-wins-creative-mandate-for-biba/" TargetMode="External"/><Relationship Id="rId39" Type="http://schemas.openxmlformats.org/officeDocument/2006/relationships/hyperlink" Target="https://www.webenza.com/" TargetMode="External"/><Relationship Id="rId40" Type="http://schemas.openxmlformats.org/officeDocument/2006/relationships/hyperlink" Target="https://www.socialbeat.in/work/" TargetMode="External"/><Relationship Id="rId41" Type="http://schemas.openxmlformats.org/officeDocument/2006/relationships/hyperlink" Target="https://www.storyboard18.com/brand-marketing/club-mahindra-to-rebrand-as-club-m-enters-leisure-hospitality-with-rs-1000-crore-investment-84498.htm" TargetMode="External"/><Relationship Id="rId42" Type="http://schemas.openxmlformats.org/officeDocument/2006/relationships/hyperlink" Target="https://www.afaqs.com/news/newbizwins/enamor-appoints-tilt-brand-solutions-as-its-brand-communications-aor-8888963" TargetMode="External"/><Relationship Id="rId43" Type="http://schemas.openxmlformats.org/officeDocument/2006/relationships/hyperlink" Target="https://www.medianews4u.com/enamor-names-tilt-brand-solutions-as-brand-communications-aor/" TargetMode="External"/><Relationship Id="rId44" Type="http://schemas.openxmlformats.org/officeDocument/2006/relationships/hyperlink" Target="https://www.medianews4u.com/ethnix-by-raymond-celebrates-family-and-fashion-in-its-latest-campaign/" TargetMode="External"/><Relationship Id="rId45" Type="http://schemas.openxmlformats.org/officeDocument/2006/relationships/hyperlink" Target="https://www.afaqs.com/news/advertising/ddb-mudra-wins-raymonds-integrated-aor-mandate" TargetMode="External"/><Relationship Id="rId46" Type="http://schemas.openxmlformats.org/officeDocument/2006/relationships/hyperlink" Target="https://www.afaqs.com/news/newbizwins/scribbld-wins-digital-and-social-media-mandate-for-foot-locker-india-10279212" TargetMode="External"/><Relationship Id="rId47" Type="http://schemas.openxmlformats.org/officeDocument/2006/relationships/hyperlink" Target="https://www.medianews4u.com/scribbld-wins-digital-and-social-media-mandate-for-foot-locker-india/" TargetMode="External"/><Relationship Id="rId48" Type="http://schemas.openxmlformats.org/officeDocument/2006/relationships/hyperlink" Target="https://www.medianews4u.com/godrej-properties-launches-its-first-digital-brand-campaign/" TargetMode="External"/><Relationship Id="rId49" Type="http://schemas.openxmlformats.org/officeDocument/2006/relationships/hyperlink" Target="https://www.afaqs.com/news/advertising/madison-bmb-integrates-with-madison-loop" TargetMode="External"/><Relationship Id="rId50" Type="http://schemas.openxmlformats.org/officeDocument/2006/relationships/hyperlink" Target="https://www.afaqs.com/people-spotting/indigo-appoints-mayank-kumar-as-head-of-content-creative-marketing-12514196" TargetMode="External"/><Relationship Id="rId51" Type="http://schemas.openxmlformats.org/officeDocument/2006/relationships/hyperlink" Target="https://www.campaignindia.in/article/pixel-perfect-how-nash8-turned-indigo-axis-bank-credit-card-launch-into-a-game-worth-playing/4p09sj3s31zrztgj67esjzmwdj" TargetMode="External"/><Relationship Id="rId52" Type="http://schemas.openxmlformats.org/officeDocument/2006/relationships/hyperlink" Target="https://www.afaqs.com/people-spotting/k-raheja-group-appoints-vijayta-nikhil-raheja-as-ceo-12208087" TargetMode="External"/><Relationship Id="rId53" Type="http://schemas.openxmlformats.org/officeDocument/2006/relationships/hyperlink" Target="https://www.afaqs.com/news/ooh/social-beat-executes-pdooh-campaign-for-kalpataru-at-mumbai-airport-11806525" TargetMode="External"/><Relationship Id="rId54" Type="http://schemas.openxmlformats.org/officeDocument/2006/relationships/hyperlink" Target="https://www.afaqs.com/news/advertising/khazana-jewellery-chooses-social-beat-for-digital-mandate" TargetMode="External"/><Relationship Id="rId55" Type="http://schemas.openxmlformats.org/officeDocument/2006/relationships/hyperlink" Target="https://www.medianews4u.com/limelight-lab-grown-diamonds-announces-vertical-integration-inr-250-cr-fundraise-to-accelerate-growth/" TargetMode="External"/><Relationship Id="rId56" Type="http://schemas.openxmlformats.org/officeDocument/2006/relationships/hyperlink" Target="https://www.manifest-media.in/advertising/081025/indiaa-awards-2025-moonshot-and-ogilvy-dominate-with-four-wins-each.html" TargetMode="External"/><Relationship Id="rId57" Type="http://schemas.openxmlformats.org/officeDocument/2006/relationships/hyperlink" Target="https://www.dentsu.com/in/en/our-news/dentsu-webchutney-wins-digital-mandate-for-make-my-trip" TargetMode="External"/><Relationship Id="rId58" Type="http://schemas.openxmlformats.org/officeDocument/2006/relationships/hyperlink" Target="https://www.exchange4media.com/advertising-news/malabar-gold-diamonds-campaign-with-alia-bhatt-celebrates-the-charm-of-solitaires-140391.html" TargetMode="External"/><Relationship Id="rId59" Type="http://schemas.openxmlformats.org/officeDocument/2006/relationships/hyperlink" Target="https://www.medianews4u.com/manyavar-awards-digital-transformation-mandate-to-mirum-india-and-wt-commerce/" TargetMode="External"/><Relationship Id="rId60" Type="http://schemas.openxmlformats.org/officeDocument/2006/relationships/hyperlink" Target="https://www.medianews4u.com/manyavar-enters-south-india-with-ram-charan-as-brands-face-in-ooh-campaign-conceptualized-by-groupm-ooh-solutions/" TargetMode="External"/><Relationship Id="rId61" Type="http://schemas.openxmlformats.org/officeDocument/2006/relationships/hyperlink" Target="https://www.afaqs.com/people-spotting/sneha-kanukolanu-joins-mia-by-tanishq-as-marketing-lead-12158434" TargetMode="External"/><Relationship Id="rId62" Type="http://schemas.openxmlformats.org/officeDocument/2006/relationships/hyperlink" Target="https://www.medianews4u.com/digital-refresh-networks-bags-the-digital-mandate-for-mia-by-tanishq-motherhood-ivf-and-ikounsellor/" TargetMode="External"/><Relationship Id="rId63" Type="http://schemas.openxmlformats.org/officeDocument/2006/relationships/hyperlink" Target="https://www.medianews4u.com/myntra-launches-high-energy-m-now-campaign-featuring-sumukhi-suresh-vihaan-samat-sakshi-shivdasani-ayesha-kanga/" TargetMode="External"/><Relationship Id="rId64" Type="http://schemas.openxmlformats.org/officeDocument/2006/relationships/hyperlink" Target="https://campaignbriefasia.com/2025/06/25/ddb-mudra-india-and-myntra-unveil-m-now-campaign-spotlighting-instant-style-solutions/" TargetMode="External"/><Relationship Id="rId65" Type="http://schemas.openxmlformats.org/officeDocument/2006/relationships/hyperlink" Target="https://www.medianews4u.com/nykaa-fashion-names-ishaan-khatter-shanaya-kapoor-as-new-faces-of-the-brand/" TargetMode="External"/><Relationship Id="rId66" Type="http://schemas.openxmlformats.org/officeDocument/2006/relationships/hyperlink" Target="https://www.afaqs.com/people-spotting/origen-realty-appoints-poulomi-ray-as-chief-marketing-officer-11737049" TargetMode="External"/><Relationship Id="rId67" Type="http://schemas.openxmlformats.org/officeDocument/2006/relationships/hyperlink" Target="https://www.medianews4u.com/social-beat-secures-seo-and-content-mandate-for-pothys/" TargetMode="External"/><Relationship Id="rId68" Type="http://schemas.openxmlformats.org/officeDocument/2006/relationships/hyperlink" Target="https://www.socialsamosa.com/industry-updates/fcb-ulka-creative-mandate-provident-housing-4755687" TargetMode="External"/><Relationship Id="rId69" Type="http://schemas.openxmlformats.org/officeDocument/2006/relationships/hyperlink" Target="https://www.medianews4u.com/fcb-ulka-bags-creative-mandate-for-provident-housing/" TargetMode="External"/><Relationship Id="rId70" Type="http://schemas.openxmlformats.org/officeDocument/2006/relationships/hyperlink" Target="https://www.storyboard18.com/brand-marketing/radisson-targets-160-hotels-19500-rooms-in-india-by-2026-amid-expansion-push-97096.htm" TargetMode="External"/><Relationship Id="rId71" Type="http://schemas.openxmlformats.org/officeDocument/2006/relationships/hyperlink" Target="https://www.afaqs.com/news/advertising/ddb-mudra-wins-raymonds-integrated-aor-mandate" TargetMode="External"/><Relationship Id="rId72" Type="http://schemas.openxmlformats.org/officeDocument/2006/relationships/hyperlink" Target="https://www.afaqs.com/news/advertising/madison-bmb-integrates-with-madison-loop" TargetMode="External"/><Relationship Id="rId73" Type="http://schemas.openxmlformats.org/officeDocument/2006/relationships/hyperlink" Target="https://www.afaqs.com/people-spotting/vineet-shah-joins-raymond-lifestyle-as-head-omnichannel-media-12573726" TargetMode="External"/><Relationship Id="rId74" Type="http://schemas.openxmlformats.org/officeDocument/2006/relationships/hyperlink" Target="https://www.afaqs.com/news/advertising/tanishq-challenges-empowerment-norms-in-womens-day-campaign-her-choice-8828061" TargetMode="External"/><Relationship Id="rId75" Type="http://schemas.openxmlformats.org/officeDocument/2006/relationships/hyperlink" Target="https://www.medianews4u.com/rivaah-by-tanishq-unveils-one-wedding-many-stories-campaign-celebrating-modern-indian-weddings/" TargetMode="External"/><Relationship Id="rId76" Type="http://schemas.openxmlformats.org/officeDocument/2006/relationships/hyperlink" Target="https://www.medianews4u.com/tata-realty-and-tata-housing-appoint-gaurav-jain-as-managing-director-and-ceo/" TargetMode="External"/><Relationship Id="rId77" Type="http://schemas.openxmlformats.org/officeDocument/2006/relationships/hyperlink" Target="https://www.medianews4u.com/the-house-of-abhinandan-lodha-launches-new-campaign-for-the-sarayu-in-ayodhyaji-featuring-ranbir-kapoor/" TargetMode="External"/><Relationship Id="rId78" Type="http://schemas.openxmlformats.org/officeDocument/2006/relationships/hyperlink" Target="https://www.afaqs.com/news/advertising/thomas-cook-india-taps-kartik-aaryan-to-promote-borderless-travel-card-8920861" TargetMode="External"/><Relationship Id="rId79" Type="http://schemas.openxmlformats.org/officeDocument/2006/relationships/hyperlink" Target="https://www.afaqs.com/people-spotting/virgio-appoints-hansa-nigam-as-chief-marketing-officer-12138383" TargetMode="External"/><Relationship Id="rId80" Type="http://schemas.openxmlformats.org/officeDocument/2006/relationships/hyperlink" Target="https://campaignbriefasia.com/2025/09/24/bbdo-india-and-world-gold-council-celebrate-lifes-everyday-moments-with-gold/" TargetMode="External"/><Relationship Id="rId81" Type="http://schemas.openxmlformats.org/officeDocument/2006/relationships/hyperlink" Target="https://www.storyboard18.com/brand-makers/360-one-appoints-raghav-iyengar-as-ceo-designate-of-asset-business-36564.htm" TargetMode="External"/><Relationship Id="rId82" Type="http://schemas.openxmlformats.org/officeDocument/2006/relationships/hyperlink" Target="https://www.medianews4u.com/radico-khaitan-doing-an-integrated-campaign-to-celebrate-its-debut-in-the-luxury-vodka-segment-with-the-spirit-of-kashmyr/" TargetMode="External"/><Relationship Id="rId83" Type="http://schemas.openxmlformats.org/officeDocument/2006/relationships/hyperlink" Target="https://www.medianews4u.com/vmlyr-india-to-work-on-user-experience-and-creative-revamp-of-anita-dongres-website/" TargetMode="External"/><Relationship Id="rId84" Type="http://schemas.openxmlformats.org/officeDocument/2006/relationships/hyperlink" Target="https://www.storyboard18.com/agency-news/antara-senior-living-appoints-bang-in-the-middle-as-its-creative-agency-33413.htm" TargetMode="External"/><Relationship Id="rId85" Type="http://schemas.openxmlformats.org/officeDocument/2006/relationships/hyperlink" Target="https://www.grapesworldwide.com/" TargetMode="External"/><Relationship Id="rId86" Type="http://schemas.openxmlformats.org/officeDocument/2006/relationships/hyperlink" Target="https://www.grapesworldwide.com/" TargetMode="External"/><Relationship Id="rId87" Type="http://schemas.openxmlformats.org/officeDocument/2006/relationships/hyperlink" Target="https://crosshairscommunication.com/case-studies/" TargetMode="External"/><Relationship Id="rId88" Type="http://schemas.openxmlformats.org/officeDocument/2006/relationships/hyperlink" Target="https://www.socialsamosa.com/industry-updates/lodha-sneha-shenoy-avp-brand-marketing-11871387" TargetMode="External"/><Relationship Id="rId89" Type="http://schemas.openxmlformats.org/officeDocument/2006/relationships/hyperlink" Target="https://www.afaqs.com/news/newbizwins/sw-network-retains-creative-and-digital-mandate-for-nexus-select-citywalk-delhi-9316678" TargetMode="External"/><Relationship Id="rId90" Type="http://schemas.openxmlformats.org/officeDocument/2006/relationships/hyperlink" Target="https://www.medianews4u.com/sw-network-retains-creative-and-digital-mandate-for-nexus-select-citywalk-delhi/" TargetMode="External"/><Relationship Id="rId91" Type="http://schemas.openxmlformats.org/officeDocument/2006/relationships/hyperlink" Target="https://www.afaqs.com/news/advertising/famous-innovations-wins-5-major-mandates-in-h2-strengthens-geographical-expansion-11727022" TargetMode="External"/><Relationship Id="rId92" Type="http://schemas.openxmlformats.org/officeDocument/2006/relationships/hyperlink" Target="https://www.exchange4media.com/advertising-news/rediffusion-collaborates-with-ihcl-for-launch-of-she-remains-the-taj-120348.html" TargetMode="External"/><Relationship Id="rId93" Type="http://schemas.openxmlformats.org/officeDocument/2006/relationships/hyperlink" Target="https://www.medianews4u.com/publicis-groupe-south-asia-appoints-paritosh-srivastava-and-snehasis-bose-to-lead-bbh-india/" TargetMode="External"/><Relationship Id="rId94" Type="http://schemas.openxmlformats.org/officeDocument/2006/relationships/hyperlink" Target="https://www.medianews4u.com/tata-cliq-luxury-turns-festive-shopping-into-an-investigation-with-festive-investigation-bureau/" TargetMode="External"/><Relationship Id="rId95" Type="http://schemas.openxmlformats.org/officeDocument/2006/relationships/hyperlink" Target="https://www.manifest-media.in/marketing/240926/natural-diamond-council-relaunches-as-the-diamond-collective-with-new.html" TargetMode="External"/><Relationship Id="rId96" Type="http://schemas.openxmlformats.org/officeDocument/2006/relationships/hyperlink" Target="https://www.agencyreporter.com/oberoi-hotels-appoints-mirum-india-for-marketing-cloud-services/" TargetMode="External"/><Relationship Id="rId97" Type="http://schemas.openxmlformats.org/officeDocument/2006/relationships/hyperlink" Target="https://www.afaqs.com/news/advertising/famous-innovations-wins-5-major-mandates-in-h2-strengthens-geographical-expansion-11727022" TargetMode="External"/><Relationship Id="rId98" Type="http://schemas.openxmlformats.org/officeDocument/2006/relationships/hyperlink" Target="https://www.medianews4u.com/atish-negi-appointed-brand-director-at-adidas-india/" TargetMode="External"/><Relationship Id="rId99" Type="http://schemas.openxmlformats.org/officeDocument/2006/relationships/hyperlink" Target="https://www.medianews4u.com/82-5-communications-wins-the-mandate-for-bacardi-indias-brands/" TargetMode="External"/><Relationship Id="rId100" Type="http://schemas.openxmlformats.org/officeDocument/2006/relationships/hyperlink" Target="https://www.afaqs.com/news/advertising/825-communications-secures-creative-duties-for-bacardi-india-brands-8443722" TargetMode="External"/><Relationship Id="rId101" Type="http://schemas.openxmlformats.org/officeDocument/2006/relationships/hyperlink" Target="https://www.medianews4u.com/bellavitas-campaign-deo-bachche-lagate-hai-aims-to-reposition-perfumes-as-a-luxurious-upgrade-to-deodorants/" TargetMode="External"/><Relationship Id="rId102" Type="http://schemas.openxmlformats.org/officeDocument/2006/relationships/hyperlink" Target="https://www.medianews4u.com/blenders-pride-fashion-tour-powered-by-fdci-sets-fashions-next-move-with-new-campaign/" TargetMode="External"/><Relationship Id="rId103" Type="http://schemas.openxmlformats.org/officeDocument/2006/relationships/hyperlink" Target="https://www.medianews4u.com/coronas-launches-a-campaign-around-sunset-views/" TargetMode="External"/><Relationship Id="rId104" Type="http://schemas.openxmlformats.org/officeDocument/2006/relationships/hyperlink" Target="https://news.google.com/rss/search?q=%22BBDO+India%22+mandate&amp;hl=en-IN&amp;gl=IN&amp;ceid=IN:en" TargetMode="External"/><Relationship Id="rId105" Type="http://schemas.openxmlformats.org/officeDocument/2006/relationships/hyperlink" Target="https://www.afaqs.com/people-spotting/ranjeev-vij-moves-on-from-tbwaindia-9009481" TargetMode="External"/><Relationship Id="rId106" Type="http://schemas.openxmlformats.org/officeDocument/2006/relationships/hyperlink" Target="https://www.socialsamosa.com/samosa-snippets/bbdo-tbwa-mccann-bring-omnicom-reshaped-empire-10841609" TargetMode="External"/><Relationship Id="rId107" Type="http://schemas.openxmlformats.org/officeDocument/2006/relationships/hyperlink" Target="https://www.medianews4u.com/honasa-consumer-names-saahil-nayar-as-business-head-senior-vice-president-to-lead-emerging-brands/" TargetMode="External"/><Relationship Id="rId108" Type="http://schemas.openxmlformats.org/officeDocument/2006/relationships/hyperlink" Target="https://www.medianews4u.com/lowe-lintas-wins-jawa-motorcycles-creative-mandate/" TargetMode="External"/><Relationship Id="rId109" Type="http://schemas.openxmlformats.org/officeDocument/2006/relationships/hyperlink" Target="https://www.medianews4u.com/82-5-communications-india-secures-the-creative-mandate-for-jsw-mg-motor-india/" TargetMode="External"/><Relationship Id="rId110" Type="http://schemas.openxmlformats.org/officeDocument/2006/relationships/hyperlink" Target="https://www.afaqs.com/people-spotting/jsw-mg-motor-india-appoints-parth-jindal-as-chairman-12458026" TargetMode="External"/><Relationship Id="rId111" Type="http://schemas.openxmlformats.org/officeDocument/2006/relationships/hyperlink" Target="https://www.afaqs.com/news/digital/social-beat-secures-digital-mandate-for-juicy-chemistry" TargetMode="External"/><Relationship Id="rId112" Type="http://schemas.openxmlformats.org/officeDocument/2006/relationships/hyperlink" Target="https://www.afaqs.com/people-spotting/lovechild-by-masaba-appoints-joel-thottan-as-marketing-lead-11834518" TargetMode="External"/><Relationship Id="rId113" Type="http://schemas.openxmlformats.org/officeDocument/2006/relationships/hyperlink" Target="https://www.afaqs.com/news/advertising/why-mahindras-thar-roxx-is-courting-womenwithout-letting-go-of-its-core-identity-12229682" TargetMode="External"/><Relationship Id="rId114" Type="http://schemas.openxmlformats.org/officeDocument/2006/relationships/hyperlink" Target="https://www.medianews4u.com/mumbais-potholes-become-mahindras-playground-in-bold-thar-test-drive-campaign/" TargetMode="External"/><Relationship Id="rId115" Type="http://schemas.openxmlformats.org/officeDocument/2006/relationships/hyperlink" Target="https://www.afaqs.com/people-spotting/oziva-appoints-abhishek-agrawal-as-chief-growth-officer-12443459" TargetMode="External"/><Relationship Id="rId116" Type="http://schemas.openxmlformats.org/officeDocument/2006/relationships/hyperlink" Target="https://www.medianews4u.com/wavemaker-india-retains-media-mandate-for-pernod-ricard-india/" TargetMode="External"/><Relationship Id="rId117" Type="http://schemas.openxmlformats.org/officeDocument/2006/relationships/hyperlink" Target="https://www.medianews4u.com/pernod-ricard-india-appoints-debasree-dasgupta-as-cmo-and-global-business-development-head/" TargetMode="External"/><Relationship Id="rId118" Type="http://schemas.openxmlformats.org/officeDocument/2006/relationships/hyperlink" Target="https://campaignbriefasia.com/2026/09/25/reliance-foundation-puts-opportunity-before-victory-in-new-tbwalintas-india-campaign/" TargetMode="External"/><Relationship Id="rId119" Type="http://schemas.openxmlformats.org/officeDocument/2006/relationships/hyperlink" Target="https://campaignbriefasia.com/2024/08/05/the-work-2024-hot-list-3-ddb-mudra-group-india/" TargetMode="External"/><Relationship Id="rId120" Type="http://schemas.openxmlformats.org/officeDocument/2006/relationships/hyperlink" Target="https://www.medianews4u.com/royal-challenge-packaged-drinking-water-launches-main-nahi-toh-kaun-be-campaign-reinforces-choose-bold-philosophy/" TargetMode="External"/><Relationship Id="rId121" Type="http://schemas.openxmlformats.org/officeDocument/2006/relationships/hyperlink" Target="https://www.medianews4u.com/royal-stag-launches-rscode-campaign-blending-cricket-data-and-ai-to-help-fans-decode-success/" TargetMode="External"/><Relationship Id="rId122" Type="http://schemas.openxmlformats.org/officeDocument/2006/relationships/hyperlink" Target="https://www.medianews4u.com/royal-stag-barrel-select-shorts-launches-for-the-select-ones-campaign-featuring-rajkummar-rao-and-patralekha/" TargetMode="External"/><Relationship Id="rId123" Type="http://schemas.openxmlformats.org/officeDocument/2006/relationships/hyperlink" Target="https://www.medianews4u.com/skoda-auto-india-and-bbh-india-launch-for-the-restless-campaign-for-new-kylaq-sportline/" TargetMode="External"/><Relationship Id="rId124" Type="http://schemas.openxmlformats.org/officeDocument/2006/relationships/hyperlink" Target="https://www.medianews4u.com/wunderman-thompson-india-bags-strategy-and-creative-mandate-for-skoda/" TargetMode="External"/><Relationship Id="rId125" Type="http://schemas.openxmlformats.org/officeDocument/2006/relationships/hyperlink" Target="https://www.storyboard18.com/brand-makers/tata-motors-pvs-media-pitch-concludes-auto-major-retains-existing-agencies-48051.htm" TargetMode="External"/><Relationship Id="rId126" Type="http://schemas.openxmlformats.org/officeDocument/2006/relationships/hyperlink" Target="https://www.afaqs.com/people-spotting/tata-motors-appoints-ejaz-takey-as-head-of-suv-marketing-11999514" TargetMode="External"/><Relationship Id="rId127" Type="http://schemas.openxmlformats.org/officeDocument/2006/relationships/hyperlink" Target="https://www.storyboard18.com/advertising/lowe-lintas-bags-the-creative-mandate-of-tuborg-75196.htm" TargetMode="External"/><Relationship Id="rId128" Type="http://schemas.openxmlformats.org/officeDocument/2006/relationships/hyperlink" Target="https://campaignbriefasia.com/2025/11/17/volkswagen-india-takes-drivers-back-to-the-moment-their-love-for-cars-was-born/" TargetMode="External"/><Relationship Id="rId129" Type="http://schemas.openxmlformats.org/officeDocument/2006/relationships/hyperlink" Target="https://www.storyboard18.com/how-it-works/volkswagen-colgate-palmolive-apple-the-return-of-the-agency-within-an-agency-96076.htm" TargetMode="External"/><Relationship Id="rId130" Type="http://schemas.openxmlformats.org/officeDocument/2006/relationships/hyperlink" Target="https://campaignbriefasia.com/2026/04/20/agoda-highlights-smart-travel-savings-in-new-what-a-save-campaign-via-22feet-india/" TargetMode="External"/><Relationship Id="rId131" Type="http://schemas.openxmlformats.org/officeDocument/2006/relationships/hyperlink" Target="https://www.afaqs.com/news/advertising/agoda-launches-ai-powered-campaign-with-ayushmann-khurrana-to-personalise-travel-ads-for-audiences" TargetMode="External"/><Relationship Id="rId132" Type="http://schemas.openxmlformats.org/officeDocument/2006/relationships/hyperlink" Target="https://www.storyboard18.com/brand-marketing/boney-kapoor-bhutani-infras-noida-film-city-to-drive-hospitality-retail-investments-as-construction-nears-101963.htm" TargetMode="External"/><Relationship Id="rId133" Type="http://schemas.openxmlformats.org/officeDocument/2006/relationships/hyperlink" Target="https://www.medianews4u.com/bluestones-strokesofgenius-campaign-embraces-the-idea-that-jewellery-is-wearable-art/" TargetMode="External"/><Relationship Id="rId134" Type="http://schemas.openxmlformats.org/officeDocument/2006/relationships/hyperlink" Target="https://www.afaqs.com/news/newbizwins/gant-india-partners-with-emporiom-digital-to-drive-digital-growth-8975364" TargetMode="External"/><Relationship Id="rId135" Type="http://schemas.openxmlformats.org/officeDocument/2006/relationships/hyperlink" Target="https://www.socialsamosa.com/industry-updates/heer-by-giva-anushka-sharma-face-of-brand-11826100" TargetMode="External"/><Relationship Id="rId136" Type="http://schemas.openxmlformats.org/officeDocument/2006/relationships/hyperlink" Target="https://www.medianews4u.com/contract-advertising-launches-brand-re-stage-campaign-for-kisna/" TargetMode="External"/><Relationship Id="rId137" Type="http://schemas.openxmlformats.org/officeDocument/2006/relationships/hyperlink" Target="https://www.manifest-media.in/marketing/240926/libas-expands-beyond-apparel-with-jewellery-launch.html" TargetMode="External"/><Relationship Id="rId138" Type="http://schemas.openxmlformats.org/officeDocument/2006/relationships/hyperlink" Target="https://www.medianews4u.com/louis-philippe-bets-on-cultural-credibility-over-celebrity-influence-in-new-digital-campaign/" TargetMode="External"/><Relationship Id="rId139" Type="http://schemas.openxmlformats.org/officeDocument/2006/relationships/hyperlink" Target="https://www.afaqs.com/news/advertising/louis-philippe-brings-kenny-sebastian-into-new-onam-campaign-12436755" TargetMode="External"/><Relationship Id="rId140" Type="http://schemas.openxmlformats.org/officeDocument/2006/relationships/hyperlink" Target="https://www.afaqs.com/news/advertising/mahindra-lifespaces-moves-beyond-amenities-in-its-latest-campaign-12051467" TargetMode="External"/><Relationship Id="rId141" Type="http://schemas.openxmlformats.org/officeDocument/2006/relationships/hyperlink" Target="https://www.afaqs.com/news/newbizwins/quirk-head-becomes-social-media-and-creative-design-partner-for-marriott-udaipur-and-jim-corbett-9014286" TargetMode="External"/><Relationship Id="rId142" Type="http://schemas.openxmlformats.org/officeDocument/2006/relationships/hyperlink" Target="https://www.medianews4u.com/mmtc-pamps-festive-films-by-autumngrey-capture-the-purity-of-emotions/" TargetMode="External"/><Relationship Id="rId143" Type="http://schemas.openxmlformats.org/officeDocument/2006/relationships/hyperlink" Target="https://www.afaqs.com/people-spotting/neemans-appoints-akshit-dhingra-as-vp-brand-marketing-12030001" TargetMode="External"/><Relationship Id="rId144" Type="http://schemas.openxmlformats.org/officeDocument/2006/relationships/hyperlink" Target="https://www.exchange4media.com/pr-and-corporate-communication-news/lintas-live-wins-pr-and-communication-mandate-for-prestige-group-109905.html" TargetMode="External"/><Relationship Id="rId145" Type="http://schemas.openxmlformats.org/officeDocument/2006/relationships/hyperlink" Target="https://www.campaignindia.in/article/prestige-group-launches-rise-with-us-campaign/4k6yqh6a2a759y8zhexzz7ryxm" TargetMode="External"/><Relationship Id="rId146" Type="http://schemas.openxmlformats.org/officeDocument/2006/relationships/hyperlink" Target="https://www.socialsamosa.com/industry-updates/signature-global-imran-shaikh-gm-marketing-communication-10884838" TargetMode="External"/><Relationship Id="rId147" Type="http://schemas.openxmlformats.org/officeDocument/2006/relationships/hyperlink" Target="https://www.afaqs.com/news/advertising/titan-raga-shifts-the-conversation-from-sisterhood-to-women-standing-their-ground-12512364" TargetMode="External"/><Relationship Id="rId148" Type="http://schemas.openxmlformats.org/officeDocument/2006/relationships/hyperlink" Target="https://www.medianews4u.com/titan-raga-launches-your-way-is-beautiful-campaign-featuring-alia-bhatt/" TargetMode="External"/><Relationship Id="rId149" Type="http://schemas.openxmlformats.org/officeDocument/2006/relationships/hyperlink" Target="https://www.afaqs.com/news/advertising/lintas-live-wins-social-media-marketing-mandate-for-turespaa" TargetMode="External"/><Relationship Id="rId150" Type="http://schemas.openxmlformats.org/officeDocument/2006/relationships/hyperlink" Target="https://www.medianews4u.com/lintas-live-wins-back-the-pr-and-integrated-communications-mandate-for-visit-victoria/" TargetMode="External"/><Relationship Id="rId151" Type="http://schemas.openxmlformats.org/officeDocument/2006/relationships/hyperlink" Target="https://news.google.com/rss/search?q=%22Ketchum+Sampark%22+OR+%22FleishmanHillard+India%22+mandate&amp;hl=en-IN&amp;gl=IN&amp;ceid=IN:en" TargetMode="External"/><Relationship Id="rId152" Type="http://schemas.openxmlformats.org/officeDocument/2006/relationships/hyperlink" Target="https://www.medianews4u.com/diageo-india-usl-to-acquire-nao-spirits-maker-of-greater-than-and-hapusa-craft-gins/" TargetMode="External"/><Relationship Id="rId153" Type="http://schemas.openxmlformats.org/officeDocument/2006/relationships/hyperlink" Target="https://www.medianews4u.com/indri-single-malt-whisky-gives-360-brand-mandate-to-blackcab-agency-network/" TargetMode="External"/><Relationship Id="rId154" Type="http://schemas.openxmlformats.org/officeDocument/2006/relationships/hyperlink" Target="https://www.medianews4u.com/loccitane-awards-its-pr-mandate-to-crosshairs-communication/" TargetMode="External"/><Relationship Id="rId155" Type="http://schemas.openxmlformats.org/officeDocument/2006/relationships/hyperlink" Target="https://www.medianews4u.com/longitude-77-by-pernod-ricard-india-redefines-diwali-gifting-with-craft-and-culture/" TargetMode="External"/><Relationship Id="rId156" Type="http://schemas.openxmlformats.org/officeDocument/2006/relationships/hyperlink" Target="https://www.medianews4u.com/tonic-worldwide-wins-digital-mandate-for-tilaknagars-monarch-legacy-edition-luxury-brandy/" TargetMode="External"/><Relationship Id="rId157" Type="http://schemas.openxmlformats.org/officeDocument/2006/relationships/hyperlink" Target="https://www.afaqs.com/news/newbizwins/tonic-worldwide-bags-digital-mandate-for-monarch-legacy-edition-luxury-brandy-9601190" TargetMode="External"/><Relationship Id="rId158" Type="http://schemas.openxmlformats.org/officeDocument/2006/relationships/hyperlink" Target="https://www.afaqs.com/corporate-communications-and-pr/crosshairs-communication-is-now-accor-indias-pr-partner" TargetMode="External"/><Relationship Id="rId159" Type="http://schemas.openxmlformats.org/officeDocument/2006/relationships/hyperlink" Target="https://www.campaignindia.in/article/accor-launches-all-for-love-celebrations-platform/4p466y39g5pxbtyrn5k9981fns" TargetMode="External"/><Relationship Id="rId160" Type="http://schemas.openxmlformats.org/officeDocument/2006/relationships/hyperlink" Target="https://www.grapesworldwide.com/" TargetMode="External"/><Relationship Id="rId161" Type="http://schemas.openxmlformats.org/officeDocument/2006/relationships/hyperlink" Target="https://www.grapesworldwide.com/" TargetMode="External"/><Relationship Id="rId162" Type="http://schemas.openxmlformats.org/officeDocument/2006/relationships/hyperlink" Target="https://www.socialsamosa.com/industry-updates/icubeswire-digital-mandate-luxury-real-estate-brand-central-park-9368637" TargetMode="External"/><Relationship Id="rId163" Type="http://schemas.openxmlformats.org/officeDocument/2006/relationships/hyperlink" Target="https://www.campaignindia.in/article/burson-wins-chalet-hotels-reputation-mandate/4xy9ew13ahvn7sn61tt41mbhx7" TargetMode="External"/><Relationship Id="rId164" Type="http://schemas.openxmlformats.org/officeDocument/2006/relationships/hyperlink" Target="https://www.medianews4u.com/chalet-hotels-partners-with-burson-to-strengthen-corporate-reputation-and-brand-equity/" TargetMode="External"/><Relationship Id="rId165" Type="http://schemas.openxmlformats.org/officeDocument/2006/relationships/hyperlink" Target="https://www.afaqs.com/news/advertising/50574_everest-brand-solutions-retains-creative-mandate-of-ddfs" TargetMode="External"/><Relationship Id="rId166" Type="http://schemas.openxmlformats.org/officeDocument/2006/relationships/hyperlink" Target="https://www.medianews4u.com/landor-transforms-hilton-shillim-resort-spa-into-dharana-a-luxury-retreat-with-a-new-brand-identity-celebrating-wellness-and-conscious-being/" TargetMode="External"/><Relationship Id="rId167" Type="http://schemas.openxmlformats.org/officeDocument/2006/relationships/hyperlink" Target="https://crosshairscommunication.com/clients/" TargetMode="External"/><Relationship Id="rId168" Type="http://schemas.openxmlformats.org/officeDocument/2006/relationships/hyperlink" Target="https://crosshairscommunication.com/clients/" TargetMode="External"/><Relationship Id="rId169" Type="http://schemas.openxmlformats.org/officeDocument/2006/relationships/hyperlink" Target="https://crosshairscommunication.com/clients/" TargetMode="External"/><Relationship Id="rId170" Type="http://schemas.openxmlformats.org/officeDocument/2006/relationships/hyperlink" Target="https://www.madchatter.in/" TargetMode="External"/><Relationship Id="rId171" Type="http://schemas.openxmlformats.org/officeDocument/2006/relationships/hyperlink" Target="https://www.afaqs.com/news/advertising/house-of-hiranandani-unveils-tomorrowmatters-campaign-with-ambitious-5-year-sustainability-goals" TargetMode="External"/><Relationship Id="rId172" Type="http://schemas.openxmlformats.org/officeDocument/2006/relationships/hyperlink" Target="https://campaignbriefasia.com/2025/09/22/ogilvy-india-creates-festive-film-for-indriyas-alka-collection-featuring-dil-abhi-bhara-nahin/" TargetMode="External"/><Relationship Id="rId173" Type="http://schemas.openxmlformats.org/officeDocument/2006/relationships/hyperlink" Target="https://www.medianews4u.com/adlift-bags-seo-mandate-for-indriya-aditya-birla-jewellery/" TargetMode="External"/><Relationship Id="rId174" Type="http://schemas.openxmlformats.org/officeDocument/2006/relationships/hyperlink" Target="https://www.afaqs.com/corporate-communications-and-pr/crosshairs-communication-wins-pr-mandate-for-khurana-jewellery-house" TargetMode="External"/><Relationship Id="rId175" Type="http://schemas.openxmlformats.org/officeDocument/2006/relationships/hyperlink" Target="https://www.afaqs.com/news/newbizwins/sunny-side-up-wins-creative-mandate-for-william-penns-lapis-bard-10881552" TargetMode="External"/><Relationship Id="rId176" Type="http://schemas.openxmlformats.org/officeDocument/2006/relationships/hyperlink" Target="https://www.afaqs.com/corporate-communications-and-pr/crosshairs-communication-bags-pr-mandate-for-le-royal-monceau-raffles-paris-7594598" TargetMode="External"/><Relationship Id="rId177" Type="http://schemas.openxmlformats.org/officeDocument/2006/relationships/hyperlink" Target="https://www.grapesworldwide.com/" TargetMode="External"/><Relationship Id="rId178" Type="http://schemas.openxmlformats.org/officeDocument/2006/relationships/hyperlink" Target="https://www.medianews4u.com/marriott-international-brings-loyal-tea-activation-to-mumbai-with-bbh-singapore-to-extend-marriott-bonvoy-campaign/" TargetMode="External"/><Relationship Id="rId179" Type="http://schemas.openxmlformats.org/officeDocument/2006/relationships/hyperlink" Target="https://lyxelandflamingo.com/" TargetMode="External"/><Relationship Id="rId180" Type="http://schemas.openxmlformats.org/officeDocument/2006/relationships/hyperlink" Target="https://www.whiteriversmedia.com/" TargetMode="External"/><Relationship Id="rId181" Type="http://schemas.openxmlformats.org/officeDocument/2006/relationships/hyperlink" Target="https://www.grapesworldwide.com/" TargetMode="External"/><Relationship Id="rId182" Type="http://schemas.openxmlformats.org/officeDocument/2006/relationships/hyperlink" Target="https://crosshairscommunication.com/case-studies/" TargetMode="External"/><Relationship Id="rId183" Type="http://schemas.openxmlformats.org/officeDocument/2006/relationships/hyperlink" Target="https://www.afaqs.com/news/newbizwins/crosshairs-communication-bags-pr-mandate-for-raghavendra-rathore-jodhpur-8899894" TargetMode="External"/><Relationship Id="rId184" Type="http://schemas.openxmlformats.org/officeDocument/2006/relationships/hyperlink" Target="https://www.afaqs.com/people-spotting/rakesh-setia-joins-runwal-as-ceo-for-luxury-segment-after-7-year-stint-at-rustomjee-11742410" TargetMode="External"/><Relationship Id="rId185" Type="http://schemas.openxmlformats.org/officeDocument/2006/relationships/hyperlink" Target="https://www.socialsamosa.com/industry-updates/concept-pr-communications-mandate-runwal-enterprises-12062954" TargetMode="External"/><Relationship Id="rId186" Type="http://schemas.openxmlformats.org/officeDocument/2006/relationships/hyperlink" Target="https://www.afaqs.com/news/advertising/famous-innovations-wins-5-major-mandates-in-h2-strengthens-geographical-expansion-11727022" TargetMode="External"/><Relationship Id="rId187" Type="http://schemas.openxmlformats.org/officeDocument/2006/relationships/hyperlink" Target="https://www.medianews4u.com/beam-and-words-bags-social-media-mandate-for-luxury-designer-brand-tarun-tahiliani/" TargetMode="External"/><Relationship Id="rId188" Type="http://schemas.openxmlformats.org/officeDocument/2006/relationships/hyperlink" Target="https://crosshairscommunication.com/clients/" TargetMode="External"/><Relationship Id="rId189" Type="http://schemas.openxmlformats.org/officeDocument/2006/relationships/hyperlink" Target="https://www.afaqs.com/news/newbizwins/the-other-circle-bags-pr-mandate-for-the-astor-goa-9504708" TargetMode="External"/><Relationship Id="rId190" Type="http://schemas.openxmlformats.org/officeDocument/2006/relationships/hyperlink" Target="https://quirkhead.ae/" TargetMode="External"/><Relationship Id="rId191" Type="http://schemas.openxmlformats.org/officeDocument/2006/relationships/hyperlink" Target="https://quirkhead.ae/" TargetMode="External"/><Relationship Id="rId192" Type="http://schemas.openxmlformats.org/officeDocument/2006/relationships/hyperlink" Target="https://www.afaqs.com/corporate-communications-and-pr/crosshairs-communication-bags-pr-mandate-for-thomas-goode-co-in-india-7295230" TargetMode="External"/><Relationship Id="rId193" Type="http://schemas.openxmlformats.org/officeDocument/2006/relationships/hyperlink" Target="https://www.grapesworldwide.com/" TargetMode="External"/><Relationship Id="rId194" Type="http://schemas.openxmlformats.org/officeDocument/2006/relationships/hyperlink" Target="https://www.afaqs.com/news/newbizwins/pepper-communications-group-wins-pr-mandate-for-timbertales-luxury-resort-8629292" TargetMode="External"/><Relationship Id="rId195" Type="http://schemas.openxmlformats.org/officeDocument/2006/relationships/hyperlink" Target="https://www.pulpstrategy.com/?portfolio=the-heroines-journey-beyond-by-zoya" TargetMode="External"/><Relationship Id="rId196" Type="http://schemas.openxmlformats.org/officeDocument/2006/relationships/hyperlink" Target="https://www.pulpstrategy.com/" TargetMode="External"/><Relationship Id="rId197" Type="http://schemas.openxmlformats.org/officeDocument/2006/relationships/hyperlink" Target="https://www.afaqs.com/people-spotting/akasa-air-appoints-aditi-roy-as-head-of-corporate-communications-csr-11457862" TargetMode="External"/><Relationship Id="rId198" Type="http://schemas.openxmlformats.org/officeDocument/2006/relationships/hyperlink" Target="https://www.campaignindia.in/article/akasa-air-s-anti-advertising-playbook-winning-skies-through-unscripted-customer-moments/495j1wvysejyaz0b2xztdradws" TargetMode="External"/><Relationship Id="rId199" Type="http://schemas.openxmlformats.org/officeDocument/2006/relationships/hyperlink" Target="https://campaignbriefasia.com/2026/01/28/axis-bank-and-grey-india-launch-deshkalocker-republic-day-campaign/" TargetMode="External"/><Relationship Id="rId200" Type="http://schemas.openxmlformats.org/officeDocument/2006/relationships/hyperlink" Target="https://www.afaqs.com/news/advertising/axis-bank-turns-nri-distance-into-stories-of-care-and-connection-12399615" TargetMode="External"/><Relationship Id="rId201" Type="http://schemas.openxmlformats.org/officeDocument/2006/relationships/hyperlink" Target="https://www.medianews4u.com/dbs-bank-india-revamps-sounds-of-budget-campaign/" TargetMode="External"/><Relationship Id="rId202" Type="http://schemas.openxmlformats.org/officeDocument/2006/relationships/hyperlink" Target="https://bestmediainfo.com/mediainfo/mediainfo-marketing/dbs-initiates-creative-agency-review-across-six-asia-pacific-markets-including-india-11700883" TargetMode="External"/><Relationship Id="rId203" Type="http://schemas.openxmlformats.org/officeDocument/2006/relationships/hyperlink" Target="https://www.afaqs.com/news/newbizwins/omd-india-wins-integrated-media-mandate-for-hdfc-life-8636433" TargetMode="External"/><Relationship Id="rId204" Type="http://schemas.openxmlformats.org/officeDocument/2006/relationships/hyperlink" Target="https://campaignbriefasia.com/2026/01/27/hdfc-life-unveils-new-brand-campaign-with-leo-highlighting-parents-role-in-shaping-the-future/" TargetMode="External"/><Relationship Id="rId205" Type="http://schemas.openxmlformats.org/officeDocument/2006/relationships/hyperlink" Target="https://www.medianews4u.com/publicis-indias-campaign-for-hdfc-mutual-fund-captures-emotional-investment-journey-with-storytelling-and-insights/" TargetMode="External"/><Relationship Id="rId206" Type="http://schemas.openxmlformats.org/officeDocument/2006/relationships/hyperlink" Target="https://www.campaignindia.in/article/hdfc-mutual-fund-s-barni-se-azadi-puts-women-centre-stage/4vwx7gdgw1vn60g41yqv07k1mc" TargetMode="External"/><Relationship Id="rId207" Type="http://schemas.openxmlformats.org/officeDocument/2006/relationships/hyperlink" Target="https://www.storyboard18.com/advertising/biz-breaks-major-account-moves-and-pitches-of-2024-51970.htm" TargetMode="External"/><Relationship Id="rId208" Type="http://schemas.openxmlformats.org/officeDocument/2006/relationships/hyperlink" Target="https://www.afaqs.com/news/advertising/how-kotak-is-banking-on-ai-driven-content-to-stay-ahead-of-the-curve-8893952" TargetMode="External"/><Relationship Id="rId209" Type="http://schemas.openxmlformats.org/officeDocument/2006/relationships/hyperlink" Target="https://campaignbriefasia.com/2026/08/06/bbdo-india-and-mcdonalds-india-launch-mccafe-campaign-as-network-expands-to-200-outlets/" TargetMode="External"/><Relationship Id="rId210" Type="http://schemas.openxmlformats.org/officeDocument/2006/relationships/hyperlink" Target="https://news.google.com/rss/search?q=%22DDB+Mudra%22+wins+OR+bags+OR+mandate&amp;hl=en-IN&amp;gl=IN&amp;ceid=IN:en" TargetMode="External"/><Relationship Id="rId211" Type="http://schemas.openxmlformats.org/officeDocument/2006/relationships/hyperlink" Target="https://www.afaqs.com/news/advertising/motilal-oswal-financial-servicess-new-ad-warns-against-bad-financial-advice-9306490" TargetMode="External"/><Relationship Id="rId212" Type="http://schemas.openxmlformats.org/officeDocument/2006/relationships/hyperlink" Target="https://www.medianews4u.com/motilal-oswal-fss-new-campaign-shows-how-lack-of-expertise-can-challenge-seasoned-professionals/" TargetMode="External"/><Relationship Id="rId213" Type="http://schemas.openxmlformats.org/officeDocument/2006/relationships/hyperlink" Target="https://www.afaqs.com/people-spotting/razorpay-elevates-apuarv-sethi-to-cmo-11837471" TargetMode="External"/><Relationship Id="rId214" Type="http://schemas.openxmlformats.org/officeDocument/2006/relationships/hyperlink" Target="https://www.afaqs.com/people-spotting/shanu-singh-rejoins-standard-chartered-as-head-marketing-wrb-india-11805501" TargetMode="External"/><Relationship Id="rId215" Type="http://schemas.openxmlformats.org/officeDocument/2006/relationships/hyperlink" Target="https://www.socialsamosa.com/samosa-snippets/bbdo-tbwa-mccann-bring-omnicom-reshaped-empire-10841609" TargetMode="External"/><Relationship Id="rId216" Type="http://schemas.openxmlformats.org/officeDocument/2006/relationships/hyperlink" Target="https://www.medianews4u.com/lintas-live-bags-the-pr-mandate-for-tata-aig-general-insurance/" TargetMode="External"/><Relationship Id="rId217" Type="http://schemas.openxmlformats.org/officeDocument/2006/relationships/hyperlink" Target="https://www.medianews4u.com/social-panga-bags-social-media-mandate-for-tata-aig/" TargetMode="External"/><Relationship Id="rId218" Type="http://schemas.openxmlformats.org/officeDocument/2006/relationships/hyperlink" Target="https://www.medianews4u.com/vistara-assigns-its-creative-mandate-to-ogilvy-and-signs-maxus-as-media-partner/" TargetMode="External"/><Relationship Id="rId219" Type="http://schemas.openxmlformats.org/officeDocument/2006/relationships/hyperlink" Target="https://www.storyboard18.com/agency-news/vistara-bookings-to-stop-from-next-week-onwards-merger-with-air-india-from-12-nov-40965.htm" TargetMode="External"/><Relationship Id="rId220" Type="http://schemas.openxmlformats.org/officeDocument/2006/relationships/hyperlink" Target="https://www.grapesworldwide.com/" TargetMode="External"/><Relationship Id="rId221" Type="http://schemas.openxmlformats.org/officeDocument/2006/relationships/hyperlink" Target="https://www.medianews4u.com/bioderma-india-appoints-pr-pundit-as-its-communications-partner/" TargetMode="External"/><Relationship Id="rId222" Type="http://schemas.openxmlformats.org/officeDocument/2006/relationships/hyperlink" Target="https://www.afaqs.com/news/advertising/bioderma-appoints-pr-pundit-as-its-communications-partner-in-india" TargetMode="External"/><Relationship Id="rId223" Type="http://schemas.openxmlformats.org/officeDocument/2006/relationships/hyperlink" Target="https://www.afaqs.com/people-spotting/bira-91-founder-ankur-jain-steps-down-after-lender-settlement-12187504" TargetMode="External"/><Relationship Id="rId224" Type="http://schemas.openxmlformats.org/officeDocument/2006/relationships/hyperlink" Target="https://www.medianews4u.com/bira-91-partners-with-omd-to-engage-beer-fans/" TargetMode="External"/><Relationship Id="rId225" Type="http://schemas.openxmlformats.org/officeDocument/2006/relationships/hyperlink" Target="https://www.socialsamosa.com/industry-updates/akshay-gurnani-exits-schbang-harshil-sohil-karia-full-control-8772881" TargetMode="External"/><Relationship Id="rId226" Type="http://schemas.openxmlformats.org/officeDocument/2006/relationships/hyperlink" Target="https://www.medianews4u.com/lintas-live-rides-away-with-the-classic-legends-mandate/" TargetMode="External"/><Relationship Id="rId227" Type="http://schemas.openxmlformats.org/officeDocument/2006/relationships/hyperlink" Target="https://www.afaqs.com/news/advertising/dove-encourages-consumers-to-pause-reverse-and-play-for-healthier-hair" TargetMode="External"/><Relationship Id="rId228" Type="http://schemas.openxmlformats.org/officeDocument/2006/relationships/hyperlink" Target="https://www.afaqs.com/news/newbizwins/honda-cars-india-appoints-burson-as-strategic-communications-partner-9064438" TargetMode="External"/><Relationship Id="rId229" Type="http://schemas.openxmlformats.org/officeDocument/2006/relationships/hyperlink" Target="https://www.medianews4u.com/honda-cars-india-names-burson-as-strategic-communications-partner/" TargetMode="External"/><Relationship Id="rId230" Type="http://schemas.openxmlformats.org/officeDocument/2006/relationships/hyperlink" Target="https://www.storyboard18.com/agency-news/non-auto-business-nears-one-third-of-innocean-india-revenue-target-50-in-three-years-111037.htm" TargetMode="External"/><Relationship Id="rId231" Type="http://schemas.openxmlformats.org/officeDocument/2006/relationships/hyperlink" Target="https://www.afaqs.com/news/advertising/interactive-avenues-bags-social-media-mandate-for-rppl" TargetMode="External"/><Relationship Id="rId232" Type="http://schemas.openxmlformats.org/officeDocument/2006/relationships/hyperlink" Target="https://www.grapesworldwide.com/" TargetMode="External"/><Relationship Id="rId233" Type="http://schemas.openxmlformats.org/officeDocument/2006/relationships/hyperlink" Target="https://www.afaqs.com/news/advertising/johnsons-baby-launches-poshan-ka-pehla-sparsh-campaign-12062183" TargetMode="External"/><Relationship Id="rId234" Type="http://schemas.openxmlformats.org/officeDocument/2006/relationships/hyperlink" Target="https://www.afaqs.com/news/branded-content/nykaa-wanderlust-enters-microdrama-space-with-hotel-wanderlust-12584987" TargetMode="External"/><Relationship Id="rId235" Type="http://schemas.openxmlformats.org/officeDocument/2006/relationships/hyperlink" Target="https://www.medianews4u.com/nykaas-new-at-nykaa-campaign-spotlights-latest-beauty-launches-through-playful-warehouse-heist/" TargetMode="External"/><Relationship Id="rId236" Type="http://schemas.openxmlformats.org/officeDocument/2006/relationships/hyperlink" Target="https://www.medianews4u.com/puma-owns-the-dive-invites-viewers-to-dive-and-post-to-play-alongside-virat-kohli/" TargetMode="External"/><Relationship Id="rId237" Type="http://schemas.openxmlformats.org/officeDocument/2006/relationships/hyperlink" Target="https://www.medianews4u.com/puma-india-brings-virat-kohli-rcb-stars-and-viral-fan-together-for-rcbeverywhere-campaign/" TargetMode="External"/><Relationship Id="rId238" Type="http://schemas.openxmlformats.org/officeDocument/2006/relationships/hyperlink" Target="https://www.storyboard18.com/brand-makers/royal-enfields-ev-chief-mario-alvisi-steps-down-amid-strategic-shift-report-83207.htm" TargetMode="External"/><Relationship Id="rId239" Type="http://schemas.openxmlformats.org/officeDocument/2006/relationships/hyperlink" Target="https://www.medianews4u.com/gaurang-menon-steps-down-from-hashtag-orange-after-building-mumbai-business/" TargetMode="External"/><Relationship Id="rId240" Type="http://schemas.openxmlformats.org/officeDocument/2006/relationships/hyperlink" Target="https://www.afaqs.com/news/advertising/tvs-apache-launches-tu-race-laga-campaign-12152297" TargetMode="External"/><Relationship Id="rId241" Type="http://schemas.openxmlformats.org/officeDocument/2006/relationships/hyperlink" Target="https://www.storyboard18.com/brand-makers/vijay-deverakonda-launches-skincare-brand-unhype-ws-l-110493.htm" TargetMode="External"/><Relationship Id="rId242" Type="http://schemas.openxmlformats.org/officeDocument/2006/relationships/hyperlink" Target="https://www.afaqs.com/news/advertising/vicky-kaushal-stars-in-birla-estates-real-advise-campaign" TargetMode="External"/><Relationship Id="rId243" Type="http://schemas.openxmlformats.org/officeDocument/2006/relationships/hyperlink" Target="https://www.afaqs.com/news/advertising/birla-estates-launches-storiespersqft-t20-campaign-with-rcb-players-8924426" TargetMode="External"/><Relationship Id="rId244" Type="http://schemas.openxmlformats.org/officeDocument/2006/relationships/hyperlink" Target="https://www.socialsamosa.com/industry-updates/candere-smriti-mandhana-brand-ambassador-12116181" TargetMode="External"/><Relationship Id="rId245" Type="http://schemas.openxmlformats.org/officeDocument/2006/relationships/hyperlink" Target="https://www.medianews4u.com/prius-communications-leads-pr-and-digital-mandate-for-delhi-times-fashion-week-2026-for-seventh-consecutive-year/" TargetMode="External"/><Relationship Id="rId246" Type="http://schemas.openxmlformats.org/officeDocument/2006/relationships/hyperlink" Target="https://www.medianews4u.com/lowe-lintas-wins-creative-mandate-for-fabindia/" TargetMode="External"/><Relationship Id="rId247" Type="http://schemas.openxmlformats.org/officeDocument/2006/relationships/hyperlink" Target="https://www.medianews4u.com/fabindia-appoints-80-db-mavericks-pr-consultancy/" TargetMode="External"/><Relationship Id="rId248" Type="http://schemas.openxmlformats.org/officeDocument/2006/relationships/hyperlink" Target="https://www.afaqs.com/news/newbizwins/sw-network-wins-fila-and-foot-locker-mandates-from-metro-brands-10812995" TargetMode="External"/><Relationship Id="rId249" Type="http://schemas.openxmlformats.org/officeDocument/2006/relationships/hyperlink" Target="https://www.medianews4u.com/sw-network-bags-creative-mandate-for-fila-and-foot-locker-from-metro-brands/" TargetMode="External"/><Relationship Id="rId250" Type="http://schemas.openxmlformats.org/officeDocument/2006/relationships/hyperlink" Target="https://www.afaqs.com/people-spotting/forever-new-appoints-shifali-singh-as-country-director-india-11111573" TargetMode="External"/><Relationship Id="rId251" Type="http://schemas.openxmlformats.org/officeDocument/2006/relationships/hyperlink" Target="https://www.socialsamosa.com/industry-updates/giva-pulls-raksha-bandhan-ad-featuring-kriti-sanon-after-social-media-backlash-12436871" TargetMode="External"/><Relationship Id="rId252" Type="http://schemas.openxmlformats.org/officeDocument/2006/relationships/hyperlink" Target="https://www.medianews4u.com/savvytree-renews-helios-by-titans-social-media-mandate-for-3rd-year/" TargetMode="External"/><Relationship Id="rId253" Type="http://schemas.openxmlformats.org/officeDocument/2006/relationships/hyperlink" Target="https://www.afaqs.com/people-spotting/hero-realty-cmo-karan-kumar-moves-on-12211162" TargetMode="External"/><Relationship Id="rId254" Type="http://schemas.openxmlformats.org/officeDocument/2006/relationships/hyperlink" Target="https://www.medianews4u.com/kickers-partners-with-team-pumpkin-to-build-digital-presence-in-india/" TargetMode="External"/><Relationship Id="rId255" Type="http://schemas.openxmlformats.org/officeDocument/2006/relationships/hyperlink" Target="https://www.afaqs.com/news/newbizwins/kickers-appoints-team-pumpkin-as-digital-marketing-agency-for-india-launch-9359511" TargetMode="External"/><Relationship Id="rId256" Type="http://schemas.openxmlformats.org/officeDocument/2006/relationships/hyperlink" Target="https://dnanetworks.com/our-work/corporate-events/" TargetMode="External"/><Relationship Id="rId257" Type="http://schemas.openxmlformats.org/officeDocument/2006/relationships/hyperlink" Target="https://www.medianews4u.com/orra-diamond-jewellery-has-appointed-pr-pundit-as-its-communication-partners-in-india/" TargetMode="External"/><Relationship Id="rId258" Type="http://schemas.openxmlformats.org/officeDocument/2006/relationships/hyperlink" Target="https://crosshairscommunication.com/clients/" TargetMode="External"/><Relationship Id="rId259" Type="http://schemas.openxmlformats.org/officeDocument/2006/relationships/hyperlink" Target="https://www.afaqs.com/people-spotting/raymond-realty-appoints-karishma-mehta-as-cluster-head-marketing-12204838" TargetMode="External"/><Relationship Id="rId260" Type="http://schemas.openxmlformats.org/officeDocument/2006/relationships/hyperlink" Target="https://www.medianews4u.com/white-rivers-media-wins-25-business-accounts-in-2023s-q4/" TargetMode="External"/><Relationship Id="rId261" Type="http://schemas.openxmlformats.org/officeDocument/2006/relationships/hyperlink" Target="https://www.afaqs.com/news/advertising/reliance-jewels-unveils-vindhya-collection-for-akshaya-tritiya" TargetMode="External"/><Relationship Id="rId262" Type="http://schemas.openxmlformats.org/officeDocument/2006/relationships/hyperlink" Target="https://www.campaignindia.in/article/sattva-group-launches-festive-brand-campaign-featuring-sima-taparia/43d1w83x5p5wfxzgdj8fyeqf5f" TargetMode="External"/><Relationship Id="rId263" Type="http://schemas.openxmlformats.org/officeDocument/2006/relationships/hyperlink" Target="https://www.medianews4u.com/senco-gold-diamonds-appoints-actimedia-pr-digital-as-official-pr-partner/" TargetMode="External"/><Relationship Id="rId264" Type="http://schemas.openxmlformats.org/officeDocument/2006/relationships/hyperlink" Target="https://www.medianews4u.com/senco-gold-diamonds-launches-aapkashukriya-campaign-honouring-artisan-craftsmanship/" TargetMode="External"/><Relationship Id="rId265" Type="http://schemas.openxmlformats.org/officeDocument/2006/relationships/hyperlink" Target="https://www.socialsamosa.com/industry-updates/caratlane-shaya-shreya-ghoshal-brand-ambassador-12575545" TargetMode="External"/><Relationship Id="rId266" Type="http://schemas.openxmlformats.org/officeDocument/2006/relationships/hyperlink" Target="https://campaignbriefasia.com/2022/05/10/contract-advertising-india-explores-the-changing-narrative-of-mothers-via-shoppers-stop-campaign/" TargetMode="External"/><Relationship Id="rId267" Type="http://schemas.openxmlformats.org/officeDocument/2006/relationships/hyperlink" Target="https://www.medianews4u.com/fcb-ulka-wins-the-creative-mandate-for-shoppers-stop/" TargetMode="External"/><Relationship Id="rId268" Type="http://schemas.openxmlformats.org/officeDocument/2006/relationships/hyperlink" Target="https://www.medianews4u.com/monks-interactive-wins-the-pr-mandate-of-the-fern-hotels-resorts/" TargetMode="External"/><Relationship Id="rId269" Type="http://schemas.openxmlformats.org/officeDocument/2006/relationships/hyperlink" Target="https://www.medianews4u.com/sociowash-wins-mandate-of-titans-licensed-watch-brands-kenneth-cole-new-york-and-tommy-hilfiger/" TargetMode="External"/><Relationship Id="rId270" Type="http://schemas.openxmlformats.org/officeDocument/2006/relationships/hyperlink" Target="https://www.afaqs.com/news/newbizwins/t&#252;rkiye-tourism-renews-india-pr-mandate-with-confiance-communications-11076007" TargetMode="External"/><Relationship Id="rId271" Type="http://schemas.openxmlformats.org/officeDocument/2006/relationships/hyperlink" Target="https://www.medianews4u.com/confiance-communications-bags-india-pr-mandate-for-turkiye-tourism-for-fifth-consecutive-term/" TargetMode="External"/><Relationship Id="rId272" Type="http://schemas.openxmlformats.org/officeDocument/2006/relationships/hyperlink" Target="https://www.medianews4u.com/van-heusen-looking-to-push-creative-boundaries-with-a-new-campaign-frame-to-redefine-new-eveningwear-sub-brand-vh-evening/" TargetMode="External"/><Relationship Id="rId273" Type="http://schemas.openxmlformats.org/officeDocument/2006/relationships/hyperlink" Target="https://www.medianews4u.com/oktobuzz-wins-digital-marketing-mandate-of-westside/" TargetMode="External"/><Relationship Id="rId274" Type="http://schemas.openxmlformats.org/officeDocument/2006/relationships/hyperlink" Target="https://www.ethinos.com/" TargetMode="External"/><Relationship Id="rId275" Type="http://schemas.openxmlformats.org/officeDocument/2006/relationships/hyperlink" Target="https://campaignbriefasia.com/2025/09/05/the-work-2025-hot-list-2-ddb-mudra-group-india/" TargetMode="External"/><Relationship Id="rId276" Type="http://schemas.openxmlformats.org/officeDocument/2006/relationships/hyperlink" Target="https://www.afaqs.com/news/advertising/mohammed-siraj-and-ravi-shastri-groove-to-oo-antava-song-in-dixcy-scotts-latest-campaign" TargetMode="External"/><Relationship Id="rId277" Type="http://schemas.openxmlformats.org/officeDocument/2006/relationships/hyperlink" Target="https://www.medianews4u.com/hansgrohe-india-assigns-its-pr-duties-to-pr-pundit/" TargetMode="External"/><Relationship Id="rId278" Type="http://schemas.openxmlformats.org/officeDocument/2006/relationships/hyperlink" Target="https://www.afaqs.com/news/media/network18-partners-with-nuvama-group-9348775" TargetMode="External"/><Relationship Id="rId279" Type="http://schemas.openxmlformats.org/officeDocument/2006/relationships/hyperlink" Target="https://www.afaqs.com/news/newbizwins/audi-india-appoints-wondrlab-as-brand-communication-partner-11216364" TargetMode="External"/><Relationship Id="rId280" Type="http://schemas.openxmlformats.org/officeDocument/2006/relationships/hyperlink" Target="https://www.medianews4u.com/lk-saatchi-saatchi-wins-retail-communications-mandate-of-audi-india/" TargetMode="External"/><Relationship Id="rId281" Type="http://schemas.openxmlformats.org/officeDocument/2006/relationships/hyperlink" Target="https://crosshairscommunication.com/case-studies/" TargetMode="External"/><Relationship Id="rId282" Type="http://schemas.openxmlformats.org/officeDocument/2006/relationships/hyperlink" Target="https://socheers.in/" TargetMode="External"/><Relationship Id="rId283" Type="http://schemas.openxmlformats.org/officeDocument/2006/relationships/hyperlink" Target="https://www.afaqs.com/news/newbizwins/toaster-insea-wins-social-mandate-for-godfather-beer-10788216" TargetMode="External"/><Relationship Id="rId284" Type="http://schemas.openxmlformats.org/officeDocument/2006/relationships/hyperlink" Target="https://www.afaqs.com/news/newbizwins/social-panga-wins-digital-mandate-for-devans-beer-gin-brands-12426681" TargetMode="External"/><Relationship Id="rId285" Type="http://schemas.openxmlformats.org/officeDocument/2006/relationships/hyperlink" Target="https://www.grapesworldwide.com/" TargetMode="External"/><Relationship Id="rId286" Type="http://schemas.openxmlformats.org/officeDocument/2006/relationships/hyperlink" Target="https://www.medianews4u.com/estee-lauder-launches-india-campaign-for-advanced-night-repair-spotlights-nighttime-skin-recovery/" TargetMode="External"/><Relationship Id="rId287" Type="http://schemas.openxmlformats.org/officeDocument/2006/relationships/hyperlink" Target="https://www.medianews4u.com/forest-essentials-launches-take-your-time-campaign-celebrating-slow-beauty-and-rituals/" TargetMode="External"/><Relationship Id="rId288" Type="http://schemas.openxmlformats.org/officeDocument/2006/relationships/hyperlink" Target="https://www.afaqs.com/news/newbizwins/hashtag-orange-bags-marketing-mandate-for-frankfinn-12505549" TargetMode="External"/><Relationship Id="rId289" Type="http://schemas.openxmlformats.org/officeDocument/2006/relationships/hyperlink" Target="https://socheers.in/" TargetMode="External"/><Relationship Id="rId290" Type="http://schemas.openxmlformats.org/officeDocument/2006/relationships/hyperlink" Target="https://www.afaqs.com/news/mktg/wpp-wins-global-ai-led-marketing-mandate-for-jaguar-land-rover-11857970" TargetMode="External"/><Relationship Id="rId291" Type="http://schemas.openxmlformats.org/officeDocument/2006/relationships/hyperlink" Target="https://www.storyboard18.com/advertising/wpp-finally-clinches-jaguar-land-rovers-global-mandate-86357.htm" TargetMode="External"/><Relationship Id="rId292" Type="http://schemas.openxmlformats.org/officeDocument/2006/relationships/hyperlink" Target="https://www.medianews4u.com/radico-khaitan-appoints-adglobal360-as-integrated-digital-media-partner-to-strengthen-consumer-engagement/" TargetMode="External"/><Relationship Id="rId293" Type="http://schemas.openxmlformats.org/officeDocument/2006/relationships/hyperlink" Target="https://www.medianews4u.com/johnnie-walker-partners-with-taproot-dentsu-to-launch-the-walkinwithjohnnie-campaign/" TargetMode="External"/><Relationship Id="rId294" Type="http://schemas.openxmlformats.org/officeDocument/2006/relationships/hyperlink" Target="https://www.afaqs.com/news/newbizwins/adglobal360-wins-radico-khaitans-digital-media-mandate-12017046" TargetMode="External"/><Relationship Id="rId295" Type="http://schemas.openxmlformats.org/officeDocument/2006/relationships/hyperlink" Target="https://www.storyboard18.com/agency-news/radico-khaitan-names-adglobal360-as-digital-media-partner-100555.htm" TargetMode="External"/><Relationship Id="rId296" Type="http://schemas.openxmlformats.org/officeDocument/2006/relationships/hyperlink" Target="https://www.afaqs.com/news/newbizwins/confiance-communications-secures-pr-mandate-for-raga-svara-wellness-retreat-9518188" TargetMode="External"/><Relationship Id="rId297" Type="http://schemas.openxmlformats.org/officeDocument/2006/relationships/hyperlink" Target="https://www.medianews4u.com/confiance-communications-wins-pr-mandate-for-raga-svara-wellness-retreat/" TargetMode="External"/><Relationship Id="rId298" Type="http://schemas.openxmlformats.org/officeDocument/2006/relationships/hyperlink" Target="https://www.medianews4u.com/radico-khaitan-appoints-adglobal360-as-integrated-digital-media-partner-to-strengthen-consumer-engagement/" TargetMode="External"/><Relationship Id="rId299" Type="http://schemas.openxmlformats.org/officeDocument/2006/relationships/hyperlink" Target="https://www.medianews4u.com/sephora-india-names-yellow-as-its-official-creative-agency/" TargetMode="External"/><Relationship Id="rId300" Type="http://schemas.openxmlformats.org/officeDocument/2006/relationships/hyperlink" Target="https://www.medianews4u.com/sephora-india-retains-repindia-as-its-social-media-partner/" TargetMode="External"/><Relationship Id="rId301" Type="http://schemas.openxmlformats.org/officeDocument/2006/relationships/hyperlink" Target="https://www.afaqs.com/news/advertising/volvo-appoints-ipgs-initiative-as-global-media-agency-8549521" TargetMode="External"/><Relationship Id="rId302" Type="http://schemas.openxmlformats.org/officeDocument/2006/relationships/hyperlink" Target="https://www.afaqs.com/news/media/creative-agency-blue-vector-wins-the-social-media-mandate-for-volvo-cars-india" TargetMode="External"/><Relationship Id="rId303" Type="http://schemas.openxmlformats.org/officeDocument/2006/relationships/hyperlink" Target="https://campaignbriefasia.com/2025/09/05/the-work-2025-hot-list-2-ddb-mudra-group-india/" TargetMode="External"/><Relationship Id="rId304" Type="http://schemas.openxmlformats.org/officeDocument/2006/relationships/hyperlink" Target="https://www.medianews4u.com/leo-burnett-india-to-design-brand-architecture-for-birla-opus/" TargetMode="External"/><Relationship Id="rId305" Type="http://schemas.openxmlformats.org/officeDocument/2006/relationships/hyperlink" Target="https://www.medianews4u.com/birla-opus-paints-appoints-burson-for-reputation-management-and-brand-communications-in-india/" TargetMode="External"/><Relationship Id="rId306" Type="http://schemas.openxmlformats.org/officeDocument/2006/relationships/hyperlink" Target="https://www.storyboard18.com/brand-makers/nothing-ceo-india-needs-engineering-not-just-manufacturing-ws-l-111110.htm" TargetMode="External"/><Relationship Id="rId307" Type="http://schemas.openxmlformats.org/officeDocument/2006/relationships/hyperlink" Target="https://www.afaqs.com/people-spotting/dailyobjects-appoints-zeenah-vilcassim-as-global-chief-marketing-officer-12570725" TargetMode="External"/><Relationship Id="rId308" Type="http://schemas.openxmlformats.org/officeDocument/2006/relationships/hyperlink" Target="https://www.afaqs.com/people-spotting/faber-castell-india-appoints-sunaina-haldar-as-director-marketing-11223305" TargetMode="External"/><Relationship Id="rId309" Type="http://schemas.openxmlformats.org/officeDocument/2006/relationships/hyperlink" Target="https://www.afaqs.com/people-spotting/ferrero-elevates-maria-luciani-to-head-of-marketing-11124915" TargetMode="External"/><Relationship Id="rId310" Type="http://schemas.openxmlformats.org/officeDocument/2006/relationships/hyperlink" Target="https://campaignbriefasia.com/2025/11/03/ddb-tribal-and-mars-wrigley-india-launch-take-pleasure-campaign-for-all-new-galaxy/" TargetMode="External"/><Relationship Id="rId311" Type="http://schemas.openxmlformats.org/officeDocument/2006/relationships/hyperlink" Target="https://www.storyboard18.com/brand-marketing/exclusive-vinfast-backed-gsm-calls-creative-media-pitch-ahead-of-india-ride-hailing-launch-87951.htm" TargetMode="External"/><Relationship Id="rId312" Type="http://schemas.openxmlformats.org/officeDocument/2006/relationships/hyperlink" Target="https://campaignbriefasia.com/2022/02/09/havells-urges-their-customers-not-to-make-assumptions-based-on-peoples-appearance-via-new-82-5-communications-india-campaign/" TargetMode="External"/><Relationship Id="rId313" Type="http://schemas.openxmlformats.org/officeDocument/2006/relationships/hyperlink" Target="https://www.socialsamosa.com/samosa-snippets/as-mullen-vanishes-tbwalintas-lives-on-10867606" TargetMode="External"/><Relationship Id="rId314" Type="http://schemas.openxmlformats.org/officeDocument/2006/relationships/hyperlink" Target="https://www.afaqs.com/people-spotting/heads-up-for-tails-appoints-shrutie-kher-as-head-of-marketing-11876783" TargetMode="External"/><Relationship Id="rId315" Type="http://schemas.openxmlformats.org/officeDocument/2006/relationships/hyperlink" Target="https://campaignbriefasia.com/2025/09/05/the-work-2025-hot-list-2-ddb-mudra-group-india/" TargetMode="External"/><Relationship Id="rId316" Type="http://schemas.openxmlformats.org/officeDocument/2006/relationships/hyperlink" Target="https://campaignbriefasia.com/2024/08/05/the-work-2024-hot-list-3-ddb-mudra-group-india/" TargetMode="External"/><Relationship Id="rId317" Type="http://schemas.openxmlformats.org/officeDocument/2006/relationships/hyperlink" Target="https://campaignbriefasia.com/2023/08/01/ddb-tribal-india-demonstrates-the-power-of-aroma-via-latest-adani-wilmar-campaign/" TargetMode="External"/><Relationship Id="rId318" Type="http://schemas.openxmlformats.org/officeDocument/2006/relationships/hyperlink" Target="https://campaignbriefasia.com/2025/06/16/meta-ai-launches-in-india-with-campaign-by-ddb-mudra-celebrating-everyday-creativity/" TargetMode="External"/><Relationship Id="rId319" Type="http://schemas.openxmlformats.org/officeDocument/2006/relationships/hyperlink" Target="https://www.afaqs.com/news/advertising/one-hand-clap-the-agency-that-got-ms-dhoni-to-re-enact-ranbir-kapoors-animal-8970115" TargetMode="External"/><Relationship Id="rId320" Type="http://schemas.openxmlformats.org/officeDocument/2006/relationships/hyperlink" Target="https://www.storyboard18.com/advertising/omnicom-media-bags-netflix-indias-mandate-signalling-strategic-reset-in-ott-marketing-97341.htm" TargetMode="External"/><Relationship Id="rId321" Type="http://schemas.openxmlformats.org/officeDocument/2006/relationships/hyperlink" Target="https://www.afaqs.com/people-spotting/ranjeev-vij-moves-on-from-tbwaindia-9009481" TargetMode="External"/><Relationship Id="rId322" Type="http://schemas.openxmlformats.org/officeDocument/2006/relationships/hyperlink" Target="https://www.socialsamosa.com/samosa-snippets/end-of-ddb-means-legacy-built-with-mudra-10874481" TargetMode="External"/><Relationship Id="rId323" Type="http://schemas.openxmlformats.org/officeDocument/2006/relationships/hyperlink" Target="https://www.medianews4u.com/fcb-interface-secures-philips-home-appliances-creative-mandate/" TargetMode="External"/><Relationship Id="rId324" Type="http://schemas.openxmlformats.org/officeDocument/2006/relationships/hyperlink" Target="https://www.storyboard18.com/agency-news/philips-home-appliances-invites-creative-agencies-for-new-brand-mandates-107318.htm" TargetMode="External"/><Relationship Id="rId325" Type="http://schemas.openxmlformats.org/officeDocument/2006/relationships/hyperlink" Target="https://campaignbriefasia.com/2026/05/29/vml-india-and-saint-gobain-india-challenge-perceptions-of-fragile-glass-in-new-film/" TargetMode="External"/><Relationship Id="rId326" Type="http://schemas.openxmlformats.org/officeDocument/2006/relationships/hyperlink" Target="https://www.storyboard18.com/agency-news/exclusive-shaadi-coms-media-planning-mandate-up-for-review-96177.htm" TargetMode="External"/><Relationship Id="rId327" Type="http://schemas.openxmlformats.org/officeDocument/2006/relationships/hyperlink" Target="https://www.afaqs.com/tags/moonshot" TargetMode="External"/><Relationship Id="rId328" Type="http://schemas.openxmlformats.org/officeDocument/2006/relationships/hyperlink" Target="https://campaignbriefasia.com/2025/09/05/the-work-2025-hot-list-2-ddb-mudra-group-india/" TargetMode="External"/><Relationship Id="rId329" Type="http://schemas.openxmlformats.org/officeDocument/2006/relationships/hyperlink" Target="https://www.manifest-media.in/advertising/140226/effie-awards-2025-leo-wins-agency-of-the-year-nestle-is-client-of.html" TargetMode="External"/><Relationship Id="rId330" Type="http://schemas.openxmlformats.org/officeDocument/2006/relationships/hyperlink" Target="https://www.medianews4u.com/vivo-launches-dreamchasers-campaign-with-suhana-khan-to-empower-indias-gen-z/" TargetMode="External"/><Relationship Id="rId331" Type="http://schemas.openxmlformats.org/officeDocument/2006/relationships/hyperlink" Target="https://www.manifest-media.in/marketing/280926/karun-arora-ends-five-year-stint-at-vivo.html" TargetMode="External"/><Relationship Id="rId332" Type="http://schemas.openxmlformats.org/officeDocument/2006/relationships/hyperlink" Target="https://campaignbriefasia.com/2025/06/09/cannes-lions-2025-contenders-bbdo-india/" TargetMode="External"/><Relationship Id="rId333" Type="http://schemas.openxmlformats.org/officeDocument/2006/relationships/hyperlink" Target="https://www.afaqs.com/news/newbizwins/techmagnate-bags-seo-mandate-for-axis-max-life-insurance-8706353" TargetMode="External"/><Relationship Id="rId334" Type="http://schemas.openxmlformats.org/officeDocument/2006/relationships/hyperlink" Target="https://www.campaignindia.in/article/axis-max-life-launches-retirement-campaign-with-rohit-sharma/4j3ybrfqnf3vzy15bx4mj0t55d" TargetMode="External"/><Relationship Id="rId335" Type="http://schemas.openxmlformats.org/officeDocument/2006/relationships/hyperlink" Target="https://www.goodadsmatter.com/post/moonshot" TargetMode="External"/><Relationship Id="rId336" Type="http://schemas.openxmlformats.org/officeDocument/2006/relationships/hyperlink" Target="https://www.socialsamosa.com/campaign-spot/cred-biometric-upi-payments-absurd-ad-campaign-12146112" TargetMode="External"/><Relationship Id="rId337" Type="http://schemas.openxmlformats.org/officeDocument/2006/relationships/hyperlink" Target="https://www.tbwaindia.com/" TargetMode="External"/><Relationship Id="rId338" Type="http://schemas.openxmlformats.org/officeDocument/2006/relationships/hyperlink" Target="https://www.afaqs.com/news/advertising/publicis-groupes-digitas-india-wins-digital-creative-mandate-for-deoleo-india" TargetMode="External"/><Relationship Id="rId339" Type="http://schemas.openxmlformats.org/officeDocument/2006/relationships/hyperlink" Target="https://www.afaqs.com/news/advertising/idfc-first-banks-campaign-with-sumeet-vyas-questions-banking-norms-12041058" TargetMode="External"/><Relationship Id="rId340" Type="http://schemas.openxmlformats.org/officeDocument/2006/relationships/hyperlink" Target="https://www.afaqs.com/people-spotting/deepesh-chhabra-joins-indusind-bank-as-head-of-marketing-and-partnerships-11786241" TargetMode="External"/><Relationship Id="rId341" Type="http://schemas.openxmlformats.org/officeDocument/2006/relationships/hyperlink" Target="https://www.afaqs.com/tags/leo-burnett-india" TargetMode="External"/><Relationship Id="rId342" Type="http://schemas.openxmlformats.org/officeDocument/2006/relationships/hyperlink" Target="https://www.tbwaindia.com/" TargetMode="External"/><Relationship Id="rId343" Type="http://schemas.openxmlformats.org/officeDocument/2006/relationships/hyperlink" Target="https://www.medianews4u.com/magnum-pistachio-launches-with-kareena-kapoor-khan-in-a-decadent-new-campaign/" TargetMode="External"/><Relationship Id="rId344" Type="http://schemas.openxmlformats.org/officeDocument/2006/relationships/hyperlink" Target="https://www.tbwaindia.com/" TargetMode="External"/><Relationship Id="rId345" Type="http://schemas.openxmlformats.org/officeDocument/2006/relationships/hyperlink" Target="https://www.medianews4u.com/mirae-asset-sharekhan-names-burson-as-communications-partner/" TargetMode="External"/><Relationship Id="rId346" Type="http://schemas.openxmlformats.org/officeDocument/2006/relationships/hyperlink" Target="https://www.storyboard18.com/agency-news/pnb-metlife-consolidates-creative-mandate-with-cheil-x-india-81433.htm" TargetMode="External"/><Relationship Id="rId347" Type="http://schemas.openxmlformats.org/officeDocument/2006/relationships/hyperlink" Target="https://www.medianews4u.com/lintas-live-bags-pr-partner-for-impresarios-social/" TargetMode="External"/><Relationship Id="rId348" Type="http://schemas.openxmlformats.org/officeDocument/2006/relationships/hyperlink" Target="https://www.afaqs.com/news/advertising/fcb-group-india-onboards-14-new-clients-across-agencies-8649932" TargetMode="External"/><Relationship Id="rId349" Type="http://schemas.openxmlformats.org/officeDocument/2006/relationships/hyperlink" Target="https://www.afaqs.com/news/advertising/interactive-avenues-awarded-e-commerce-mandate-for-twinings" TargetMode="External"/><Relationship Id="rId350" Type="http://schemas.openxmlformats.org/officeDocument/2006/relationships/hyperlink" Target="https://campaignbriefasia.com/2026/06/04/visa-partners-with-shah-rukh-khan-for-infinitely-more-campaign-via-leo-india/" TargetMode="External"/><Relationship Id="rId351" Type="http://schemas.openxmlformats.org/officeDocument/2006/relationships/hyperlink" Target="https://www.medianews4u.com/yes-banks-milkar-jitayenge-campaign-looks-to-support-olympic-athletes-through-a-film-interactive-microsite/" TargetMode="External"/><Relationship Id="rId352" Type="http://schemas.openxmlformats.org/officeDocument/2006/relationships/hyperlink" Target="https://www.afaqs.com/news/advertising/yes-bank-rolls-out-score-kya-hua-campaign-to-drive-credit-score-awareness-10813534" TargetMode="External"/><Relationship Id="rId353" Type="http://schemas.openxmlformats.org/officeDocument/2006/relationships/hyperlink" Target="https://crosshairscommunication.com/case-studies/" TargetMode="External"/><Relationship Id="rId354" Type="http://schemas.openxmlformats.org/officeDocument/2006/relationships/hyperlink" Target="https://www.storyboard18.com/agency-news/ather-energy-onboards-tilt-brand-solutions-as-their-brand-and-communications-agency-33891.htm" TargetMode="External"/><Relationship Id="rId355" Type="http://schemas.openxmlformats.org/officeDocument/2006/relationships/hyperlink" Target="https://www.storyboard18.com/advertising/biz-breaks-major-account-moves-and-pitches-of-2024-51970.htm" TargetMode="External"/><Relationship Id="rId356" Type="http://schemas.openxmlformats.org/officeDocument/2006/relationships/hyperlink" Target="https://www.medianews4u.com/cult-fit-ropes-in-ranveer-singh-reimagines-fitness-advertising/" TargetMode="External"/><Relationship Id="rId357" Type="http://schemas.openxmlformats.org/officeDocument/2006/relationships/hyperlink" Target="https://www.afaqs.com/news/newbizwins/ardent-alcobev-partners-with-roll-dot-agency-for-dram-bell-whiskys-india-debut-8729582" TargetMode="External"/><Relationship Id="rId358" Type="http://schemas.openxmlformats.org/officeDocument/2006/relationships/hyperlink" Target="https://www.medianews4u.com/diageo-india-usl-to-acquire-nao-spirits-maker-of-greater-than-and-hapusa-craft-gins/" TargetMode="External"/><Relationship Id="rId359" Type="http://schemas.openxmlformats.org/officeDocument/2006/relationships/hyperlink" Target="https://www.afaqs.com/people-spotting/hero-motocorp-appoints-anuj-dua-as-chief-business-officer-premium-segment-12227118" TargetMode="External"/><Relationship Id="rId360" Type="http://schemas.openxmlformats.org/officeDocument/2006/relationships/hyperlink" Target="https://www.medianews4u.com/82-5-communications-bags-the-launch-campaign-mandate-for-indian-craft-brewery/" TargetMode="External"/><Relationship Id="rId361" Type="http://schemas.openxmlformats.org/officeDocument/2006/relationships/hyperlink" Target="https://www.medianews4u.com/nykaa-names-sukhleen-aneja-as-svp-and-business-head-for-kay-beauty/" TargetMode="External"/><Relationship Id="rId362" Type="http://schemas.openxmlformats.org/officeDocument/2006/relationships/hyperlink" Target="https://www.afaqs.com/news/advertising/ceo-dheeraj-sinha-on-leading-mccann-in-the-post-merger-era-12015227" TargetMode="External"/><Relationship Id="rId363" Type="http://schemas.openxmlformats.org/officeDocument/2006/relationships/hyperlink" Target="https://www.afaqs.com/news/advertising/hakuhodo-india-named-strategic-creative-partner-of-radico-khaitan-for-a-host-of-premium-products" TargetMode="External"/><Relationship Id="rId364" Type="http://schemas.openxmlformats.org/officeDocument/2006/relationships/hyperlink" Target="https://www.medianews4u.com/experience-commerce-renews-digital-mandate-with-mrf-tyres-for-12th-consecutive-year/" TargetMode="External"/><Relationship Id="rId365" Type="http://schemas.openxmlformats.org/officeDocument/2006/relationships/hyperlink" Target="https://www.medianews4u.com/nike-takes-to-mumbai-streets-with-born-to-beat-the-odds-campaign-celebrating-self-belief-among-indian-athletes/" TargetMode="External"/><Relationship Id="rId366" Type="http://schemas.openxmlformats.org/officeDocument/2006/relationships/hyperlink" Target="https://www.medianews4u.com/the-minimalist-bags-creative-and-social-media-mandate-for-schwarzkopf-india/" TargetMode="External"/><Relationship Id="rId367" Type="http://schemas.openxmlformats.org/officeDocument/2006/relationships/hyperlink" Target="https://www.indianweb2.com/2026/07/accenture-in-advanced-talks-to-acquire.html" TargetMode="External"/><Relationship Id="rId368" Type="http://schemas.openxmlformats.org/officeDocument/2006/relationships/hyperlink" Target="https://www.afaqs.com/news/advertising/sebamed-draws-a-line-between-hair-fall-and-hair-loss-in-new-campaign-12162719" TargetMode="External"/><Relationship Id="rId369" Type="http://schemas.openxmlformats.org/officeDocument/2006/relationships/hyperlink" Target="https://www.medianews4u.com/sula-vineyards-appoints-chaitanya-rathi-as-non-executive-director/" TargetMode="External"/><Relationship Id="rId370" Type="http://schemas.openxmlformats.org/officeDocument/2006/relationships/hyperlink" Target="https://www.socialsamosa.com/industry-updates/harmeet-singh-the-body-shop-milestone-celebration-11879802" TargetMode="External"/><Relationship Id="rId371" Type="http://schemas.openxmlformats.org/officeDocument/2006/relationships/hyperlink" Target="https://www.medianews4u.com/toaster-insea-launches-full-funnel-digital-campaign-for-tira-beauty-to-engage-multi-generational-audiences/" TargetMode="External"/><Relationship Id="rId372" Type="http://schemas.openxmlformats.org/officeDocument/2006/relationships/hyperlink" Target="https://www.bcwebwise.com/" TargetMode="External"/><Relationship Id="rId373" Type="http://schemas.openxmlformats.org/officeDocument/2006/relationships/hyperlink" Target="https://campaignbriefasia.com/2026/09/16/the-work-2026-asia-hot-list-7-tbwalintas-india/" TargetMode="External"/><Relationship Id="rId374" Type="http://schemas.openxmlformats.org/officeDocument/2006/relationships/hyperlink" Target="https://www.afaqs.com/news/advertising/tgthr-launches-an-integrated-campaign-for-ultraviolettes-f77-mach-2-7235171" TargetMode="External"/><Relationship Id="rId375" Type="http://schemas.openxmlformats.org/officeDocument/2006/relationships/hyperlink" Target="https://www.afaqs.com/news/newbizwins/dentsu-to-handle-air-indias-media-mandate-12068834" TargetMode="External"/><Relationship Id="rId376" Type="http://schemas.openxmlformats.org/officeDocument/2006/relationships/hyperlink" Target="https://www.storyboard18.com/brand-marketing/exclusive-dentsu-poised-to-secure-air-indias-media-business-102161.htm" TargetMode="External"/><Relationship Id="rId377" Type="http://schemas.openxmlformats.org/officeDocument/2006/relationships/hyperlink" Target="https://www.socialsamosa.com/industry-updates/22feet-digital-aor-ajio-11834732" TargetMode="External"/><Relationship Id="rId378" Type="http://schemas.openxmlformats.org/officeDocument/2006/relationships/hyperlink" Target="https://www.storyboard18.com/brand-marketing/exclusive-ajio-appoints-22feet-as-its-digital-agency-of-record-98103.htm" TargetMode="External"/><Relationship Id="rId379" Type="http://schemas.openxmlformats.org/officeDocument/2006/relationships/hyperlink" Target="https://www.medianews4u.com/allen-solly-elevates-mens-fashion-with-bottomwear-focused-legs-now-turn-heads-campaign/" TargetMode="External"/><Relationship Id="rId380" Type="http://schemas.openxmlformats.org/officeDocument/2006/relationships/hyperlink" Target="https://www.afaqs.com/news/newbizwins/hashtag-orange-wins-digital-mandate-for-aparna-venster-and-okotech-9632214" TargetMode="External"/><Relationship Id="rId381" Type="http://schemas.openxmlformats.org/officeDocument/2006/relationships/hyperlink" Target="https://www.medianews4u.com/arvind-limited-appoints-lk-saatchi-saatchi-as-marketing-strategic-partner/" TargetMode="External"/><Relationship Id="rId382" Type="http://schemas.openxmlformats.org/officeDocument/2006/relationships/hyperlink" Target="https://www.afaqs.com/corporate-communications-and-pr/arvind-appoints-swagat-lakku-as-head-of-corporate-communications-12588593" TargetMode="External"/><Relationship Id="rId383" Type="http://schemas.openxmlformats.org/officeDocument/2006/relationships/hyperlink" Target="https://www.afaqs.com/news/newbizwins/arena-media-india-wins-integrated-media-mandate-for-ashiana-housing-12533294" TargetMode="External"/><Relationship Id="rId384" Type="http://schemas.openxmlformats.org/officeDocument/2006/relationships/hyperlink" Target="https://www.medianews4u.com/bhima-jewels-diamond-range-encourages-women-to-indulge-in-self-love-with-sobhita-dhulipala-as-its-face/" TargetMode="External"/><Relationship Id="rId385" Type="http://schemas.openxmlformats.org/officeDocument/2006/relationships/hyperlink" Target="https://www.medianews4u.com/dentsu-creative-webchutney-crafts-a-surreal-vrindavan-for-bhimas-raasleela-jewellery-film/" TargetMode="External"/><Relationship Id="rId386" Type="http://schemas.openxmlformats.org/officeDocument/2006/relationships/hyperlink" Target="https://www.afaqs.com/news/newbizwins/dentsu-creative-isobar-bags-integrated-creative-mandate-for-blackberrys-12249821" TargetMode="External"/><Relationship Id="rId387" Type="http://schemas.openxmlformats.org/officeDocument/2006/relationships/hyperlink" Target="https://www.afaqs.com/news/newbizwins/greenhonchos-wins-digital-mandate-for-blackberrys-9476792" TargetMode="External"/><Relationship Id="rId388" Type="http://schemas.openxmlformats.org/officeDocument/2006/relationships/hyperlink" Target="https://www.afaqs.com/news/mktg/broadway-launches-pune-store-with-culture-led-campaign-by-socheers-11775191" TargetMode="External"/><Relationship Id="rId389" Type="http://schemas.openxmlformats.org/officeDocument/2006/relationships/hyperlink" Target="https://www.storyboard18.com/agency-news/mccann-worldgroup-leads-indian-wins-at-dad-awards-2025-67113.htm" TargetMode="External"/><Relationship Id="rId390" Type="http://schemas.openxmlformats.org/officeDocument/2006/relationships/hyperlink" Target="https://www.passionateinmarketing.com/caratlane-launches-the-nudge-chapter-2-of-its-engagement-campaign/" TargetMode="External"/><Relationship Id="rId391" Type="http://schemas.openxmlformats.org/officeDocument/2006/relationships/hyperlink" Target="https://www.afaqs.com/news/advertising/bbh-india-crafts-caratlanes-pujo-film-maayer-aashirbaad-a-romantic-ode-to-bengal-10059286" TargetMode="External"/><Relationship Id="rId392" Type="http://schemas.openxmlformats.org/officeDocument/2006/relationships/hyperlink" Target="https://socheers.in/work" TargetMode="External"/><Relationship Id="rId393" Type="http://schemas.openxmlformats.org/officeDocument/2006/relationships/hyperlink" Target="https://www.afaqs.com/news/newbizwins/adlift-wins-ai-search-visibility-mandate-from-casagrand-for-tesseract-12255953" TargetMode="External"/><Relationship Id="rId394" Type="http://schemas.openxmlformats.org/officeDocument/2006/relationships/hyperlink" Target="https://www.medianews4u.com/wieden-kennedy-india-wins-casio-g-shocks-creative-mandate/" TargetMode="External"/><Relationship Id="rId395" Type="http://schemas.openxmlformats.org/officeDocument/2006/relationships/hyperlink" Target="https://www.afaqs.com/news/newbizwins/three-fourth-solutions-wins-marketing-mandate-for-chandrani-pearls-12204750" TargetMode="External"/><Relationship Id="rId396" Type="http://schemas.openxmlformats.org/officeDocument/2006/relationships/hyperlink" Target="https://lyxelandflamingo.com/case-studies/seo/converse-india-seo-organic-growth-case-study/" TargetMode="External"/><Relationship Id="rId397" Type="http://schemas.openxmlformats.org/officeDocument/2006/relationships/hyperlink" Target="https://www.afaqs.com/news/advertising/courtyard-by-marriott-gurugram-downtown-awards-its-creative-socialmedia-marketing-mandate-to-brand-catapult" TargetMode="External"/><Relationship Id="rId398" Type="http://schemas.openxmlformats.org/officeDocument/2006/relationships/hyperlink" Target="https://www.medianews4u.com/dosti-1-mumbai-rides-anil-kapoors-charisma-and-comedy-chops/" TargetMode="External"/><Relationship Id="rId399" Type="http://schemas.openxmlformats.org/officeDocument/2006/relationships/hyperlink" Target="https://www.afaqs.com/news/advertising/makani-creatives-wins-integrated-creative-mandate-for-florsheim-shoes-7451769" TargetMode="External"/><Relationship Id="rId400" Type="http://schemas.openxmlformats.org/officeDocument/2006/relationships/hyperlink" Target="https://www.afaqs.com/news/newbizwins/sw-network-bags-garden-varelis-performance-marketing-mandate-12425632" TargetMode="External"/><Relationship Id="rId401" Type="http://schemas.openxmlformats.org/officeDocument/2006/relationships/hyperlink" Target="https://www.afaqs.com/news/newbizwins/experience-commerce-wins-social-media-mandate-for-iconiqa-hotels-resorts-11438545" TargetMode="External"/><Relationship Id="rId402" Type="http://schemas.openxmlformats.org/officeDocument/2006/relationships/hyperlink" Target="https://www.medianews4u.com/experience-commerce-bags-social-media-mandate-for-iconiqa-hotels-resorts/" TargetMode="External"/><Relationship Id="rId403" Type="http://schemas.openxmlformats.org/officeDocument/2006/relationships/hyperlink" Target="https://www.afaqs.com/news/advertising/irus-eyewear-and-kartik-aaryan-urge-viewers-to-look-again-to-challenge-misconceptions-about-gen-z" TargetMode="External"/><Relationship Id="rId404" Type="http://schemas.openxmlformats.org/officeDocument/2006/relationships/hyperlink" Target="https://www.socialsamosa.com/marketing-shorts/joyalukkas-marketing-strategy-for-indias-costliest-wedding-season-yet-10901443" TargetMode="External"/><Relationship Id="rId405" Type="http://schemas.openxmlformats.org/officeDocument/2006/relationships/hyperlink" Target="https://www.medianews4u.com/india-at-cannes-lions-2026-17-shortlists-and-counting-as-ogilvy-vml-lead-the-charge/" TargetMode="External"/><Relationship Id="rId406" Type="http://schemas.openxmlformats.org/officeDocument/2006/relationships/hyperlink" Target="https://www.afaqs.com/news/advertising/the-think-tank-secures-creative-mandate-for-kanakia-group" TargetMode="External"/><Relationship Id="rId407" Type="http://schemas.openxmlformats.org/officeDocument/2006/relationships/hyperlink" Target="https://www.medianews4u.com/contract-advertisings-new-film-for-lt-realty-puts-the-spotlight-on-trust-and-relationships/" TargetMode="External"/><Relationship Id="rId408" Type="http://schemas.openxmlformats.org/officeDocument/2006/relationships/hyperlink" Target="https://www.medianews4u.com/ace-turtle-appoints-leo-burnett-orchard-as-creative-partners-for-lee/" TargetMode="External"/><Relationship Id="rId409" Type="http://schemas.openxmlformats.org/officeDocument/2006/relationships/hyperlink" Target="https://www.afaqs.com/news/newbizwins/louis-stitch-ropes-in-image-stereo-for-pr-communications-mandate-9602128" TargetMode="External"/><Relationship Id="rId410" Type="http://schemas.openxmlformats.org/officeDocument/2006/relationships/hyperlink" Target="https://www.medianews4u.com/curry-nation-wins-integrated-digital-and-growth-mandates-across-jewellery-technology-and-kitchenware/" TargetMode="External"/><Relationship Id="rId411" Type="http://schemas.openxmlformats.org/officeDocument/2006/relationships/hyperlink" Target="https://www.medianews4u.com/manyavar-mohey-onboards-rashmika-mandanna-vijay-deverakonda-as-its-brand-ambassadors-for-its-new-campaign-made-for-each-other/" TargetMode="External"/><Relationship Id="rId412" Type="http://schemas.openxmlformats.org/officeDocument/2006/relationships/hyperlink" Target="https://www.afaqs.com/tags/moonshot" TargetMode="External"/><Relationship Id="rId413" Type="http://schemas.openxmlformats.org/officeDocument/2006/relationships/hyperlink" Target="https://www.hashtagorange.in/case-studies" TargetMode="External"/><Relationship Id="rId414" Type="http://schemas.openxmlformats.org/officeDocument/2006/relationships/hyperlink" Target="https://www.medianews4u.com/curry-nation-wins-integrated-digital-and-growth-mandates-across-jewellery-technology-and-kitchenware/" TargetMode="External"/><Relationship Id="rId415" Type="http://schemas.openxmlformats.org/officeDocument/2006/relationships/hyperlink" Target="https://www.hashtagorange.in/case-studies" TargetMode="External"/><Relationship Id="rId416" Type="http://schemas.openxmlformats.org/officeDocument/2006/relationships/hyperlink" Target="https://www.medianews4u.com/glad-u-came-bagged-the-pr-mandate-of-park-avenue-for-lakme-fashion-week-x-fdci/" TargetMode="External"/><Relationship Id="rId417" Type="http://schemas.openxmlformats.org/officeDocument/2006/relationships/hyperlink" Target="https://www.medianews4u.com/tonic-worldwide-wins-digital-mandate-for-pcpl/" TargetMode="External"/><Relationship Id="rId418" Type="http://schemas.openxmlformats.org/officeDocument/2006/relationships/hyperlink" Target="https://www.afaqs.com/news/newbizwins/hovers-wins-performance-marketing-mandate-for-pn-gadgil-sons-8984830" TargetMode="External"/><Relationship Id="rId419" Type="http://schemas.openxmlformats.org/officeDocument/2006/relationships/hyperlink" Target="https://www.medianews4u.com/p-n-gadgil-and-sons-welcomes-sonali-bendre-as-brand-ambassador/" TargetMode="External"/><Relationship Id="rId420" Type="http://schemas.openxmlformats.org/officeDocument/2006/relationships/hyperlink" Target="https://www.campaignindia.in/article/rustomjee-and-ogilvy-redefine-family-through-new-campaign/421rnxh59t4z2v5yzjh762yr5a" TargetMode="External"/><Relationship Id="rId421" Type="http://schemas.openxmlformats.org/officeDocument/2006/relationships/hyperlink" Target="https://www.grapesworldwide.com/case-study/samsonite-autonomic" TargetMode="External"/><Relationship Id="rId422" Type="http://schemas.openxmlformats.org/officeDocument/2006/relationships/hyperlink" Target="https://www.afaqs.com/corporate-communications-and-pr/alphabet-media-wins-the-pr-mandate-for-luxury-fashion-brand-saundh" TargetMode="External"/><Relationship Id="rId423" Type="http://schemas.openxmlformats.org/officeDocument/2006/relationships/hyperlink" Target="https://www.communicateindia.com/" TargetMode="External"/><Relationship Id="rId424" Type="http://schemas.openxmlformats.org/officeDocument/2006/relationships/hyperlink" Target="https://www.schbang.com/work" TargetMode="External"/><Relationship Id="rId425" Type="http://schemas.openxmlformats.org/officeDocument/2006/relationships/hyperlink" Target="https://www.webenza.com/" TargetMode="External"/><Relationship Id="rId426" Type="http://schemas.openxmlformats.org/officeDocument/2006/relationships/hyperlink" Target="https://socheers.in/work" TargetMode="External"/><Relationship Id="rId427" Type="http://schemas.openxmlformats.org/officeDocument/2006/relationships/hyperlink" Target="https://www.afaqs.com/news/newbizwins/swiss-military-appoints-compass-communications-as-strategic-comms-partner-11224671" TargetMode="External"/><Relationship Id="rId428" Type="http://schemas.openxmlformats.org/officeDocument/2006/relationships/hyperlink" Target="https://www.medianews4u.com/taproot-dentsu-and-aditya-birla-group-unshackle-mens-ethnic-wear-from-codes-of-conduct-in-their-latest-campaign/" TargetMode="External"/><Relationship Id="rId429" Type="http://schemas.openxmlformats.org/officeDocument/2006/relationships/hyperlink" Target="https://www.storyboard18.com/agency-news/dentsu-india-wins-tata-groups-integrated-ipl-media-mandate-across-key-brands-99912.htm" TargetMode="External"/><Relationship Id="rId430" Type="http://schemas.openxmlformats.org/officeDocument/2006/relationships/hyperlink" Target="https://www.tonicworldwide.com/" TargetMode="External"/><Relationship Id="rId431" Type="http://schemas.openxmlformats.org/officeDocument/2006/relationships/hyperlink" Target="https://www.afaqs.com/news/newbizwins/the-pant-project-names-confiance-communications-as-pr-partner-12186958" TargetMode="External"/><Relationship Id="rId432" Type="http://schemas.openxmlformats.org/officeDocument/2006/relationships/hyperlink" Target="https://www.brandcatapult.in/" TargetMode="External"/><Relationship Id="rId433" Type="http://schemas.openxmlformats.org/officeDocument/2006/relationships/hyperlink" Target="https://www.socialsamosa.com/industry-updates/titan-partners-qoruz-data-driven-influencer-marketing-8758644" TargetMode="External"/><Relationship Id="rId434" Type="http://schemas.openxmlformats.org/officeDocument/2006/relationships/hyperlink" Target="https://www.tonicworldwide.com/" TargetMode="External"/><Relationship Id="rId435" Type="http://schemas.openxmlformats.org/officeDocument/2006/relationships/hyperlink" Target="https://www.afaqs.com/news/advertising/underneat-turns-wardrobe-drama-into-a-superhero-story-with-underwoman-11082470" TargetMode="External"/><Relationship Id="rId436" Type="http://schemas.openxmlformats.org/officeDocument/2006/relationships/hyperlink" Target="https://www.medianews4u.com/entourage-films-brings-jasprit-bumrahs-off-field-ease-to-life-in-uniqlos-newest-campaign-ad-film/" TargetMode="External"/><Relationship Id="rId437" Type="http://schemas.openxmlformats.org/officeDocument/2006/relationships/hyperlink" Target="https://lyxelandflamingo.com/case-studies/third-party-marketplaces/united-colors-of-benetton-diwali-ecommerce-performance-case-study/" TargetMode="External"/><Relationship Id="rId438" Type="http://schemas.openxmlformats.org/officeDocument/2006/relationships/hyperlink" Target="https://www.medianews4u.com/van-heusens-innerwear-range-onboards-social-panga-as-its-social-media-marketing-partner/" TargetMode="External"/><Relationship Id="rId439" Type="http://schemas.openxmlformats.org/officeDocument/2006/relationships/hyperlink" Target="https://www.afaqs.com/news/newbizwins/liqvd-asia-bags-digital-communications-mandate-for-woodland-11187958" TargetMode="External"/><Relationship Id="rId440" Type="http://schemas.openxmlformats.org/officeDocument/2006/relationships/hyperlink" Target="https://www.afaqs.com/news/newbizwins/curativity-bags-creative-mandate-for-gulf-oil-lubricants-india-11773577" TargetMode="External"/><Relationship Id="rId441" Type="http://schemas.openxmlformats.org/officeDocument/2006/relationships/hyperlink" Target="https://www.afaqs.com/news/advertising/gulf-pride-dhoni-12480108" TargetMode="External"/><Relationship Id="rId442" Type="http://schemas.openxmlformats.org/officeDocument/2006/relationships/hyperlink" Target="https://campaignbriefasia.com/2024/08/05/the-work-2024-hot-list-3-ddb-mudra-group-india/" TargetMode="External"/><Relationship Id="rId443" Type="http://schemas.openxmlformats.org/officeDocument/2006/relationships/hyperlink" Target="https://www.afaqs.com/news/advertising/nissan-turns-ladakhs-night-sky-into-stage-for-magnite-kuro-edition-9673862" TargetMode="External"/><Relationship Id="rId444" Type="http://schemas.openxmlformats.org/officeDocument/2006/relationships/hyperlink" Target="https://www.socialsamosa.com/samosa-snippets/bbdo-tbwa-mccann-bring-omnicom-reshaped-empire-10841609" TargetMode="External"/><Relationship Id="rId445" Type="http://schemas.openxmlformats.org/officeDocument/2006/relationships/hyperlink" Target="https://www.socialsamosa.com/industry-updates/spikes-asia-winners-leo-india-apac-agency-of-year-11208984" TargetMode="External"/><Relationship Id="rId446" Type="http://schemas.openxmlformats.org/officeDocument/2006/relationships/hyperlink" Target="https://www.medianews4u.com/bata-launches-festive-collection-featuring-kartik-aaryan-with-celebrate-every-step-campaign/" TargetMode="External"/><Relationship Id="rId447" Type="http://schemas.openxmlformats.org/officeDocument/2006/relationships/hyperlink" Target="https://www.medianews4u.com/saatchi-saatchi-india-elevates-flites-iconic-tagline-with-sanya-malhotra/" TargetMode="External"/><Relationship Id="rId448" Type="http://schemas.openxmlformats.org/officeDocument/2006/relationships/hyperlink" Target="https://www.ihcltata.com/press-room/ihcl-enters-into-strategic-partnership-for-10-hotels-and-1000-plus-keys-expanding-the-ginger-brand-in-south-india" TargetMode="External"/><Relationship Id="rId449" Type="http://schemas.openxmlformats.org/officeDocument/2006/relationships/hyperlink" Target="https://www.medianews4u.com/team-pumpkin-appointed-pr-agency-souled-store/" TargetMode="External"/><Relationship Id="rId450" Type="http://schemas.openxmlformats.org/officeDocument/2006/relationships/hyperlink" Target="https://www.medianews4u.com/reliance-retails-fashion-brand-yousta-partners-mullen-lintas/" TargetMode="External"/><Relationship Id="rId451" Type="http://schemas.openxmlformats.org/officeDocument/2006/relationships/hyperlink" Target="https://crosshairscommunication.com/case-studies/" TargetMode="External"/><Relationship Id="rId452" Type="http://schemas.openxmlformats.org/officeDocument/2006/relationships/hyperlink" Target="https://www.medianews4u.com/first-sight-wings-digital-mandate-of-luxury-chocolate-brand-smoor/" TargetMode="External"/><Relationship Id="rId453" Type="http://schemas.openxmlformats.org/officeDocument/2006/relationships/hyperlink" Target="https://www.medianews4u.com/social-beat-wins-digital-mandate-for-edtech-company-cialfo/" TargetMode="External"/><Relationship Id="rId454" Type="http://schemas.openxmlformats.org/officeDocument/2006/relationships/hyperlink" Target="https://campaignbriefasia.com/2026/09/18/omnicom-advertising-india-dominates-the-work-2026-with-mccann-taking-out-apac-agency-of-the-year-title-and-tbwalintas-2-in-india/" TargetMode="External"/><Relationship Id="rId455" Type="http://schemas.openxmlformats.org/officeDocument/2006/relationships/hyperlink" Target="https://campaignbriefasia.com/2026/04/17/asian-paints-and-ogilvy-india-celebrate-colour-as-identity-in-new-rangon-ki-warranty-campaign/" TargetMode="External"/><Relationship Id="rId456" Type="http://schemas.openxmlformats.org/officeDocument/2006/relationships/hyperlink" Target="https://www.medianews4u.com/mccann-worldgroup-crafts-visual-symphony-for-asian-paints-royale-glitz-featuring-deepika-padukone/" TargetMode="External"/><Relationship Id="rId457" Type="http://schemas.openxmlformats.org/officeDocument/2006/relationships/hyperlink" Target="https://www.medianews4u.com/berger-paints-and-kareena-kapoor-khan-turn-up-the-shine-in-new-berger-silk-glamor-campaign/" TargetMode="External"/><Relationship Id="rId458" Type="http://schemas.openxmlformats.org/officeDocument/2006/relationships/hyperlink" Target="https://campaignbriefasia.com/2026/02/03/cadbury-dairy-milk-silk-and-ogilvy-india-bring-back-say-it-with-silk-for-valentines-day-2026/" TargetMode="External"/><Relationship Id="rId459" Type="http://schemas.openxmlformats.org/officeDocument/2006/relationships/hyperlink" Target="https://www.medianews4u.com/centrum-onboards-kajal-aggarwal-as-brand-ambassador-for-multivitamin-protein-powders/" TargetMode="External"/><Relationship Id="rId460" Type="http://schemas.openxmlformats.org/officeDocument/2006/relationships/hyperlink" Target="https://www.medianews4u.com/82-5-communications-secures-creative-mandate-for-tata-coffee-grand-cold-coffee-and-himalayan-natural-mineral-water/" TargetMode="External"/><Relationship Id="rId461" Type="http://schemas.openxmlformats.org/officeDocument/2006/relationships/hyperlink" Target="https://www.medianews4u.com/82-5-communications-and-tcpl-bring-the-soul-of-the-himalayas-alive-with-himalayan-day-campaign/" TargetMode="External"/><Relationship Id="rId462" Type="http://schemas.openxmlformats.org/officeDocument/2006/relationships/hyperlink" Target="https://www.medianews4u.com/hindware-italian-collection-launches-5-star-bathrooms-ad-campaign-featuring-rcb-icons/" TargetMode="External"/><Relationship Id="rId463" Type="http://schemas.openxmlformats.org/officeDocument/2006/relationships/hyperlink" Target="https://www.medianews4u.com/ikea-india-unveils-new-brand-position-it-all-starts-at-home-deepens-emotional-connect/" TargetMode="External"/><Relationship Id="rId464" Type="http://schemas.openxmlformats.org/officeDocument/2006/relationships/hyperlink" Target="https://www.medianews4u.com/82-5-communications-announces-kajaria-win/" TargetMode="External"/><Relationship Id="rId465" Type="http://schemas.openxmlformats.org/officeDocument/2006/relationships/hyperlink" Target="https://www.medianews4u.com/manipal-hospitals-urges-people-to-take-care-of-themselves-to-be-there-for-their-loved-ones/" TargetMode="External"/><Relationship Id="rId466" Type="http://schemas.openxmlformats.org/officeDocument/2006/relationships/hyperlink" Target="https://www.medianews4u.com/gaurang-menon-steps-down-from-hashtag-orange-after-building-mumbai-business/" TargetMode="External"/><Relationship Id="rId467" Type="http://schemas.openxmlformats.org/officeDocument/2006/relationships/hyperlink" Target="https://www.afaqs.com/news/newbizwins/hashtag-orange-wins-digital-mandate-for-roca-8988699" TargetMode="External"/><Relationship Id="rId468" Type="http://schemas.openxmlformats.org/officeDocument/2006/relationships/hyperlink" Target="https://www.medianews4u.com/82-5-communications-secures-creative-mandate-for-tata-coffee-grand-cold-coffee-and-himalayan-natural-mineral-water/" TargetMode="External"/><Relationship Id="rId469" Type="http://schemas.openxmlformats.org/officeDocument/2006/relationships/hyperlink" Target="https://www.socialsamosa.com/industry-updates/akshay-gurnani-exits-schbang-harshil-sohil-karia-full-control-8772881" TargetMode="External"/><Relationship Id="rId470" Type="http://schemas.openxmlformats.org/officeDocument/2006/relationships/hyperlink" Target="https://www.medianews4u.com/gozoop-creative-launches-msme-day-campaign-for-tata-tele-business-services/" TargetMode="External"/><Relationship Id="rId471" Type="http://schemas.openxmlformats.org/officeDocument/2006/relationships/hyperlink" Target="https://www.dentsu.com/in/en/our-news/-aditya-birla-capital-appoints-dentsu-creative-india-as-its-lead-brand-communications-agency" TargetMode="External"/><Relationship Id="rId472" Type="http://schemas.openxmlformats.org/officeDocument/2006/relationships/hyperlink" Target="https://www.storyboard18.com/brand-marketing/ipo-bound-groww-allocates-rs-225-crore-for-brand-building-rs-205-crore-on-subsidiaries-81220.htm" TargetMode="External"/><Relationship Id="rId473" Type="http://schemas.openxmlformats.org/officeDocument/2006/relationships/hyperlink" Target="https://www.afaqs.com/news/advertising/icici-prudentials-mothers-day-campaign-urges-smart-investing-9052419" TargetMode="External"/><Relationship Id="rId474" Type="http://schemas.openxmlformats.org/officeDocument/2006/relationships/hyperlink" Target="https://www.afaqs.com/news/newbizwins/keenai-wealth-appoints-22feet-tribal-worldwide-as-creative-partner-9059980" TargetMode="External"/><Relationship Id="rId475" Type="http://schemas.openxmlformats.org/officeDocument/2006/relationships/hyperlink" Target="https://www.socialsamosa.com/industry-updates/team-pumpkin-social-media-mandate-kotak-securities-6950753" TargetMode="External"/><Relationship Id="rId476" Type="http://schemas.openxmlformats.org/officeDocument/2006/relationships/hyperlink" Target="https://www.afaqs.com/news/newbizwins/np-digital-india-wins-content-marketing-mandate-for-kotak-securities-8751172" TargetMode="External"/><Relationship Id="rId477" Type="http://schemas.openxmlformats.org/officeDocument/2006/relationships/hyperlink" Target="https://www.schbang.com/news-centre" TargetMode="External"/><Relationship Id="rId478" Type="http://schemas.openxmlformats.org/officeDocument/2006/relationships/hyperlink" Target="https://www.medianews4u.com/third-wave-coffee-names-akshat-arora-as-marketing-director/" TargetMode="External"/><Relationship Id="rId479" Type="http://schemas.openxmlformats.org/officeDocument/2006/relationships/hyperlink" Target="https://www.storyboard18.com/brand-marketing/zerodha-kills-its-new-age-media-network-zero1-exposing-the-limits-of-the-finfluencer-boom-95898.htm" TargetMode="External"/><Relationship Id="rId480" Type="http://schemas.openxmlformats.org/officeDocument/2006/relationships/hyperlink" Target="https://www.afaqs.com/news/newbizwins/sw-network-bags-creative-mandate-for-anytime-fitness-india-9530353" TargetMode="External"/><Relationship Id="rId481" Type="http://schemas.openxmlformats.org/officeDocument/2006/relationships/hyperlink" Target="https://www.medianews4u.com/sw-network-bags-creative-mandate-for-anytime-fitness-india/" TargetMode="External"/><Relationship Id="rId482" Type="http://schemas.openxmlformats.org/officeDocument/2006/relationships/hyperlink" Target="https://www.afaqs.com/news/advertising/one-hand-clap-the-agency-that-got-ms-dhoni-to-re-enact-ranbir-kapoors-animal-8970115" TargetMode="External"/><Relationship Id="rId483" Type="http://schemas.openxmlformats.org/officeDocument/2006/relationships/hyperlink" Target="https://www.afaqs.com/news/newbizwins/enormous-wins-creative-mandate-for-bombay-shaving-company-11133665" TargetMode="External"/><Relationship Id="rId484" Type="http://schemas.openxmlformats.org/officeDocument/2006/relationships/hyperlink" Target="https://www.medianews4u.com/scribbld-bags-digital-mandate-for-brushers-co/" TargetMode="External"/><Relationship Id="rId485" Type="http://schemas.openxmlformats.org/officeDocument/2006/relationships/hyperlink" Target="https://www.grapesworldwide.com/" TargetMode="External"/><Relationship Id="rId486" Type="http://schemas.openxmlformats.org/officeDocument/2006/relationships/hyperlink" Target="https://www.medianews4u.com/wunderman-thompson-india-wins-cult-sports-creative-biz/" TargetMode="External"/><Relationship Id="rId487" Type="http://schemas.openxmlformats.org/officeDocument/2006/relationships/hyperlink" Target="https://www.socialsamosa.com/2020/02/the-glitch-bags-360-degree-mandate-of-diageo-india/" TargetMode="External"/><Relationship Id="rId488" Type="http://schemas.openxmlformats.org/officeDocument/2006/relationships/hyperlink" Target="https://www.afaqs.com/corporate-communications-and-pr/glad-u-came-wins-pr-mandate-for-eze-perfumes-a-sawai-fragrance-venture" TargetMode="External"/><Relationship Id="rId489" Type="http://schemas.openxmlformats.org/officeDocument/2006/relationships/hyperlink" Target="https://www.medianews4u.com/a-simple-agency-wins-ooh-mandate-for-foxtale-featuring-shah-rukh-khan/" TargetMode="External"/><Relationship Id="rId490" Type="http://schemas.openxmlformats.org/officeDocument/2006/relationships/hyperlink" Target="https://www.afaqs.com/news/newbizwins/a-simple-agency-bags-foxtales-ooh-mandate-featuring-shah-rukh-khan-12394815" TargetMode="External"/><Relationship Id="rId491" Type="http://schemas.openxmlformats.org/officeDocument/2006/relationships/hyperlink" Target="https://www.storyboard18.com/agency-news/dentsu-creative-webchutney-wins-digital-mandate-of-godrej-professional-35235.htm" TargetMode="External"/><Relationship Id="rId492" Type="http://schemas.openxmlformats.org/officeDocument/2006/relationships/hyperlink" Target="https://www.grapesworldwide.com/" TargetMode="External"/><Relationship Id="rId493" Type="http://schemas.openxmlformats.org/officeDocument/2006/relationships/hyperlink" Target="https://www.afaqs.com/news/mktg/harley-davidson-india-names-ahaan-panday-as-brand-ambassador-10884803" TargetMode="External"/><Relationship Id="rId494" Type="http://schemas.openxmlformats.org/officeDocument/2006/relationships/hyperlink" Target="https://www.medianews4u.com/bc-web-wise-wins-digital-and-social-media-mandate-for-procam-internationals-hdor/" TargetMode="External"/><Relationship Id="rId495" Type="http://schemas.openxmlformats.org/officeDocument/2006/relationships/hyperlink" Target="https://www.afaqs.com/news/advertising/creativeland-asia-rolls-out-vida-vaka-voom-anthem-for-hero-vida-11458758" TargetMode="External"/><Relationship Id="rId496" Type="http://schemas.openxmlformats.org/officeDocument/2006/relationships/hyperlink" Target="https://www.storyboard18.com/advertising/jack-daniels-appoints-22feet-as-its-integrated-creative-agency-of-record-for-india-96423.htm" TargetMode="External"/><Relationship Id="rId497" Type="http://schemas.openxmlformats.org/officeDocument/2006/relationships/hyperlink" Target="https://www.afaqs.com/news/newbizwins/jack-daniels-appoints-22feet-as-its-creative-agency-of-record-for-india-11771184" TargetMode="External"/><Relationship Id="rId498" Type="http://schemas.openxmlformats.org/officeDocument/2006/relationships/hyperlink" Target="https://www.campaignindia.in/article/kia-seltos-campaign-builds-badass-identity-through-integrated-storytelling/4x2pkfh8eenqww367gj0cwagxk" TargetMode="External"/><Relationship Id="rId499" Type="http://schemas.openxmlformats.org/officeDocument/2006/relationships/hyperlink" Target="https://lyxelandflamingo.com/case-studies/retention/kimirica-retention-marketing-lifecycle-automation-case-study/" TargetMode="External"/><Relationship Id="rId500" Type="http://schemas.openxmlformats.org/officeDocument/2006/relationships/hyperlink" Target="https://www.medianews4u.com/lakme-launches-i-earned-it-campaign-for-9to5-hya-beach-edit-featuring-aneet-padda/" TargetMode="External"/><Relationship Id="rId501" Type="http://schemas.openxmlformats.org/officeDocument/2006/relationships/hyperlink" Target="https://www.afaqs.com/news/newbizwins/laneige-appoints-filter-coffee-co-as-its-digital-communication-partner-in-india-8941193" TargetMode="External"/><Relationship Id="rId502" Type="http://schemas.openxmlformats.org/officeDocument/2006/relationships/hyperlink" Target="https://www.medianews4u.com/grapes-worldwide-bags-digital-mandate-for-livwell/" TargetMode="External"/><Relationship Id="rId503" Type="http://schemas.openxmlformats.org/officeDocument/2006/relationships/hyperlink" Target="https://whatnews.in/digitas-india-bags-digital-mandate-for-matter/" TargetMode="External"/><Relationship Id="rId504" Type="http://schemas.openxmlformats.org/officeDocument/2006/relationships/hyperlink" Target="https://www.afaqs.com/news/newbizwins/modi-illva-appoints-the-reppro-as-strategic-communications-partner-11857700" TargetMode="External"/><Relationship Id="rId505" Type="http://schemas.openxmlformats.org/officeDocument/2006/relationships/hyperlink" Target="https://crosshairscommunication.com/clients/" TargetMode="External"/><Relationship Id="rId506" Type="http://schemas.openxmlformats.org/officeDocument/2006/relationships/hyperlink" Target="https://sportzpower.com/kinnect-wins-mumbai-indians-creative-mandate/" TargetMode="External"/><Relationship Id="rId507" Type="http://schemas.openxmlformats.org/officeDocument/2006/relationships/hyperlink" Target="https://www.afaqs.com/news/advertising/nua-launches-new-campaign-on-pad-irritation-with-enormous-11822719" TargetMode="External"/><Relationship Id="rId508" Type="http://schemas.openxmlformats.org/officeDocument/2006/relationships/hyperlink" Target="https://lyxelandflamingo.com/case-studies/retention/o3/" TargetMode="External"/><Relationship Id="rId509" Type="http://schemas.openxmlformats.org/officeDocument/2006/relationships/hyperlink" Target="https://www.medianews4u.com/oaksmith-brand-partners-with-vijay-varma-for-oaksmith-style-studio-to-enhance-indian-mens-style/" TargetMode="External"/><Relationship Id="rId510" Type="http://schemas.openxmlformats.org/officeDocument/2006/relationships/hyperlink" Target="https://www.socialsamosa.com/media-samosa/madison-media-alpha-pilgrim-india-media-aor-6140769" TargetMode="External"/><Relationship Id="rId511" Type="http://schemas.openxmlformats.org/officeDocument/2006/relationships/hyperlink" Target="https://www.medianews4u.com/plum-goodness-retains-team-pumpkin-for-performance-marketing/" TargetMode="External"/><Relationship Id="rId512" Type="http://schemas.openxmlformats.org/officeDocument/2006/relationships/hyperlink" Target="https://www.medianews4u.com/story-digital-wins-the-digital-creative-mandate-for-riya-perfumes/" TargetMode="External"/><Relationship Id="rId513" Type="http://schemas.openxmlformats.org/officeDocument/2006/relationships/hyperlink" Target="https://www.tonicworldwide.com/work/seven-islands-whisky-bombay-brand-launch-case-study" TargetMode="External"/><Relationship Id="rId514" Type="http://schemas.openxmlformats.org/officeDocument/2006/relationships/hyperlink" Target="https://www.tonicworldwide.com/" TargetMode="External"/><Relationship Id="rId515" Type="http://schemas.openxmlformats.org/officeDocument/2006/relationships/hyperlink" Target="https://www.afaqs.com/news/newbizwins/maars-communicates-wins-strategic-communications-mandate-for-studio-blo-12256823" TargetMode="External"/><Relationship Id="rId516" Type="http://schemas.openxmlformats.org/officeDocument/2006/relationships/hyperlink" Target="https://www.medianews4u.com/omd-india-bags-media-mandate-for-sugar-cosmetics/" TargetMode="External"/><Relationship Id="rId517" Type="http://schemas.openxmlformats.org/officeDocument/2006/relationships/hyperlink" Target="https://www.medianews4u.com/sugar-cosmetics-digital-campaign-unites-celebrities-of-diverse-backgrounds/" TargetMode="External"/><Relationship Id="rId518" Type="http://schemas.openxmlformats.org/officeDocument/2006/relationships/hyperlink" Target="https://campaignbriefasia.com/2025/06/09/cannes-lions-2025-contenders-bbdo-india/" TargetMode="External"/><Relationship Id="rId519" Type="http://schemas.openxmlformats.org/officeDocument/2006/relationships/hyperlink" Target="https://www.medianews4u.com/scribbld-wins-playnxt-and-terrapy-mandates-expands-consumer-and-lifestyle-brand-portfolio/" TargetMode="External"/><Relationship Id="rId520" Type="http://schemas.openxmlformats.org/officeDocument/2006/relationships/hyperlink" Target="https://www.afaqs.com/news/newbizwins/apostrophe-ventures-wins-tilaknagar-industries-pr-mandate-12228000" TargetMode="External"/><Relationship Id="rId521" Type="http://schemas.openxmlformats.org/officeDocument/2006/relationships/hyperlink" Target="https://www.medianews4u.com/tilaknagar-industries-appoints-apostrophe-ventures-as-corporate-and-brand-pr-partner/" TargetMode="External"/><Relationship Id="rId522" Type="http://schemas.openxmlformats.org/officeDocument/2006/relationships/hyperlink" Target="https://www.afaqs.com/news/advertising/titans-skinn-wants-you-to-smell-like-a-celebration-this-festive-season-10498061" TargetMode="External"/><Relationship Id="rId523" Type="http://schemas.openxmlformats.org/officeDocument/2006/relationships/hyperlink" Target="https://www.hakuhodo-global.com/news/pmg-india-earns-agency-of-the-year-and-21-awards-at-wow-awards-asia-2026-marking-another-milestone-for-the-hakuhodo-international-collective.html" TargetMode="External"/><Relationship Id="rId524" Type="http://schemas.openxmlformats.org/officeDocument/2006/relationships/hyperlink" Target="https://www.afaqs.com/news/advertising/ananya-panday-reads-the-riot-act-to-anurag-kashyap-in-a-tresemme-ad-10974026" TargetMode="External"/><Relationship Id="rId525" Type="http://schemas.openxmlformats.org/officeDocument/2006/relationships/hyperlink" Target="https://www.campaignindia.in/article/bajaj-auto-partners-with-vdo-ai-and-dentsu-india-for-triumph-ctv-campaign/4j6jvghpybpvr2mavhy9kbs1dp" TargetMode="External"/><Relationship Id="rId526" Type="http://schemas.openxmlformats.org/officeDocument/2006/relationships/hyperlink" Target="https://www.campaignindia.in/article/pitch-update-coca-cola-mastercard-vinfast-sleepwell-and-more/42wq85ph1ex6qsf9ngpgb9ahxk" TargetMode="External"/><Relationship Id="rId527" Type="http://schemas.openxmlformats.org/officeDocument/2006/relationships/hyperlink" Target="https://www.dentsu.com/in/en/our-news/vlcc-and-dentsu-creative-indias-new-campaign" TargetMode="External"/><Relationship Id="rId528" Type="http://schemas.openxmlformats.org/officeDocument/2006/relationships/hyperlink" Target="https://www.socialsamosa.com/2019/12/imarti-media-vlcc-social-media-mandate/" TargetMode="External"/><Relationship Id="rId529" Type="http://schemas.openxmlformats.org/officeDocument/2006/relationships/hyperlink" Target="https://www.afaqs.com/news/newbizwins/famous-innovations-to-lead-communications-for-world-pickleball-league-9521850" TargetMode="External"/><Relationship Id="rId530" Type="http://schemas.openxmlformats.org/officeDocument/2006/relationships/hyperlink" Target="https://campaignbriefasia.com/2024/06/26/ddb-mudra-south-creates-new-acko-pola-varuma-campaign-for-acko-in-chennai/" TargetMode="External"/><Relationship Id="rId531" Type="http://schemas.openxmlformats.org/officeDocument/2006/relationships/hyperlink" Target="https://www.afaqs.com/people-spotting/ashish-mishra-parts-ways-with-acko-after-nearly-six-years-as-cmo-11745894" TargetMode="External"/><Relationship Id="rId532" Type="http://schemas.openxmlformats.org/officeDocument/2006/relationships/hyperlink" Target="https://www.afaqs.com/people-spotting/ageas-federal-life-insurance-names-erum-kidwai-as-cmo-11876935" TargetMode="External"/><Relationship Id="rId533" Type="http://schemas.openxmlformats.org/officeDocument/2006/relationships/hyperlink" Target="https://campaignbriefasia.com/2025/10/15/air-india-express-embarks-on-a-new-journey-with-xplore-more-xpress-more/" TargetMode="External"/><Relationship Id="rId534" Type="http://schemas.openxmlformats.org/officeDocument/2006/relationships/hyperlink" Target="https://www.afaqs.com/news/digital/edstead-air-india-express-and-dentsu-se-unveil-voices-of-the-land-12126455" TargetMode="External"/><Relationship Id="rId535" Type="http://schemas.openxmlformats.org/officeDocument/2006/relationships/hyperlink" Target="https://campaignbriefasia.com/2025/07/02/npci-bharat-billpays-new-campaign-by-ddb-mudra-showcases-the-quiet-reliability-of-bharat-connect/" TargetMode="External"/><Relationship Id="rId536" Type="http://schemas.openxmlformats.org/officeDocument/2006/relationships/hyperlink" Target="https://campaignbriefasia.com/2026/09/18/omnicom-advertising-india-dominates-the-work-2026-with-mccann-taking-out-apac-agency-of-the-year-title-and-tbwalintas-2-in-india/" TargetMode="External"/><Relationship Id="rId537" Type="http://schemas.openxmlformats.org/officeDocument/2006/relationships/hyperlink" Target="https://www.afaqs.com/news/advertising/kfc-turns-up-the-heat-with-a-saucy-new-campaign-for-its-dunked-range-10987101" TargetMode="External"/><Relationship Id="rId538" Type="http://schemas.openxmlformats.org/officeDocument/2006/relationships/hyperlink" Target="https://www.afaqs.com/people-spotting/yum-brands-appoints-rishab-mukherjee-as-cmo-for-kfc-south-asia-12141444" TargetMode="External"/><Relationship Id="rId539" Type="http://schemas.openxmlformats.org/officeDocument/2006/relationships/hyperlink" Target="https://campaignbriefasia.com/2025/10/17/mcdonalds-india-turns-social-media-feedback-into-a-feast-in-new-ddb-mudra-campaign/" TargetMode="External"/><Relationship Id="rId540" Type="http://schemas.openxmlformats.org/officeDocument/2006/relationships/hyperlink" Target="https://campaignbriefasia.com/2026/06/05/mcdonalds-india-celebrates-30-years-with-lets-family-at-mcd-campaign-via-mccann-india/" TargetMode="External"/><Relationship Id="rId541" Type="http://schemas.openxmlformats.org/officeDocument/2006/relationships/hyperlink" Target="https://www.afaqs.com/people-spotting/vishal-wadhwa-elevated-to-svp-brand-digital-marketing-at-sbi-card-12548569" TargetMode="External"/><Relationship Id="rId542" Type="http://schemas.openxmlformats.org/officeDocument/2006/relationships/hyperlink" Target="https://www.socialsamosa.com/industry-updates/hashtag-orange-zuno-insurances-communications-mandate-9402773" TargetMode="External"/><Relationship Id="rId543" Type="http://schemas.openxmlformats.org/officeDocument/2006/relationships/hyperlink" Target="https://www.medianews4u.com/zuno-general-insurance-renews-digital-mandate-with-bc-web-wise-for-the-second-consecutive-year/" TargetMode="External"/><Relationship Id="rId544" Type="http://schemas.openxmlformats.org/officeDocument/2006/relationships/hyperlink" Target="https://www.medianews4u.com/fcb-ulka-bags-creative-mandate-for-bajaj-almond-drops-hair-oil-and-bajaj-no-marks/" TargetMode="External"/><Relationship Id="rId545" Type="http://schemas.openxmlformats.org/officeDocument/2006/relationships/hyperlink" Target="https://www.medianews4u.com/bajaj-almond-launches-its-new-integrated-campaign-featuring-parineeti-chopra/" TargetMode="External"/><Relationship Id="rId546" Type="http://schemas.openxmlformats.org/officeDocument/2006/relationships/hyperlink" Target="https://marketech-apac.com/watconsult-bags-creative-social-media-mandate-for-cardekho/" TargetMode="External"/><Relationship Id="rId547" Type="http://schemas.openxmlformats.org/officeDocument/2006/relationships/hyperlink" Target="https://www.medianews4u.com/decathlon-launches-kiprun-in-india-with-more-runs-more-life-campaign/" TargetMode="External"/><Relationship Id="rId548" Type="http://schemas.openxmlformats.org/officeDocument/2006/relationships/hyperlink" Target="https://www.afaqs.com/news/media/havas-creative-india-wins-creative-aor-mandate-for-eastman-auto-power-7594341" TargetMode="External"/><Relationship Id="rId549" Type="http://schemas.openxmlformats.org/officeDocument/2006/relationships/hyperlink" Target="https://www.medianews4u.com/eastman-auto-power-partners-with-burson-to-enhance-brand-presence/" TargetMode="External"/><Relationship Id="rId550" Type="http://schemas.openxmlformats.org/officeDocument/2006/relationships/hyperlink" Target="https://dnanetworks.com/our-work/special-events/" TargetMode="External"/><Relationship Id="rId551" Type="http://schemas.openxmlformats.org/officeDocument/2006/relationships/hyperlink" Target="https://www.medianews4u.com/wunderman-thompson-south-asias-music-video-for-brand-kingfisher-helps-build-positive-community-spirit/" TargetMode="External"/><Relationship Id="rId552" Type="http://schemas.openxmlformats.org/officeDocument/2006/relationships/hyperlink" Target="https://www.medianews4u.com/interactive-avenues-wins-creative-and-media-mandate-for-super-league-kerala/" TargetMode="External"/><Relationship Id="rId553" Type="http://schemas.openxmlformats.org/officeDocument/2006/relationships/hyperlink" Target="https://afaqs.com/topic/fcb-interface" TargetMode="External"/><Relationship Id="rId554" Type="http://schemas.openxmlformats.org/officeDocument/2006/relationships/hyperlink" Target="https://www.medianews4u.com/gaurang-menon-steps-down-from-hashtag-orange-after-building-mumbai-business/" TargetMode="External"/><Relationship Id="rId555" Type="http://schemas.openxmlformats.org/officeDocument/2006/relationships/hyperlink" Target="https://www.socialsamosa.com/industry-updates/swiss-beauty-vidushi-goyal-cmo-6906450" TargetMode="External"/><Relationship Id="rId556" Type="http://schemas.openxmlformats.org/officeDocument/2006/relationships/hyperlink" Target="https://www.socialsamosa.com/marketing-shorts/palmonas-star-power-influencers-awareness-win-consumers-11257986" TargetMode="External"/><Relationship Id="rId557" Type="http://schemas.openxmlformats.org/officeDocument/2006/relationships/hyperlink" Target="https://www.medianews4u.com/aqua-plumbings-joins-hands-with-ogilvy-to-redefine-bathware-branding-in-india/" TargetMode="External"/><Relationship Id="rId558" Type="http://schemas.openxmlformats.org/officeDocument/2006/relationships/hyperlink" Target="https://campaignbriefasia.com/2025/11/11/ogilvy-india-brings-italian-flair-to-asian-paints-emporios-latest-campaign-starring-dino-morea/" TargetMode="External"/><Relationship Id="rId559" Type="http://schemas.openxmlformats.org/officeDocument/2006/relationships/hyperlink" Target="https://www.afaqs.com/news/newbizwins/dentsu-creative-webchutney-wins-rak-ceramics-and-kludi-india-mandate-10500325" TargetMode="External"/><Relationship Id="rId560" Type="http://schemas.openxmlformats.org/officeDocument/2006/relationships/hyperlink" Target="https://www.socialsamosa.com/industry-updates/glad-u-came-pr-mandate-world-luxury-chamber-of-commerce-12575269" TargetMode="External"/><Relationship Id="rId561" Type="http://schemas.openxmlformats.org/officeDocument/2006/relationships/hyperlink" Target="https://www.afaqs.com/news/advertising/duolingo-enters-punjab-with-ullu-da-pattha-campaign-for-english-course-12501089" TargetMode="External"/><Relationship Id="rId562" Type="http://schemas.openxmlformats.org/officeDocument/2006/relationships/hyperlink" Target="https://www.medianews4u.com/duolingo-english-test-unveils-why-i-took-the-det-campaign-showcasing-study-abroad-success/" TargetMode="External"/><Relationship Id="rId563" Type="http://schemas.openxmlformats.org/officeDocument/2006/relationships/hyperlink" Target="https://www.medianews4u.com/fcb-india-reimagines-call-me-bae-scenes-for-android-campaign-to-engage-gen-z/" TargetMode="External"/><Relationship Id="rId564" Type="http://schemas.openxmlformats.org/officeDocument/2006/relationships/hyperlink" Target="https://www.afaqs.com/news/advertising/socheers-wins-digital-mandate-for-asus-india" TargetMode="External"/><Relationship Id="rId565" Type="http://schemas.openxmlformats.org/officeDocument/2006/relationships/hyperlink" Target="https://www.medianews4u.com/socheers-secures-the-digital-mandate-for-asus-india/" TargetMode="External"/><Relationship Id="rId566" Type="http://schemas.openxmlformats.org/officeDocument/2006/relationships/hyperlink" Target="https://www.campaignindia.in/article/happilo-appoints-sideways-for-its-creative-mandate/4xy5wmxrg1rzbvvd76w7t1c1nx" TargetMode="External"/><Relationship Id="rId567" Type="http://schemas.openxmlformats.org/officeDocument/2006/relationships/hyperlink" Target="https://www.afaqs.com/news/advertising/bang-in-the-middle-hollers-at-former-client-mendanta-for-using-a-campaign-idea-it-rejected-during-their-year-long-relationship" TargetMode="External"/><Relationship Id="rId568" Type="http://schemas.openxmlformats.org/officeDocument/2006/relationships/hyperlink" Target="https://www.afaqs.com/news/advertising/one-hand-clap-the-agency-that-got-ms-dhoni-to-re-enact-ranbir-kapoors-animal-8970115" TargetMode="External"/><Relationship Id="rId569" Type="http://schemas.openxmlformats.org/officeDocument/2006/relationships/hyperlink" Target="https://www.afaqs.com/news/advertising/when-the-star-client-stumbles-building-resilience-in-indias-new-age-ad-agencies-10477604" TargetMode="External"/><Relationship Id="rId570" Type="http://schemas.openxmlformats.org/officeDocument/2006/relationships/hyperlink" Target="https://www.medianews4u.com/whiskas-spotlights-texture-and-taste-with-new-pockets-campaign/" TargetMode="External"/><Relationship Id="rId571" Type="http://schemas.openxmlformats.org/officeDocument/2006/relationships/hyperlink" Target="https://www.medianews4u.com/whiskas-introduces-a-cat-food-range-with-a-campaign-featuring-mrunal-thakur/" TargetMode="External"/><Relationship Id="rId572" Type="http://schemas.openxmlformats.org/officeDocument/2006/relationships/hyperlink" Target="https://www.afaqs.com/news/newbizwins/pollinate-labs-wins-the-rebranding-mandate-for-4700bc-12506207" TargetMode="External"/><Relationship Id="rId573" Type="http://schemas.openxmlformats.org/officeDocument/2006/relationships/hyperlink" Target="https://campaignbriefasia.com/2025/11/19/adani-group-highlights-human-first-service-through-airports-via-new-ogilvy-india-film/" TargetMode="External"/><Relationship Id="rId574" Type="http://schemas.openxmlformats.org/officeDocument/2006/relationships/hyperlink" Target="https://www.afaqs.com/news/newbizwins/air-canada-appoints-actimedia-pr-as-communications-partner-for-india-8686842" TargetMode="External"/><Relationship Id="rId575" Type="http://schemas.openxmlformats.org/officeDocument/2006/relationships/hyperlink" Target="https://www.campaignindia.in/article/au-small-finance-bank-appoints-adfactors-pr-as-its-strategic-communications-partner/47xnxqj38v1a16xfs0r0z4nc5p" TargetMode="External"/><Relationship Id="rId576" Type="http://schemas.openxmlformats.org/officeDocument/2006/relationships/hyperlink" Target="https://www.dentsu.com/in/en/our-news/bajaj-allianz-gic-and-dentsu-creative-indias-new-campaign-" TargetMode="External"/><Relationship Id="rId577" Type="http://schemas.openxmlformats.org/officeDocument/2006/relationships/hyperlink" Target="https://www.storyboard18.com/brand-marketing/bajaj-finserv-rebrands-insurance-arms-after-full-ownership-acquisition-82190.htm" TargetMode="External"/><Relationship Id="rId578" Type="http://schemas.openxmlformats.org/officeDocument/2006/relationships/hyperlink" Target="https://www.socialsamosa.com/industry-updates/spek-digital-creative-marketing-mandate-birdys-9607484" TargetMode="External"/><Relationship Id="rId579" Type="http://schemas.openxmlformats.org/officeDocument/2006/relationships/hyperlink" Target="https://www.socialsamosa.com/industry-updates/leo-india-alin-choubey-vice-president-digital-12151129" TargetMode="External"/><Relationship Id="rId580" Type="http://schemas.openxmlformats.org/officeDocument/2006/relationships/hyperlink" Target="https://www.afaqs.com/news/newbizwins/gozoop-creative-to-handle-cookieman-indias-digital-and-creative-mandate-10940065" TargetMode="External"/><Relationship Id="rId581" Type="http://schemas.openxmlformats.org/officeDocument/2006/relationships/hyperlink" Target="https://www.medianews4u.com/dsp-mutual-fund-dentsu-creative-webchutney-falco-robotics-launch-garuda-rakshak-to-safeguard-children-at-purna-maha-kumbh/" TargetMode="External"/><Relationship Id="rId582" Type="http://schemas.openxmlformats.org/officeDocument/2006/relationships/hyperlink" Target="https://www.afaqs.com/news/advertising/lk-saatchi-saatchi-bags-dunkin-indias-integrated-creative-and-digital-mandate" TargetMode="External"/><Relationship Id="rId583" Type="http://schemas.openxmlformats.org/officeDocument/2006/relationships/hyperlink" Target="https://www.afaqs.com/news/advertising/digitas-india-bags-digital-and-media-mandate-for-ai-platform-equbot" TargetMode="External"/><Relationship Id="rId584" Type="http://schemas.openxmlformats.org/officeDocument/2006/relationships/hyperlink" Target="https://www.afaqs.com/news/advertising/hdfc-bank-kinnect-turn-laziness-saves-into-fraud-awareness-12482592" TargetMode="External"/><Relationship Id="rId585" Type="http://schemas.openxmlformats.org/officeDocument/2006/relationships/hyperlink" Target="https://www.medianews4u.com/hersheys-turns-lifes-everyday-setbacks-into-moments-of-comfort-in-new-campaign/" TargetMode="External"/><Relationship Id="rId586" Type="http://schemas.openxmlformats.org/officeDocument/2006/relationships/hyperlink" Target="https://campaignbriefasia.com/2023/06/06/contract-advertising-creates-my-account-starts-today-for-hsbc-india-starring-virat-kohli/" TargetMode="External"/><Relationship Id="rId587" Type="http://schemas.openxmlformats.org/officeDocument/2006/relationships/hyperlink" Target="https://www.storyboard18.com/brand-makers/the-accidental-agency-how-wit-chai-swapped-vanity-metrics-for-business-growth-to-land-starbucks-and-icici-bank-91910.htm" TargetMode="External"/><Relationship Id="rId588" Type="http://schemas.openxmlformats.org/officeDocument/2006/relationships/hyperlink" Target="https://socheers.in/work" TargetMode="External"/><Relationship Id="rId589" Type="http://schemas.openxmlformats.org/officeDocument/2006/relationships/hyperlink" Target="https://www.afaqs.com/news/newbizwins/jack-in-the-box-worldwide-wins-social-media-mandate-for-kotak-mahindra-prime-9306900" TargetMode="External"/><Relationship Id="rId590" Type="http://schemas.openxmlformats.org/officeDocument/2006/relationships/hyperlink" Target="https://www.schbang.com/news-centre" TargetMode="External"/><Relationship Id="rId591" Type="http://schemas.openxmlformats.org/officeDocument/2006/relationships/hyperlink" Target="https://www.afaqs.com/news/newbizwins/confiance-communications-bags-communications-mandate-for-libertario-coffee-india-11777538" TargetMode="External"/><Relationship Id="rId592" Type="http://schemas.openxmlformats.org/officeDocument/2006/relationships/hyperlink" Target="https://www.afaqs.com/tags/sideways-consulting" TargetMode="External"/><Relationship Id="rId593" Type="http://schemas.openxmlformats.org/officeDocument/2006/relationships/hyperlink" Target="https://crosshairscommunication.com/case-studies/" TargetMode="External"/><Relationship Id="rId594" Type="http://schemas.openxmlformats.org/officeDocument/2006/relationships/hyperlink" Target="https://www.storyboard18.com/agency-news/rediffusion-wins-creative-mandate-for-nippon-india-mutual-fund-46728.htm" TargetMode="External"/><Relationship Id="rId595" Type="http://schemas.openxmlformats.org/officeDocument/2006/relationships/hyperlink" Target="https://www.medianews4u.com/rediffusion-bags-creative-mandate-for-nippon-india-mutual-fund/" TargetMode="External"/><Relationship Id="rId596" Type="http://schemas.openxmlformats.org/officeDocument/2006/relationships/hyperlink" Target="https://www.medianews4u.com/punt-creative-bags-communications-mandate-for-pizzaexpress-india/" TargetMode="External"/><Relationship Id="rId597" Type="http://schemas.openxmlformats.org/officeDocument/2006/relationships/hyperlink" Target="https://www.afaqs.com/news/newbizwins/punt-creative-wins-communication-mandate-for-pizzaexpress-india-12235291" TargetMode="External"/><Relationship Id="rId598" Type="http://schemas.openxmlformats.org/officeDocument/2006/relationships/hyperlink" Target="https://www.medianews4u.com/hashtag-orange-secures-safetree-mandate-to-build-indias-first-fertility-insurance-brand/" TargetMode="External"/><Relationship Id="rId599" Type="http://schemas.openxmlformats.org/officeDocument/2006/relationships/hyperlink" Target="https://www.afaqs.com/topic/fcb-ulka" TargetMode="External"/><Relationship Id="rId600" Type="http://schemas.openxmlformats.org/officeDocument/2006/relationships/hyperlink" Target="https://www.afaqs.com/news/newbizwins/scribbld-wins-performance-marketing-mandate-for-suzette-gourmet-11871446" TargetMode="External"/><Relationship Id="rId601" Type="http://schemas.openxmlformats.org/officeDocument/2006/relationships/hyperlink" Target="https://www.campaignindia.in/article/tata-aia-marks-25-years-with-city-led-campaign/40h4xznpb8afwsycdf1j2w5n5e" TargetMode="External"/><Relationship Id="rId602" Type="http://schemas.openxmlformats.org/officeDocument/2006/relationships/hyperlink" Target="https://www.medianews4u.com/moms-starbucks-conduct-a-3d-anamorphic-campaign-in-bangalore-to-spotlight-the-blonde-roast/" TargetMode="External"/><Relationship Id="rId603" Type="http://schemas.openxmlformats.org/officeDocument/2006/relationships/hyperlink" Target="https://www.medianews4u.com/tata-starbucks-introduces-a-film-spotlighting-indian-single-origin-coffee/" TargetMode="External"/><Relationship Id="rId604" Type="http://schemas.openxmlformats.org/officeDocument/2006/relationships/hyperlink" Target="https://socheers.in/work" TargetMode="External"/><Relationship Id="rId605" Type="http://schemas.openxmlformats.org/officeDocument/2006/relationships/hyperlink" Target="https://www.medianews4u.com/popkorn-bags-creative-mandate-for-the-coffee-bean-tea-leaf-india/" TargetMode="External"/><Relationship Id="rId606" Type="http://schemas.openxmlformats.org/officeDocument/2006/relationships/hyperlink" Target="https://www.afaqs.com/news/newbizwins/popkorn-wins-creative-mandate-for-the-coffee-bean-tea-leaf-india-11802116" TargetMode="External"/><Relationship Id="rId607" Type="http://schemas.openxmlformats.org/officeDocument/2006/relationships/hyperlink" Target="https://www.medianews4u.com/dvio-digital-wins-the-creative-and-digital-marketing-mandate-for-theobroma/" TargetMode="External"/><Relationship Id="rId608" Type="http://schemas.openxmlformats.org/officeDocument/2006/relationships/hyperlink" Target="https://www.medianews4u.com/verve-media-bags-digital-mandate-for-vedas-fund/" TargetMode="External"/><Relationship Id="rId609" Type="http://schemas.openxmlformats.org/officeDocument/2006/relationships/hyperlink" Target="https://campaignbriefasia.com/2026/09/16/the-work-2026-asia-hot-list-7-tbwalintas-india/" TargetMode="External"/><Relationship Id="rId610" Type="http://schemas.openxmlformats.org/officeDocument/2006/relationships/hyperlink" Target="https://campaignbriefasia.com/2025/06/20/bbdo-india-takes-out-sustainable-development-goals-silver-lion-for-ariel-sharetheload-10-years/" TargetMode="External"/><Relationship Id="rId611" Type="http://schemas.openxmlformats.org/officeDocument/2006/relationships/hyperlink" Target="https://www.adgully.com/post/2275/from-period-shame-to-in-game-weddings-ddb-mudra-groups-cannes-lions-2025-hopefuls" TargetMode="External"/><Relationship Id="rId612" Type="http://schemas.openxmlformats.org/officeDocument/2006/relationships/hyperlink" Target="https://www.afaqs.com/news/advertising/when-the-star-client-stumbles-building-resilience-in-indias-new-age-ad-agencies-10477604" TargetMode="External"/><Relationship Id="rId613" Type="http://schemas.openxmlformats.org/officeDocument/2006/relationships/hyperlink" Target="https://campaignbriefasia.com/2025/08/13/birlanu-reinforces-its-leakproof-commitment-in-new-campaign-film-by-ddb-mudra-group/" TargetMode="External"/><Relationship Id="rId614" Type="http://schemas.openxmlformats.org/officeDocument/2006/relationships/hyperlink" Target="https://campaignbriefasia.com/2025/06/19/jasprit-bumrah-revives-the-swagger-associated-with-gum-via-new-ddb-mudra-and-boomers-spot/" TargetMode="External"/><Relationship Id="rId615" Type="http://schemas.openxmlformats.org/officeDocument/2006/relationships/hyperlink" Target="https://campaignbriefasia.com/2025/06/09/cannes-lions-2025-contenders-bbdo-india/" TargetMode="External"/><Relationship Id="rId616" Type="http://schemas.openxmlformats.org/officeDocument/2006/relationships/hyperlink" Target="https://news.google.com/rss/search?q=%22BBDO+India%22+mandate&amp;hl=en-IN&amp;gl=IN&amp;ceid=IN:en" TargetMode="External"/><Relationship Id="rId617" Type="http://schemas.openxmlformats.org/officeDocument/2006/relationships/hyperlink" Target="https://www.socialsamosa.com/samosa-snippets/bbdo-tbwa-mccann-bring-omnicom-reshaped-empire-10841609" TargetMode="External"/><Relationship Id="rId618" Type="http://schemas.openxmlformats.org/officeDocument/2006/relationships/hyperlink" Target="https://www.afaqs.com/tags/ddb-mudra-group" TargetMode="External"/><Relationship Id="rId619" Type="http://schemas.openxmlformats.org/officeDocument/2006/relationships/hyperlink" Target="https://campaignbriefasia.com/2023/06/26/doublemint-encourages-real-conversations-with-startsometingfresh-via-ddb-tribal-india/" TargetMode="External"/><Relationship Id="rId620" Type="http://schemas.openxmlformats.org/officeDocument/2006/relationships/hyperlink" Target="https://campaignbriefasia.com/2024/05/30/dream11-unveils-new-yeh-sabka-dream-hai-t20-world-cup-campaign-via-ddb-mudra/" TargetMode="External"/><Relationship Id="rId621" Type="http://schemas.openxmlformats.org/officeDocument/2006/relationships/hyperlink" Target="https://www.afaqs.com/people-spotting/dream11-cmo-vikrant-mudaliar-steps-down-12116888" TargetMode="External"/><Relationship Id="rId622" Type="http://schemas.openxmlformats.org/officeDocument/2006/relationships/hyperlink" Target="https://www.afaqs.com/people-spotting/excitel-broadband-appoints-aditya-jain-as-chief-marketing-officer-12186970" TargetMode="External"/><Relationship Id="rId623" Type="http://schemas.openxmlformats.org/officeDocument/2006/relationships/hyperlink" Target="https://campaignbriefasia.com/2025/09/25/ddb-mudra-and-flipkart-bring-tradition-to-big-billion-days-with-shubh-muhurat-deals/" TargetMode="External"/><Relationship Id="rId624" Type="http://schemas.openxmlformats.org/officeDocument/2006/relationships/hyperlink" Target="https://www.afaqs.com/news/newbizwins/publicis-starcom-wins-flipkart-groups-750-crore-media-mandate-replaces-essencemediacom-10981998" TargetMode="External"/><Relationship Id="rId625" Type="http://schemas.openxmlformats.org/officeDocument/2006/relationships/hyperlink" Target="https://www.medianews4u.com/social-beat-captures-fortunes-25-year-legacy-with-a-digital-campaign/" TargetMode="External"/><Relationship Id="rId626" Type="http://schemas.openxmlformats.org/officeDocument/2006/relationships/hyperlink" Target="https://www.afaqs.com/people-spotting/glenmark-pharmaceuticals-appoints-priyanka-tewari-as-head-of-marketing-12490366" TargetMode="External"/><Relationship Id="rId627" Type="http://schemas.openxmlformats.org/officeDocument/2006/relationships/hyperlink" Target="https://www.afaqs.com/people-spotting/sudhir-sitapati-quits-gcpl-as-md-and-ceo-aasif-malbari-named-successor-12250851" TargetMode="External"/><Relationship Id="rId628" Type="http://schemas.openxmlformats.org/officeDocument/2006/relationships/hyperlink" Target="https://www.afaqs.com/news/advertising/famous-innovations-wins-5-major-mandates-in-h2-strengthens-geographical-expansion-11727022" TargetMode="External"/><Relationship Id="rId629" Type="http://schemas.openxmlformats.org/officeDocument/2006/relationships/hyperlink" Target="https://www.storyboard18.com/agency-news/haier-india-media-mandate-under-review-ws-l-105850.htm" TargetMode="External"/><Relationship Id="rId630" Type="http://schemas.openxmlformats.org/officeDocument/2006/relationships/hyperlink" Target="https://campaignbriefasia.com/2025/09/05/the-work-2025-hot-list-2-ddb-mudra-group-india/" TargetMode="External"/><Relationship Id="rId631" Type="http://schemas.openxmlformats.org/officeDocument/2006/relationships/hyperlink" Target="https://www.socialsamosa.com/samosa-snippets/bbdo-tbwa-mccann-bring-omnicom-reshaped-empire-10841609" TargetMode="External"/><Relationship Id="rId632" Type="http://schemas.openxmlformats.org/officeDocument/2006/relationships/hyperlink" Target="https://www.storyboard18.com/brand-makers/exclusive-jsw-steels-creative-account-up-for-review-95404.htm" TargetMode="External"/><Relationship Id="rId633" Type="http://schemas.openxmlformats.org/officeDocument/2006/relationships/hyperlink" Target="https://campaignbriefasia.com/2024/08/05/the-work-2024-hot-list-3-ddb-mudra-group-india/" TargetMode="External"/><Relationship Id="rId634" Type="http://schemas.openxmlformats.org/officeDocument/2006/relationships/hyperlink" Target="https://www.storyboard18.com/brand-makers/orient-electric-appoints-sandhya-biswas-as-chief-marketing-and-customer-experience-officer-110669.htm" TargetMode="External"/><Relationship Id="rId635" Type="http://schemas.openxmlformats.org/officeDocument/2006/relationships/hyperlink" Target="https://campaignbriefasia.com/2024/08/05/the-work-2024-hot-list-3-ddb-mudra-group-india/" TargetMode="External"/><Relationship Id="rId636" Type="http://schemas.openxmlformats.org/officeDocument/2006/relationships/hyperlink" Target="https://campaignbriefasia.com/2026/06/23/wolf-bkk-tbwalintas-mumbai-kodansha-tokyo-geek-pictures-tokyo-win-film-craft-bronze-lions/" TargetMode="External"/><Relationship Id="rId637" Type="http://schemas.openxmlformats.org/officeDocument/2006/relationships/hyperlink" Target="https://www.afaqs.com/news/advertising/when-the-star-client-stumbles-building-resilience-in-indias-new-age-ad-agencies-10477604" TargetMode="External"/><Relationship Id="rId638" Type="http://schemas.openxmlformats.org/officeDocument/2006/relationships/hyperlink" Target="https://www.manifest-media.in/advertising/081025/indiaa-awards-2025-moonshot-and-ogilvy-dominate-with-four-wins-each.html" TargetMode="External"/><Relationship Id="rId639" Type="http://schemas.openxmlformats.org/officeDocument/2006/relationships/hyperlink" Target="https://www.medianews4u.com/tata-tea-golds-campaign-continues-to-celebrate-the-bengali-way-of-living-and-their-no-compromise-attitude/" TargetMode="External"/><Relationship Id="rId640" Type="http://schemas.openxmlformats.org/officeDocument/2006/relationships/hyperlink" Target="https://campaignbriefasia.com/2025/08/07/ttk-prestige-bebuts-life-size-anti-spill-lid-installation-created-via-ddb-mudra-india/" TargetMode="External"/><Relationship Id="rId641" Type="http://schemas.openxmlformats.org/officeDocument/2006/relationships/hyperlink" Target="https://www.medianews4u.com/publicis-india-launches-heartfelt-thank-you-tv-campaign-for-zee-tv/" TargetMode="External"/><Relationship Id="rId642" Type="http://schemas.openxmlformats.org/officeDocument/2006/relationships/hyperlink" Target="https://news.google.com/rss/search?q=%22Ketchum+Sampark%22+OR+%22FleishmanHillard+India%22+mandate&amp;hl=en-IN&amp;gl=IN&amp;ceid=IN:en" TargetMode="External"/><Relationship Id="rId643" Type="http://schemas.openxmlformats.org/officeDocument/2006/relationships/hyperlink" Target="https://www.medianews4u.com/bandhan-mutual-fund-and-grey-82-5-india-launch-kya-azaad-ho-tum-campaign/" TargetMode="External"/><Relationship Id="rId644" Type="http://schemas.openxmlformats.org/officeDocument/2006/relationships/hyperlink" Target="https://www.medianews4u.com/federal-bank-partners-with-hogarth-to-deliver-ai-powered-immersive-onam-campaign/" TargetMode="External"/><Relationship Id="rId645" Type="http://schemas.openxmlformats.org/officeDocument/2006/relationships/hyperlink" Target="https://www.afaqs.com/news/advertising/fibe-awards-its-digital-mandate-to-blink-digital" TargetMode="External"/><Relationship Id="rId646" Type="http://schemas.openxmlformats.org/officeDocument/2006/relationships/hyperlink" Target="https://www.tbwaindia.com/" TargetMode="External"/><Relationship Id="rId647" Type="http://schemas.openxmlformats.org/officeDocument/2006/relationships/hyperlink" Target="https://www.medianews4u.com/gaurang-menon-steps-down-from-hashtag-orange-after-building-mumbai-business/" TargetMode="External"/><Relationship Id="rId648" Type="http://schemas.openxmlformats.org/officeDocument/2006/relationships/hyperlink" Target="https://www.exchange4media.com/advertising-news/publicis-worldwide-india-bags-integrated-creative-mandate-for-pramerica-life-insurance-132070.html" TargetMode="External"/><Relationship Id="rId649" Type="http://schemas.openxmlformats.org/officeDocument/2006/relationships/hyperlink" Target="https://www.afaqs.com/marketing/sbi-lifes-ad-trades-fear-for-fun-with-rishabh-pant-and-ravindra-jadeja-11016724" TargetMode="External"/><Relationship Id="rId650" Type="http://schemas.openxmlformats.org/officeDocument/2006/relationships/hyperlink" Target="https://www.afaqs.com/news/advertising/bajaj-pulsar-ogilvy-12535918" TargetMode="External"/><Relationship Id="rId651" Type="http://schemas.openxmlformats.org/officeDocument/2006/relationships/hyperlink" Target="https://www.afaqs.com/news/advertising/h-is-for-handwashing-baby-hippo-moo-deng-spreads-lifebuoys-message-7569894" TargetMode="External"/><Relationship Id="rId652" Type="http://schemas.openxmlformats.org/officeDocument/2006/relationships/hyperlink" Target="https://www.medianews4u.com/lintas-live-named-pr-firm-for-allied-blenders-and-distillers/" TargetMode="External"/><Relationship Id="rId653" Type="http://schemas.openxmlformats.org/officeDocument/2006/relationships/hyperlink" Target="https://www.adgully.com/post/2275/from-period-shame-to-in-game-weddings-ddb-mudra-groups-cannes-lions-2025-hopefuls" TargetMode="External"/><Relationship Id="rId654" Type="http://schemas.openxmlformats.org/officeDocument/2006/relationships/hyperlink" Target="https://manifest-media.in/video/campaigns/280926/stayfree-puts-boys-at-the-centre-of-its-latest-push-to-normalise-perio.html" TargetMode="External"/><Relationship Id="rId655" Type="http://schemas.openxmlformats.org/officeDocument/2006/relationships/hyperlink" Target="https://www.hakuhodo-global.com/news/hakuhodo-india-network-secures-16-prestigious-awards-at-e4m-automotive-marketing-awards-2026.html" TargetMode="External"/><Relationship Id="rId656" Type="http://schemas.openxmlformats.org/officeDocument/2006/relationships/hyperlink" Target="https://www.afaqs.com/news/advertising/tvs-ntorq-celebrates-footballs-champions-through-the-streets-remember-12054342" TargetMode="External"/><Relationship Id="rId657" Type="http://schemas.openxmlformats.org/officeDocument/2006/relationships/hyperlink" Target="https://www.medianews4u.com/tvs-raider-launches-bold-new-campaign-call-of-the-wicked/" TargetMode="External"/><Relationship Id="rId658" Type="http://schemas.openxmlformats.org/officeDocument/2006/relationships/hyperlink" Target="https://www.afaqs.com/news/advertising/makani-creatives-challenges-gender-stereotypes-with-give-her-space-campaign-for-american-tourister" TargetMode="External"/><Relationship Id="rId659" Type="http://schemas.openxmlformats.org/officeDocument/2006/relationships/hyperlink" Target="https://www.manifest-media.in/advertising/081025/indiaa-awards-2025-moonshot-and-ogilvy-dominate-with-four-wins-each.html" TargetMode="External"/><Relationship Id="rId660" Type="http://schemas.openxmlformats.org/officeDocument/2006/relationships/hyperlink" Target="https://campaignbriefasia.com/2025/09/05/the-work-2025-hot-list-2-ddb-mudra-group-india/" TargetMode="External"/><Relationship Id="rId661" Type="http://schemas.openxmlformats.org/officeDocument/2006/relationships/hyperlink" Target="https://www.medianews4u.com/dollar-missy-and-lowe-lintas-launch-campaign-on-fashions-perfect-pairing/" TargetMode="External"/><Relationship Id="rId662" Type="http://schemas.openxmlformats.org/officeDocument/2006/relationships/hyperlink" Target="https://www.socialsamosa.com/industry-updates/mirum-india-digital-mandate-ibis-hotels-4419184" TargetMode="External"/><Relationship Id="rId663" Type="http://schemas.openxmlformats.org/officeDocument/2006/relationships/hyperlink" Target="https://www.afaqs.com/news/advertising/famous-innovations-wins-5-major-mandates-in-h2-strengthens-geographical-expansion-11727022" TargetMode="External"/><Relationship Id="rId664" Type="http://schemas.openxmlformats.org/officeDocument/2006/relationships/hyperlink" Target="https://www.medianews4u.com/kamiliant-unveils-bold-campaign-naam-hai-kamiliant-kaam-hai-toughness/" TargetMode="External"/><Relationship Id="rId665" Type="http://schemas.openxmlformats.org/officeDocument/2006/relationships/hyperlink" Target="https://www.afaqs.com/news/newbizwins/team-pumpkin-bags-social-media-mandate-for-lavie-sport-12256990" TargetMode="External"/><Relationship Id="rId666" Type="http://schemas.openxmlformats.org/officeDocument/2006/relationships/hyperlink" Target="https://www.medianews4u.com/team-pumpkin-wins-social-media-mandate-for-lavie/" TargetMode="External"/><Relationship Id="rId667" Type="http://schemas.openxmlformats.org/officeDocument/2006/relationships/hyperlink" Target="https://www.goodadsmatter.com/post/moonshot" TargetMode="External"/><Relationship Id="rId668" Type="http://schemas.openxmlformats.org/officeDocument/2006/relationships/hyperlink" Target="https://www.afaqs.com/news/advertising/lowe-lintas-bags-the-mandate-to-lead-brand-lifestyle" TargetMode="External"/><Relationship Id="rId669" Type="http://schemas.openxmlformats.org/officeDocument/2006/relationships/hyperlink" Target="https://www.medianews4u.com/miniklub-and-social-panga-launch-the-happy-parenting-strategy-campaign-celebrating-modern-fatherhood/" TargetMode="External"/><Relationship Id="rId670" Type="http://schemas.openxmlformats.org/officeDocument/2006/relationships/hyperlink" Target="https://www.goodadsmatter.com/post/moonshot" TargetMode="External"/><Relationship Id="rId671" Type="http://schemas.openxmlformats.org/officeDocument/2006/relationships/hyperlink" Target="https://www.medianews4u.com/pantaloons-names-samantha-ruth-prabhu-as-its-first-ever-brand-ambassador-launches-festive-campaign-spark-your-imagination/" TargetMode="External"/><Relationship Id="rId672" Type="http://schemas.openxmlformats.org/officeDocument/2006/relationships/hyperlink" Target="https://www.medianews4u.com/verve-media-turns-everyday-style-into-shared-moments-with-snitch-campaign-on-cinema-screens-nationwide/" TargetMode="External"/><Relationship Id="rId673" Type="http://schemas.openxmlformats.org/officeDocument/2006/relationships/hyperlink" Target="https://www.afaqs.com/news/advertising/makani-creatives-wins-creative-mandate-for-stimulus-and-eeken" TargetMode="External"/><Relationship Id="rId674" Type="http://schemas.openxmlformats.org/officeDocument/2006/relationships/hyperlink" Target="https://www.medianews4u.com/the-minimalist-wins-strategic-communications-mandate-from-afc-furniture-solutions/" TargetMode="External"/><Relationship Id="rId675" Type="http://schemas.openxmlformats.org/officeDocument/2006/relationships/hyperlink" Target="https://www.medianews4u.com/sociowash-secures-d2c-media-mandate-for-ageasy/" TargetMode="External"/><Relationship Id="rId676" Type="http://schemas.openxmlformats.org/officeDocument/2006/relationships/hyperlink" Target="https://www.afaqs.com/news/advertising/alcon-introduces-precision1-contact-lenses-in-india-with-a-new-launch-campaign-9014962" TargetMode="External"/><Relationship Id="rId677" Type="http://schemas.openxmlformats.org/officeDocument/2006/relationships/hyperlink" Target="https://www.medianews4u.com/team-pumpkin-wins-alphathetas-digital-mandate-to-drive-online-presence/" TargetMode="External"/><Relationship Id="rId678" Type="http://schemas.openxmlformats.org/officeDocument/2006/relationships/hyperlink" Target="https://www.afaqs.com/tags/social-panga" TargetMode="External"/><Relationship Id="rId679" Type="http://schemas.openxmlformats.org/officeDocument/2006/relationships/hyperlink" Target="https://campaignbriefasia.com/2026/08/11/asian-paints-ogilvy-india-showcase-hassle-free-home-painting-with-beautiful-homes-campaign/" TargetMode="External"/><Relationship Id="rId680" Type="http://schemas.openxmlformats.org/officeDocument/2006/relationships/hyperlink" Target="https://www.afaqs.com/news/advertising/bsh-home-appliances-partners-with-the-womb-to-improve-brand-equity-7347140" TargetMode="External"/><Relationship Id="rId681" Type="http://schemas.openxmlformats.org/officeDocument/2006/relationships/hyperlink" Target="https://www.medianews4u.com/hul-ogilvy-and-mindshare-usher-in-a-new-era-of-experiential-tea-marketing-with-the-chai-bansuri-installation/" TargetMode="External"/><Relationship Id="rId682" Type="http://schemas.openxmlformats.org/officeDocument/2006/relationships/hyperlink" Target="https://www.afaqs.com/news/advertising/one-hand-clap-the-agency-that-got-ms-dhoni-to-re-enact-ranbir-kapoors-animal-8970115" TargetMode="External"/><Relationship Id="rId683" Type="http://schemas.openxmlformats.org/officeDocument/2006/relationships/hyperlink" Target="https://www.medianews4u.com/dentsu-creative-isobar-bags-canon-indias-digital-and-e-commerce-mandate/" TargetMode="External"/><Relationship Id="rId684" Type="http://schemas.openxmlformats.org/officeDocument/2006/relationships/hyperlink" Target="https://www.storyboard18.com/agency-news/dentsu-creative-isobar-wins-canon-indias-digital-and-e-commerce-mandate-105666.htm" TargetMode="External"/><Relationship Id="rId685" Type="http://schemas.openxmlformats.org/officeDocument/2006/relationships/hyperlink" Target="https://www.afaqs.com/news/advertising/centuryply-ropes-in-aamir-khan-for-total-cover-campaign-12253476" TargetMode="External"/><Relationship Id="rId686" Type="http://schemas.openxmlformats.org/officeDocument/2006/relationships/hyperlink" Target="https://www.medianews4u.com/wunderman-thompson-india-wins-creative-mandate-for-cera-sanitaryware/" TargetMode="External"/><Relationship Id="rId687" Type="http://schemas.openxmlformats.org/officeDocument/2006/relationships/hyperlink" Target="https://www.afaqs.com/news/mktg/cera-names-kriti-sanon-as-brand-ambassador-12167225" TargetMode="External"/><Relationship Id="rId688" Type="http://schemas.openxmlformats.org/officeDocument/2006/relationships/hyperlink" Target="https://www.storyboard18.com/brand-marketing/bbdo-india-wins-integrated-creative-mandate-for-lt-foods-daawat-in-india-105902.htm" TargetMode="External"/><Relationship Id="rId689" Type="http://schemas.openxmlformats.org/officeDocument/2006/relationships/hyperlink" Target="https://www.afaqs.com/news/newbizwins/bbdo-india-bags-integrated-creative-mandate-for-daawat-india-12207791" TargetMode="External"/><Relationship Id="rId690" Type="http://schemas.openxmlformats.org/officeDocument/2006/relationships/hyperlink" Target="https://www.afaqs.com/news/newbizwins/creativeland-asia-delhi-bags-del-monte-indias-creative-mandate-12116891" TargetMode="External"/><Relationship Id="rId691" Type="http://schemas.openxmlformats.org/officeDocument/2006/relationships/hyperlink" Target="https://campaignbriefasia.com/2026/02/10/dp-world-ogilvy-india-draw-parallels-between-cricket-and-logistics-in-latest-campaign/" TargetMode="External"/><Relationship Id="rId692" Type="http://schemas.openxmlformats.org/officeDocument/2006/relationships/hyperlink" Target="https://www.medianews4u.com/dp-world-has-sachin-tendulkar-seeing-cricket-through-a-whole-new-lens/" TargetMode="External"/><Relationship Id="rId693" Type="http://schemas.openxmlformats.org/officeDocument/2006/relationships/hyperlink" Target="https://www.afaqs.com/news/newbizwins/hiveminds-bags-integrated-digital-mandate-for-dr-reddys-laboratories-12040344" TargetMode="External"/><Relationship Id="rId694" Type="http://schemas.openxmlformats.org/officeDocument/2006/relationships/hyperlink" Target="https://www.medianews4u.com/gaurang-menon-steps-down-from-hashtag-orange-after-building-mumbai-business/" TargetMode="External"/><Relationship Id="rId695" Type="http://schemas.openxmlformats.org/officeDocument/2006/relationships/hyperlink" Target="https://www.afaqs.com/news/newbizwins/enormous-wins-the-integrated-creative-mandate-for-duroflex-and-sleepyhead-10061432" TargetMode="External"/><Relationship Id="rId696" Type="http://schemas.openxmlformats.org/officeDocument/2006/relationships/hyperlink" Target="https://www.medianews4u.com/saatchi-saatchi-india-launches-fedex-the-move-india-needs-featuring-ms-dhoni-ruturaj-gaikwad-and-urvil-patel/" TargetMode="External"/><Relationship Id="rId697" Type="http://schemas.openxmlformats.org/officeDocument/2006/relationships/hyperlink" Target="https://www.afaqs.com/news/newbizwins/sw-network-wins-integrated-digital-mandate-for-fujifilms-instax-in-india-9336522" TargetMode="External"/><Relationship Id="rId698" Type="http://schemas.openxmlformats.org/officeDocument/2006/relationships/hyperlink" Target="https://www.medianews4u.com/sw-network-bags-integrated-digital-mandate-for-fujifilm-indias-instax-brand/" TargetMode="External"/><Relationship Id="rId699" Type="http://schemas.openxmlformats.org/officeDocument/2006/relationships/hyperlink" Target="https://www.storyboard18.com/agency-news/22feet-wins-social-media-mandate-for-interio-by-godrej-100832.htm" TargetMode="External"/><Relationship Id="rId700" Type="http://schemas.openxmlformats.org/officeDocument/2006/relationships/hyperlink" Target="https://www.afaqs.com/news/newbizwins/22feet-wins-social-media-mandate-for-interio-by-godrej-12027281" TargetMode="External"/><Relationship Id="rId701" Type="http://schemas.openxmlformats.org/officeDocument/2006/relationships/hyperlink" Target="https://www.medianews4u.com/google-gemini-and-lowe-lintas-bring-ai-into-everyday-moments/" TargetMode="External"/><Relationship Id="rId702" Type="http://schemas.openxmlformats.org/officeDocument/2006/relationships/hyperlink" Target="https://www.afaqs.com/news/advertising/greenlam-turns-a-bollywood-classic-into-a-story-of-silent-admiration-12179969" TargetMode="External"/><Relationship Id="rId703" Type="http://schemas.openxmlformats.org/officeDocument/2006/relationships/hyperlink" Target="https://www.afaqs.com/news/advertising/groupe-seb-india-appoints-bang-in-the-middle-as-its-creative-agency" TargetMode="External"/><Relationship Id="rId704" Type="http://schemas.openxmlformats.org/officeDocument/2006/relationships/hyperlink" Target="https://www.afaqs.com/news/newbizwins/healthcare-global-enterprises-appoints-4am-worldwide-as-creative-brand-partner-12030869" TargetMode="External"/><Relationship Id="rId705" Type="http://schemas.openxmlformats.org/officeDocument/2006/relationships/hyperlink" Target="https://www.socialsamosa.com/industry-updates/leo-india-alin-choubey-vice-president-digital-12151129" TargetMode="External"/><Relationship Id="rId706" Type="http://schemas.openxmlformats.org/officeDocument/2006/relationships/hyperlink" Target="https://www.communicateindia.com/" TargetMode="External"/><Relationship Id="rId707" Type="http://schemas.openxmlformats.org/officeDocument/2006/relationships/hyperlink" Target="https://www.afaqs.com/news/advertising/hettich-finds-possibilities-beyond-storage-in-new-campaign-with-wondrlab-12430362" TargetMode="External"/><Relationship Id="rId708" Type="http://schemas.openxmlformats.org/officeDocument/2006/relationships/hyperlink" Target="https://news.google.com/rss/search?q=%2222feet+Tribal%22&amp;hl=en-IN&amp;gl=IN&amp;ceid=IN:en" TargetMode="External"/><Relationship Id="rId709" Type="http://schemas.openxmlformats.org/officeDocument/2006/relationships/hyperlink" Target="https://www.goodadsmatter.com/post/talented" TargetMode="External"/><Relationship Id="rId710" Type="http://schemas.openxmlformats.org/officeDocument/2006/relationships/hyperlink" Target="https://www.medianews4u.com/intel-launches-new-campaign-urging-parents-to-rethink-the-role-of-pcs-in-modern-education/" TargetMode="External"/><Relationship Id="rId711" Type="http://schemas.openxmlformats.org/officeDocument/2006/relationships/hyperlink" Target="https://www.afaqs.com/news/advertising/intels-latest-campaign-reboots-a-90s-tune-for-the-ai-generation-9610743" TargetMode="External"/><Relationship Id="rId712" Type="http://schemas.openxmlformats.org/officeDocument/2006/relationships/hyperlink" Target="https://www.afaqs.com/news/advertising/how-enormous-is-winning-most-of-its-new-business-without-pitching-10996334" TargetMode="External"/><Relationship Id="rId713" Type="http://schemas.openxmlformats.org/officeDocument/2006/relationships/hyperlink" Target="https://www.medianews4u.com/jbl-marks-independence-day-with-two-print-first-campaigns-for-personal-and-home-audio/" TargetMode="External"/><Relationship Id="rId714" Type="http://schemas.openxmlformats.org/officeDocument/2006/relationships/hyperlink" Target="https://www.medianews4u.com/kansai-nerolac-tests-paint-at-86000-feet-in-stratospheric-campaign-with-ulka/" TargetMode="External"/><Relationship Id="rId715" Type="http://schemas.openxmlformats.org/officeDocument/2006/relationships/hyperlink" Target="https://www.medianews4u.com/koche-awards-marketing-mandate-to-team-pumpkin/" TargetMode="External"/><Relationship Id="rId716" Type="http://schemas.openxmlformats.org/officeDocument/2006/relationships/hyperlink" Target="https://www.medianews4u.com/rohit-hardik-sky-light-up-lauritz-knudsens-who-am-i-campaign-by-saatchi-saatchi/" TargetMode="External"/><Relationship Id="rId717" Type="http://schemas.openxmlformats.org/officeDocument/2006/relationships/hyperlink" Target="https://www.medianews4u.com/lenovo-intel-and-fcb-kinnect-transform-storytelling-with-ai-in-brave-new-art-3/" TargetMode="External"/><Relationship Id="rId718" Type="http://schemas.openxmlformats.org/officeDocument/2006/relationships/hyperlink" Target="https://www.medianews4u.com/lenovo-india-and-leo-launch-gamers-on-duty-campaign-to-target-campers-and-drive-laptop-upgrades/" TargetMode="External"/><Relationship Id="rId719" Type="http://schemas.openxmlformats.org/officeDocument/2006/relationships/hyperlink" Target="https://www.medianews4u.com/rediffusion-crafts-heartwarming-saas-bahu-campaign-for-liebherr-with-neena-gupta/" TargetMode="External"/><Relationship Id="rId720" Type="http://schemas.openxmlformats.org/officeDocument/2006/relationships/hyperlink" Target="https://www.afaqs.com/tags/leo-burnett-india" TargetMode="External"/><Relationship Id="rId721" Type="http://schemas.openxmlformats.org/officeDocument/2006/relationships/hyperlink" Target="https://www.afaqs.com/news/advertising/22feet-tribal-worldwide-bags-the-digital-mandate-for-lumina-cloudinfra" TargetMode="External"/><Relationship Id="rId722" Type="http://schemas.openxmlformats.org/officeDocument/2006/relationships/hyperlink" Target="https://www.medianews4u.com/verve-media-bags-digital-and-creative-mandate-for-maple-india/" TargetMode="External"/><Relationship Id="rId723" Type="http://schemas.openxmlformats.org/officeDocument/2006/relationships/hyperlink" Target="https://www.pulpstrategy.com/" TargetMode="External"/><Relationship Id="rId724" Type="http://schemas.openxmlformats.org/officeDocument/2006/relationships/hyperlink" Target="https://www.medianews4u.com/sw-network-flipkart-and-motorola-reimagine-tech-launches-with-swarovski-studded-360-campaign-for-razr-60/" TargetMode="External"/><Relationship Id="rId725" Type="http://schemas.openxmlformats.org/officeDocument/2006/relationships/hyperlink" Target="https://campaignbriefasia.com/2025/02/21/go-from-ayyo-to-oh-says-new-narayana-health-spot-via-ddb-mudra-ending-healthcare-worries/" TargetMode="External"/><Relationship Id="rId726" Type="http://schemas.openxmlformats.org/officeDocument/2006/relationships/hyperlink" Target="https://www.afaqs.com/news/newbizwins/liqvd-asia-bags-social-media-and-orm-mandate-for-narayana-health-12226137" TargetMode="External"/><Relationship Id="rId727" Type="http://schemas.openxmlformats.org/officeDocument/2006/relationships/hyperlink" Target="https://www.afaqs.com/news/newbizwins/ruder-finn-india-wins-communications-mandate-for-oneplus-india-11111756" TargetMode="External"/><Relationship Id="rId728" Type="http://schemas.openxmlformats.org/officeDocument/2006/relationships/hyperlink" Target="https://www.dentsu.com/in/en/our-news/dentsu-creative-webchutney-wins-strategy-and-creative-mandate-for-rak-ceramics-india-and-kludi-india" TargetMode="External"/><Relationship Id="rId729" Type="http://schemas.openxmlformats.org/officeDocument/2006/relationships/hyperlink" Target="https://www.afaqs.com/news/newbizwins/red-bull-india-renews-media-mandate-with-wavemaker-11756549" TargetMode="External"/><Relationship Id="rId730" Type="http://schemas.openxmlformats.org/officeDocument/2006/relationships/hyperlink" Target="https://www.afaqs.com/news/newbizwins/22feet-bags-digital-mandate-for-royal-canin-india-11874973" TargetMode="External"/><Relationship Id="rId731" Type="http://schemas.openxmlformats.org/officeDocument/2006/relationships/hyperlink" Target="https://campaignbriefasia.com/2026/08/05/royal-canins-new-film-by-22feet-india-encourages-a-healthier-start-for-puppies-and-kittens/" TargetMode="External"/><Relationship Id="rId732" Type="http://schemas.openxmlformats.org/officeDocument/2006/relationships/hyperlink" Target="https://www.afaqs.com/news/newbizwins/royaloak-appoints-team-pumpkin-as-digital-marketing-partner-12065166" TargetMode="External"/><Relationship Id="rId733" Type="http://schemas.openxmlformats.org/officeDocument/2006/relationships/hyperlink" Target="https://www.afaqs.com/news/advertising/salesforces-first-campaign-in-india-stars-rahul-dravid-7235070" TargetMode="External"/><Relationship Id="rId734" Type="http://schemas.openxmlformats.org/officeDocument/2006/relationships/hyperlink" Target="https://www.storyboard18.com/agency-news/exclusive-cheil-india-secures-samsungs-consolidated-above-the-line-media-account-following-high-stakes-pitch-99615.htm" TargetMode="External"/><Relationship Id="rId735" Type="http://schemas.openxmlformats.org/officeDocument/2006/relationships/hyperlink" Target="https://www.afaqs.com/people-spotting/samsung-india-promotes-shirish-agarwal-as-head-of-marketing-for-mx-business-11846627" TargetMode="External"/><Relationship Id="rId736" Type="http://schemas.openxmlformats.org/officeDocument/2006/relationships/hyperlink" Target="https://www.socialsamosa.com/industry-updates/leo-india-creative-mandate-schneider-electric-9653024" TargetMode="External"/><Relationship Id="rId737" Type="http://schemas.openxmlformats.org/officeDocument/2006/relationships/hyperlink" Target="https://www.afaqs.com/news/newbizwins/80-db-communications-wins-the-pr-mandate-for-smytten-11720853" TargetMode="External"/><Relationship Id="rId738" Type="http://schemas.openxmlformats.org/officeDocument/2006/relationships/hyperlink" Target="https://www.medianews4u.com/specta-quartz-surfaces-partners-with-jim-sarbh-to-spotlight-quartz-through-new-campaign/" TargetMode="External"/><Relationship Id="rId739" Type="http://schemas.openxmlformats.org/officeDocument/2006/relationships/hyperlink" Target="https://www.medianews4u.com/tata-consumer-products-renews-wavemaker-as-media-agency-partner/" TargetMode="External"/><Relationship Id="rId740" Type="http://schemas.openxmlformats.org/officeDocument/2006/relationships/hyperlink" Target="https://www.afaqs.com/news/advertising/the-hindu-turns-the-star-rating-on-its-readers-this-labour-day-11785404" TargetMode="External"/><Relationship Id="rId741" Type="http://schemas.openxmlformats.org/officeDocument/2006/relationships/hyperlink" Target="https://www.afaqs.com/news/advertising/britannia-the-laughing-cow-launches-snacking-ka-new-angle-campaign-10981152" TargetMode="External"/><Relationship Id="rId742" Type="http://schemas.openxmlformats.org/officeDocument/2006/relationships/hyperlink" Target="https://www.afaqs.com/news/newbizwins/white-rivers-media-to-lead-digital-creative-mandate-for-toi-metro-editions-9316924" TargetMode="External"/><Relationship Id="rId743" Type="http://schemas.openxmlformats.org/officeDocument/2006/relationships/hyperlink" Target="https://www.medianews4u.com/white-rivers-media-wins-digital-creative-mandate-for-times-of-indias-metro-supplements/" TargetMode="External"/><Relationship Id="rId744" Type="http://schemas.openxmlformats.org/officeDocument/2006/relationships/hyperlink" Target="https://www.afaqs.com/news/advertising/when-the-star-client-stumbles-building-resilience-in-indias-new-age-ad-agencies-10477604" TargetMode="External"/><Relationship Id="rId745" Type="http://schemas.openxmlformats.org/officeDocument/2006/relationships/hyperlink" Target="https://www.afaqs.com/news/advertising/true-elements-onboards-tbwa-as-their-creative-agency" TargetMode="External"/><Relationship Id="rId746" Type="http://schemas.openxmlformats.org/officeDocument/2006/relationships/hyperlink" Target="https://www.goodadsmatter.com/post/talented" TargetMode="External"/><Relationship Id="rId747" Type="http://schemas.openxmlformats.org/officeDocument/2006/relationships/hyperlink" Target="https://www.afaqs.com/news/advertising/urban-ladders-new-campaign-spotlights-city-specific-aspirations-11188874" TargetMode="External"/><Relationship Id="rId748" Type="http://schemas.openxmlformats.org/officeDocument/2006/relationships/hyperlink" Target="https://www.afaqs.com/news/newbizwins/wozoyo-appoints-liqvd-asia-as-digital-marketing-partner-12183708" TargetMode="External"/><Relationship Id="rId749" Type="http://schemas.openxmlformats.org/officeDocument/2006/relationships/hyperlink" Target="https://www.medianews4u.com/icubeswire-bags-global-media-mandate-for-wozoyo/" TargetMode="External"/><Relationship Id="rId750" Type="http://schemas.openxmlformats.org/officeDocument/2006/relationships/hyperlink" Target="https://www.socialsamosa.com/industry-updates/social-panga-digital-creative-communication-mandates-balaji-wafers-6695929" TargetMode="External"/><Relationship Id="rId751" Type="http://schemas.openxmlformats.org/officeDocument/2006/relationships/hyperlink" Target="https://www.medianews4u.com/balaji-wafers-appoints-creativefuel-as-social-and-digital-partner/" TargetMode="External"/><Relationship Id="rId752" Type="http://schemas.openxmlformats.org/officeDocument/2006/relationships/hyperlink" Target="https://www.afaqs.com/people-spotting/boat-names-vedansh-kumar-as-chief-marketing-officer-12003685" TargetMode="External"/><Relationship Id="rId753" Type="http://schemas.openxmlformats.org/officeDocument/2006/relationships/hyperlink" Target="https://www.afaqs.com/tags/digitas-india" TargetMode="External"/><Relationship Id="rId754" Type="http://schemas.openxmlformats.org/officeDocument/2006/relationships/hyperlink" Target="https://www.afaqs.com/news/advertising/cadbury-dairy-milk-8837735" TargetMode="External"/><Relationship Id="rId755" Type="http://schemas.openxmlformats.org/officeDocument/2006/relationships/hyperlink" Target="https://www.storyboard18.com/agency-news/lowe-lintas-bags-the-creative-mandate-of-complan-50864.htm" TargetMode="External"/><Relationship Id="rId756" Type="http://schemas.openxmlformats.org/officeDocument/2006/relationships/hyperlink" Target="https://www.medianews4u.com/madhuri-dixit-and-sneha-emphasize-on-criticality-of-protein-for-growing-kids/" TargetMode="External"/><Relationship Id="rId757" Type="http://schemas.openxmlformats.org/officeDocument/2006/relationships/hyperlink" Target="https://www.storyboard18.com/agency-news/exclusive-bbh-india-wins-integrated-creative-media-mandate-for-cybersecurity-app-cybx-90514.htm" TargetMode="External"/><Relationship Id="rId758" Type="http://schemas.openxmlformats.org/officeDocument/2006/relationships/hyperlink" Target="https://www.afaqs.com/news/newbizwins/fcb-india-wins-creative-mandate-for-dulcoflex-8777232" TargetMode="External"/><Relationship Id="rId759" Type="http://schemas.openxmlformats.org/officeDocument/2006/relationships/hyperlink" Target="https://www.storyboard18.com/brand-marketing/storyboard18-awards-for-creativity-2026-where-creative-bravery-met-storytelling-and-scale-94461.htm" TargetMode="External"/><Relationship Id="rId760" Type="http://schemas.openxmlformats.org/officeDocument/2006/relationships/hyperlink" Target="https://www.medianews4u.com/interactive-avenues-secures-social-media-mandate-for-home-centre/" TargetMode="External"/><Relationship Id="rId761" Type="http://schemas.openxmlformats.org/officeDocument/2006/relationships/hyperlink" Target="https://www.medianews4u.com/horlicks-fcb-neo-flip-the-script-on-growth-with-new-campaign-celebrating-mischief-as-a-sign-of-true-development/" TargetMode="External"/><Relationship Id="rId762" Type="http://schemas.openxmlformats.org/officeDocument/2006/relationships/hyperlink" Target="https://www.socialsamosa.com/industry-updates/akshay-gurnani-exits-schbang-harshil-sohil-karia-full-control-8772881" TargetMode="External"/><Relationship Id="rId763" Type="http://schemas.openxmlformats.org/officeDocument/2006/relationships/hyperlink" Target="https://www.manifest-media.in/advertising/230524/cheil-india-named-as-the-creative-agency-for-luminous-power-technologi.html" TargetMode="External"/><Relationship Id="rId764" Type="http://schemas.openxmlformats.org/officeDocument/2006/relationships/hyperlink" Target="https://campaignbriefasia.com/2023/11/08/grey-india-and-autumngrey-india-shines-a-new-light-on-diwali-this-year-for-luminous/" TargetMode="External"/><Relationship Id="rId765" Type="http://schemas.openxmlformats.org/officeDocument/2006/relationships/hyperlink" Target="https://www.afaqs.com/news/advertising/ceo-dheeraj-sinha-on-leading-mccann-in-the-post-merger-era-12015227" TargetMode="External"/><Relationship Id="rId766" Type="http://schemas.openxmlformats.org/officeDocument/2006/relationships/hyperlink" Target="https://www.afaqs.com/people-spotting/maggis-category-marketing-head-kanika-juneja-steps-down-12551813" TargetMode="External"/><Relationship Id="rId767" Type="http://schemas.openxmlformats.org/officeDocument/2006/relationships/hyperlink" Target="https://www.medianews4u.com/82-5-communications-secures-the-creative-mandate-for-mothers-recipe/" TargetMode="External"/><Relationship Id="rId768" Type="http://schemas.openxmlformats.org/officeDocument/2006/relationships/hyperlink" Target="https://www.afaqs.com/news/advertising/mothers-recipe-picks-bang-in-the-middle-to-service-its-mainline-creative-account" TargetMode="External"/><Relationship Id="rId769" Type="http://schemas.openxmlformats.org/officeDocument/2006/relationships/hyperlink" Target="https://www.socialsamosa.com/industry-updates/akshay-gurnani-exits-schbang-harshil-sohil-karia-full-control-8772881" TargetMode="External"/><Relationship Id="rId770" Type="http://schemas.openxmlformats.org/officeDocument/2006/relationships/hyperlink" Target="https://www.medianews4u.com/maricos-saffola-masala-oats-hits-a-six-with-playful-cricket-campaign-featuring-sanjay-manjrekar/" TargetMode="External"/><Relationship Id="rId771" Type="http://schemas.openxmlformats.org/officeDocument/2006/relationships/hyperlink" Target="https://campaignbriefasia.com/2024/07/17/rohit-shetty-takes-the-wheel-in-this-new-ddb-tribal-india-spot-for-snickers/" TargetMode="External"/><Relationship Id="rId772" Type="http://schemas.openxmlformats.org/officeDocument/2006/relationships/hyperlink" Target="https://www.afaqs.com/news/advertising/tata-play-gives-life-jingalala-a-folk-music-makeover-as-it-turns-20-12239501" TargetMode="External"/><Relationship Id="rId773" Type="http://schemas.openxmlformats.org/officeDocument/2006/relationships/hyperlink" Target="https://www.medianews4u.com/tag/chimpz-inc/" TargetMode="External"/><Relationship Id="rId774" Type="http://schemas.openxmlformats.org/officeDocument/2006/relationships/hyperlink" Target="https://www.afaqs.com/news/advertising/fcb-group-india-onboards-14-new-clients-across-agencies-8649932" TargetMode="External"/><Relationship Id="rId775" Type="http://schemas.openxmlformats.org/officeDocument/2006/relationships/hyperlink" Target="https://www.medianews4u.com/ubers-new-campaign-featuring-shroff-duo-aims-to-revolutionize-urban-transportation-perceptions/" TargetMode="External"/><Relationship Id="rId776" Type="http://schemas.openxmlformats.org/officeDocument/2006/relationships/hyperlink" Target="https://news.google.com/rss/search?q=%22Ketchum+Sampark%22+OR+%22FleishmanHillard+India%22+mandate&amp;hl=en-IN&amp;gl=IN&amp;ceid=IN:en" TargetMode="External"/><Relationship Id="rId777" Type="http://schemas.openxmlformats.org/officeDocument/2006/relationships/hyperlink" Target="https://www.medianews4u.com/vadilal-unveils-joyful-new-campaign-zara-muskuraiye-vadilal-khaiye-with-82-5-communications/" TargetMode="External"/><Relationship Id="rId778" Type="http://schemas.openxmlformats.org/officeDocument/2006/relationships/hyperlink" Target="https://www.afaqs.com/news/advertising/shah-rukh-khan-gets-the-vip-treatment-in-vis-new-ad-12513906" TargetMode="External"/><Relationship Id="rId779" Type="http://schemas.openxmlformats.org/officeDocument/2006/relationships/hyperlink" Target="https://www.afaqs.com/news/advertising/fcb-group-india-onboards-14-new-clients-across-agencies-8649932" TargetMode="External"/><Relationship Id="rId780" Type="http://schemas.openxmlformats.org/officeDocument/2006/relationships/hyperlink" Target="https://www.storyboard18.com/brand-makers/bharatpe-names-yugal-tiwari-chief-product-and-marketing-officer-ws-l-110693.htm" TargetMode="External"/><Relationship Id="rId781" Type="http://schemas.openxmlformats.org/officeDocument/2006/relationships/hyperlink" Target="https://www.afaqs.com/tags/schbang?page=2" TargetMode="External"/><Relationship Id="rId782" Type="http://schemas.openxmlformats.org/officeDocument/2006/relationships/hyperlink" Target="https://www.storyboard18.com/brand-makers/jupiter-money-names-adityan-kayalakal-as-vp-head-of-marketing-66226.htm" TargetMode="External"/><Relationship Id="rId783" Type="http://schemas.openxmlformats.org/officeDocument/2006/relationships/hyperlink" Target="https://www.medianews4u.com/lowe-lintas-bags-creative-mandate-for-amaron/" TargetMode="External"/><Relationship Id="rId784" Type="http://schemas.openxmlformats.org/officeDocument/2006/relationships/hyperlink" Target="https://www.medianews4u.com/apollo-tyres-and-vml-india-unveil-new-apterra-suv-campaign-featuring-sachin-tendulkar/" TargetMode="External"/><Relationship Id="rId785" Type="http://schemas.openxmlformats.org/officeDocument/2006/relationships/hyperlink" Target="https://www.afaqs.com/news/advertising/bajaj-promises-toughness-and-and-day-one-feel-in-its-summer-campaign-8892367" TargetMode="External"/><Relationship Id="rId786" Type="http://schemas.openxmlformats.org/officeDocument/2006/relationships/hyperlink" Target="https://www.afaqs.com/news/newbizwins/infectious-advertising-to-handle-the-integrated-mandate-for-bkt-tyres-in-india-11169533" TargetMode="External"/><Relationship Id="rId787" Type="http://schemas.openxmlformats.org/officeDocument/2006/relationships/hyperlink" Target="https://www.afaqs.com/news/advertising/bkt-tyres-launches-elevate-your-drive-campaign-with-ranveer-singh-11209237" TargetMode="External"/><Relationship Id="rId788" Type="http://schemas.openxmlformats.org/officeDocument/2006/relationships/hyperlink" Target="https://www.goodadsmatter.com/post/moonshot" TargetMode="External"/><Relationship Id="rId789" Type="http://schemas.openxmlformats.org/officeDocument/2006/relationships/hyperlink" Target="https://campaignbriefasia.com/2026/09/09/talented-casts-cars24s-ceo-in-a-legendary-new-role-as-king-vikram-in-latest-campaign/" TargetMode="External"/><Relationship Id="rId790" Type="http://schemas.openxmlformats.org/officeDocument/2006/relationships/hyperlink" Target="https://www.medianews4u.com/ogilvy-india-puts-zoya-akhtars-direction-to-the-ultimate-test-in-new-ceat-tyres-campaign/" TargetMode="External"/><Relationship Id="rId791" Type="http://schemas.openxmlformats.org/officeDocument/2006/relationships/hyperlink" Target="https://www.afaqs.com/news/advertising/one-hand-clap-the-agency-that-got-ms-dhoni-to-re-enact-ranbir-kapoors-animal-8970115" TargetMode="External"/><Relationship Id="rId792" Type="http://schemas.openxmlformats.org/officeDocument/2006/relationships/hyperlink" Target="https://www.medianews4u.com/hashtag-orange-unveils-dum-bhi-bharosa-bhi-campaign-for-escorts-kubotas-mu-series/" TargetMode="External"/><Relationship Id="rId793" Type="http://schemas.openxmlformats.org/officeDocument/2006/relationships/hyperlink" Target="https://www.socialsamosa.com/industry-updates/spikes-asia-winners-leo-india-apac-agency-of-year-11208984" TargetMode="External"/><Relationship Id="rId794" Type="http://schemas.openxmlformats.org/officeDocument/2006/relationships/hyperlink" Target="https://www.medianews4u.com/bc-web-wise-relaunches-gatsby-with-gottagroove-campaign/" TargetMode="External"/><Relationship Id="rId795" Type="http://schemas.openxmlformats.org/officeDocument/2006/relationships/hyperlink" Target="https://www.afaqs.com/news/advertising/hero-destinis-new-campaign-puts-dads-in-the-heros-seat-12152141" TargetMode="External"/><Relationship Id="rId796" Type="http://schemas.openxmlformats.org/officeDocument/2006/relationships/hyperlink" Target="https://www.medianews4u.com/hero-motocorp-turns-tibetan-prayer-flags-into-first-aid-kits-for-himalayan-bikers/" TargetMode="External"/><Relationship Id="rId797" Type="http://schemas.openxmlformats.org/officeDocument/2006/relationships/hyperlink" Target="https://www.exchange4media.com/companies/cheil-x.html" TargetMode="External"/><Relationship Id="rId798" Type="http://schemas.openxmlformats.org/officeDocument/2006/relationships/hyperlink" Target="https://www.medianews4u.com/hero-motocorp-launches-high-octane-campaign-for-xtreme-power-brand-featuring-virat-kohli/" TargetMode="External"/><Relationship Id="rId799" Type="http://schemas.openxmlformats.org/officeDocument/2006/relationships/hyperlink" Target="https://www.medianews4u.com/grey-82-5-secures-creative-mandate-for-imperial-blue/" TargetMode="External"/><Relationship Id="rId800" Type="http://schemas.openxmlformats.org/officeDocument/2006/relationships/hyperlink" Target="https://www.afaqs.com/news/newbizwins/grey-825-bags-creative-mandate-for-imperial-blue-12026565" TargetMode="External"/><Relationship Id="rId801" Type="http://schemas.openxmlformats.org/officeDocument/2006/relationships/hyperlink" Target="https://www.medianews4u.com/webenza-secures-digital-creative-mandate-for-joy-personal-care/" TargetMode="External"/><Relationship Id="rId802" Type="http://schemas.openxmlformats.org/officeDocument/2006/relationships/hyperlink" Target="https://www.socialsamosa.com/2022/02/viral-pitch-influencer-marketing-mandate-lotus-herbals/" TargetMode="External"/><Relationship Id="rId803" Type="http://schemas.openxmlformats.org/officeDocument/2006/relationships/hyperlink" Target="https://www.medianews4u.com/radico-khaitan-appoints-adglobal360-as-integrated-digital-media-partner-to-strengthen-consumer-engagement/" TargetMode="External"/><Relationship Id="rId804" Type="http://schemas.openxmlformats.org/officeDocument/2006/relationships/hyperlink" Target="https://www.socialsamosa.com/cannes-lions/havas-cannes-lions-2024-mortein-mamaearth-campaigns-4596158" TargetMode="External"/><Relationship Id="rId805" Type="http://schemas.openxmlformats.org/officeDocument/2006/relationships/hyperlink" Target="https://www.afaqs.com/news/advertising/mamaearths-latest-campaign-showcases-the-beauty-of-glass-like-skin-with-its-rice-facewash" TargetMode="External"/><Relationship Id="rId806" Type="http://schemas.openxmlformats.org/officeDocument/2006/relationships/hyperlink" Target="https://www.medianews4u.com/tilaknagar-industries-appoints-apostrophe-ventures-as-corporate-and-brand-pr-partner/" TargetMode="External"/><Relationship Id="rId807" Type="http://schemas.openxmlformats.org/officeDocument/2006/relationships/hyperlink" Target="https://www.hakuhodo-global.com/news/hakuhodo-india-network-secures-16-prestigious-awards-at-e4m-automotive-marketing-awards-2026.html" TargetMode="External"/><Relationship Id="rId808" Type="http://schemas.openxmlformats.org/officeDocument/2006/relationships/hyperlink" Target="https://www.medianews4u.com/kartik-aaryan-leads-mcdowells-sodas-new-campaign-celebrating-friendship-and-unforgettable-firsts/" TargetMode="External"/><Relationship Id="rId809" Type="http://schemas.openxmlformats.org/officeDocument/2006/relationships/hyperlink" Target="https://www.medianews4u.com/house-of-mcdowells-soda-takes-its-yaari-story-in-a-new-direction-with-kartik-aaryan/" TargetMode="External"/><Relationship Id="rId810" Type="http://schemas.openxmlformats.org/officeDocument/2006/relationships/hyperlink" Target="https://www.medianews4u.com/bc-web-wise-secures-digital-mandate-for-mschief/" TargetMode="External"/><Relationship Id="rId811" Type="http://schemas.openxmlformats.org/officeDocument/2006/relationships/hyperlink" Target="https://www.afaqs.com/tags/tonic-worldwide" TargetMode="External"/><Relationship Id="rId812" Type="http://schemas.openxmlformats.org/officeDocument/2006/relationships/hyperlink" Target="https://www.medianews4u.com/dentsu-creative-webchutney-new-holland-unveil-asli-hero-ki-asli-taaqat-to-honour-indias-farmers/" TargetMode="External"/><Relationship Id="rId813" Type="http://schemas.openxmlformats.org/officeDocument/2006/relationships/hyperlink" Target="https://www.exchange4media.com/pr-and-corporate-communication-news/digitas-india-wins-digital-communications-mandate-for-okaya-120939.html" TargetMode="External"/><Relationship Id="rId814" Type="http://schemas.openxmlformats.org/officeDocument/2006/relationships/hyperlink" Target="https://www.afaqs.com/tags/tonic-worldwide" TargetMode="External"/><Relationship Id="rId815" Type="http://schemas.openxmlformats.org/officeDocument/2006/relationships/hyperlink" Target="https://www.afaqs.com/news/advertising/why-ponds-and-ogilvy-believe-googly-woogly-wooksh-still-matters-12203275" TargetMode="External"/><Relationship Id="rId816" Type="http://schemas.openxmlformats.org/officeDocument/2006/relationships/hyperlink" Target="https://www.afaqs.com/news/advertising/enormous-highlights-ralson-tyres-durability-in-new-campaign-11805738" TargetMode="External"/><Relationship Id="rId817" Type="http://schemas.openxmlformats.org/officeDocument/2006/relationships/hyperlink" Target="https://www.medianews4u.com/saatchi-saatchi-reimagines-renault-kiger-launch-with-gamified-billboard/" TargetMode="External"/><Relationship Id="rId818" Type="http://schemas.openxmlformats.org/officeDocument/2006/relationships/hyperlink" Target="https://www.medianews4u.com/sga-growth-advisors-wins-pr-and-social-media-mandate-for-renee-cosmetics/" TargetMode="External"/><Relationship Id="rId819" Type="http://schemas.openxmlformats.org/officeDocument/2006/relationships/hyperlink" Target="https://www.storyboard18.com/agency-news/santoor-appoints-tilt-brand-solutions-as-agency-on-record-95223.htm" TargetMode="External"/><Relationship Id="rId820" Type="http://schemas.openxmlformats.org/officeDocument/2006/relationships/hyperlink" Target="https://www.afaqs.com/news/newbizwins/santoor-appoints-tilt-brand-solutions-as-agency-on-record-11727983" TargetMode="External"/><Relationship Id="rId821" Type="http://schemas.openxmlformats.org/officeDocument/2006/relationships/hyperlink" Target="https://www.afaqs.com/news/newbizwins/image-stereo-wins-the-strategic-pr-brand-mandate-for-som-distilleries-breweries-9360384" TargetMode="External"/><Relationship Id="rId822" Type="http://schemas.openxmlformats.org/officeDocument/2006/relationships/hyperlink" Target="https://www.hakuhodo-global.com/news/hakuhodo-india-network-secures-16-prestigious-awards-at-e4m-automotive-marketing-awards-2026.html" TargetMode="External"/><Relationship Id="rId823" Type="http://schemas.openxmlformats.org/officeDocument/2006/relationships/hyperlink" Target="https://www.medianews4u.com/ogilvy-india-crafts-new-brand-film-showcasing-tata-motors-cvs-better-always-vision/" TargetMode="External"/><Relationship Id="rId824" Type="http://schemas.openxmlformats.org/officeDocument/2006/relationships/hyperlink" Target="https://www.storyboard18.com/agency-news/dentsu-wins-tvs-motor-media-mandate-ws-l-106734.htm" TargetMode="External"/><Relationship Id="rId825" Type="http://schemas.openxmlformats.org/officeDocument/2006/relationships/hyperlink" Target="https://www.medianews4u.com/tvs-motors-campaign-protect-little-riders-looks-to-create-awareness-on-child-safety/" TargetMode="External"/><Relationship Id="rId826" Type="http://schemas.openxmlformats.org/officeDocument/2006/relationships/hyperlink" Target="https://www.afaqs.com/news/newbizwins/the-minimalist-wins-integrated-digital-mandate-for-tyresnmore-12249540" TargetMode="External"/><Relationship Id="rId827" Type="http://schemas.openxmlformats.org/officeDocument/2006/relationships/hyperlink" Target="https://www.afaqs.com/topic/lowe-lintas" TargetMode="External"/><Relationship Id="rId828" Type="http://schemas.openxmlformats.org/officeDocument/2006/relationships/hyperlink" Target="https://www.medianews4u.com/the-betterwaytowax-campaign-is-veets-attempt-to-empower-women-with-confidence-and-offers-them-a-better-method-of-hair-removal/" TargetMode="External"/><Relationship Id="rId829" Type="http://schemas.openxmlformats.org/officeDocument/2006/relationships/hyperlink" Target="https://www.indianweb2.com/2026/07/accenture-in-advanced-talks-to-acquire.html" TargetMode="External"/><Relationship Id="rId830" Type="http://schemas.openxmlformats.org/officeDocument/2006/relationships/hyperlink" Target="https://www.afaqs.com/tags/moonshot" TargetMode="External"/><Relationship Id="rId831" Type="http://schemas.openxmlformats.org/officeDocument/2006/relationships/hyperlink" Target="https://www.medianews4u.com/idp-education-appoints-weber-shandwick-as-its-communication-partner/" TargetMode="External"/><Relationship Id="rId832" Type="http://schemas.openxmlformats.org/officeDocument/2006/relationships/hyperlink" Target="https://www.manifest-media.in/marketing/070825/pr-pundit-havas-red-secures-communications-mandate-of-jbcn-group-of-sc.html" TargetMode="External"/><Relationship Id="rId833" Type="http://schemas.openxmlformats.org/officeDocument/2006/relationships/hyperlink" Target="https://www.medianews4u.com/amazon-and-ogilvy-unveil-from-everything-store-to-everyday-store-campaign-to-reflect-new-brand-direction/" TargetMode="External"/><Relationship Id="rId834" Type="http://schemas.openxmlformats.org/officeDocument/2006/relationships/hyperlink" Target="https://www.medianews4u.com/amazon-india-relaunches-iconic-aur-dikhao-campaign-created-by-leo-burnett-india/" TargetMode="External"/><Relationship Id="rId835" Type="http://schemas.openxmlformats.org/officeDocument/2006/relationships/hyperlink" Target="https://www.storyboard18.com/brand-makers/from-talented-to-moonshot-the-new-age-agencies-redefining-advertising-in-india-86794.htm" TargetMode="External"/><Relationship Id="rId836" Type="http://schemas.openxmlformats.org/officeDocument/2006/relationships/hyperlink" Target="https://www.indianweb2.com/2026/07/accenture-in-advanced-talks-to-acquire.html" TargetMode="External"/><Relationship Id="rId837" Type="http://schemas.openxmlformats.org/officeDocument/2006/relationships/hyperlink" Target="https://www.medianews4u.com/britannias-chunkies-get-a-quirky-makeover-with-the-relatable-eathappens-campaign/" TargetMode="External"/><Relationship Id="rId838" Type="http://schemas.openxmlformats.org/officeDocument/2006/relationships/hyperlink" Target="https://www.afaqs.com/news/advertising/coca-cola-launches-the-lost-voices-campaign-for-fifa-world-cup-12148451" TargetMode="External"/><Relationship Id="rId839" Type="http://schemas.openxmlformats.org/officeDocument/2006/relationships/hyperlink" Target="https://www.socialsamosa.com/samosa-snippets/bbdo-tbwa-mccann-bring-omnicom-reshaped-empire-10841609" TargetMode="External"/><Relationship Id="rId840" Type="http://schemas.openxmlformats.org/officeDocument/2006/relationships/hyperlink" Target="https://www.afaqs.com/people-spotting/dabur-names-herjit-s-bhalla-india-ceo-mohit-malhotra-global-ceo-11124785" TargetMode="External"/><Relationship Id="rId841" Type="http://schemas.openxmlformats.org/officeDocument/2006/relationships/hyperlink" Target="https://www.schbang.com/news-centre" TargetMode="External"/><Relationship Id="rId842" Type="http://schemas.openxmlformats.org/officeDocument/2006/relationships/hyperlink" Target="https://www.afaqs.com/news/advertising/parles-new-ad-showcases-londonderry-as-a-generational-symbol-of-love-8449297" TargetMode="External"/><Relationship Id="rId843" Type="http://schemas.openxmlformats.org/officeDocument/2006/relationships/hyperlink" Target="https://www.afaqs.com/news/newbizwins/famous-innovations-wins-the-creative-duties-of-nilkamal-sleep-9496503" TargetMode="External"/><Relationship Id="rId844" Type="http://schemas.openxmlformats.org/officeDocument/2006/relationships/hyperlink" Target="https://www.medianews4u.com/experience-commerce-secures-social-media-mandate-for-parle-candy-culture/" TargetMode="External"/><Relationship Id="rId845" Type="http://schemas.openxmlformats.org/officeDocument/2006/relationships/hyperlink" Target="https://www.afaqs.com/news/advertising/mars-petcare-awards-digital-mandate-to-22feet-tribal-worldwide" TargetMode="External"/><Relationship Id="rId846" Type="http://schemas.openxmlformats.org/officeDocument/2006/relationships/hyperlink" Target="https://www.afaqs.com/news/advertising/how-enormous-is-winning-most-of-its-new-business-without-pitching-10996334" TargetMode="External"/><Relationship Id="rId847" Type="http://schemas.openxmlformats.org/officeDocument/2006/relationships/hyperlink" Target="https://www.socialsamosa.com/samosa-snippets/as-mullen-vanishes-tbwalintas-lives-on-10867606" TargetMode="External"/><Relationship Id="rId848" Type="http://schemas.openxmlformats.org/officeDocument/2006/relationships/hyperlink" Target="https://www.afaqs.com/news/newbizwins/tonic-worldwide-wins-airpay-moneys-digital-marketing-mandate-12029612" TargetMode="External"/><Relationship Id="rId849" Type="http://schemas.openxmlformats.org/officeDocument/2006/relationships/hyperlink" Target="https://www.medianews4u.com/amfi-partners-mirum-india-and-webengage-to-drive-martech-strategy-for-their-mutual-fund-sahi-hai-campaign/" TargetMode="External"/><Relationship Id="rId850" Type="http://schemas.openxmlformats.org/officeDocument/2006/relationships/hyperlink" Target="https://www.afaqs.com/news/newbizwins/concept-communications-wins-creative-mandate-for-amfis-mutual-funds-sahi-hai-campaign-11024109" TargetMode="External"/><Relationship Id="rId851" Type="http://schemas.openxmlformats.org/officeDocument/2006/relationships/hyperlink" Target="https://www.storyboard18.com/agency-news/dentsu-creative-isobar-wins-bandhan-banks-creative-mandate-after-multi-agency-pitch-105098.htm" TargetMode="External"/><Relationship Id="rId852" Type="http://schemas.openxmlformats.org/officeDocument/2006/relationships/hyperlink" Target="https://www.medianews4u.com/bandhan-bank-unveils-new-brand-campaign-jahaan-bandhan-wahaan-trust/" TargetMode="External"/><Relationship Id="rId853" Type="http://schemas.openxmlformats.org/officeDocument/2006/relationships/hyperlink" Target="https://www.medianews4u.com/big-bowl-taps-lyxelflamingo-as-social-and-media-partner-to-drive-digital-led-growth/" TargetMode="External"/><Relationship Id="rId854" Type="http://schemas.openxmlformats.org/officeDocument/2006/relationships/hyperlink" Target="https://www.storyboard18.com/brand-marketing/exclusive-kinnect-wins-creative-mandate-for-burger-king-india-99209.htm" TargetMode="External"/><Relationship Id="rId855" Type="http://schemas.openxmlformats.org/officeDocument/2006/relationships/hyperlink" Target="https://www.adgully.com/post/16015/omnicoms-kinnect-bags-burger-king-indias-integrated-creative-mandate" TargetMode="External"/><Relationship Id="rId856" Type="http://schemas.openxmlformats.org/officeDocument/2006/relationships/hyperlink" Target="https://www.medianews4u.com/chinese-wok-awards-integrated-mandate-to-havas-creative-india-and-arena-media/" TargetMode="External"/><Relationship Id="rId857" Type="http://schemas.openxmlformats.org/officeDocument/2006/relationships/hyperlink" Target="https://www.afaqs.com/news/newbizwins/havas-creative-india-arena-media-win-chinese-wok-mandate-11168077" TargetMode="External"/><Relationship Id="rId858" Type="http://schemas.openxmlformats.org/officeDocument/2006/relationships/hyperlink" Target="https://www.storyboard18.com/agency-news/mccann-worldgroup-leads-indian-wins-at-dad-awards-2025-67113.htm" TargetMode="External"/><Relationship Id="rId859" Type="http://schemas.openxmlformats.org/officeDocument/2006/relationships/hyperlink" Target="https://www.medianews4u.com/google-pay-launches-pocket-money-campaign-with-tbwa-lintas-to-drive-financial-independence-among-teenagers/" TargetMode="External"/><Relationship Id="rId860" Type="http://schemas.openxmlformats.org/officeDocument/2006/relationships/hyperlink" Target="https://www.afaqs.com/news/newbizwins/gullak-appoints-the-womb-as-its-strategic-and-creative-partner-12215182" TargetMode="External"/><Relationship Id="rId861" Type="http://schemas.openxmlformats.org/officeDocument/2006/relationships/hyperlink" Target="https://www.medianews4u.com/contract-advertising-wins-the-mandate-for-haldirams/" TargetMode="External"/><Relationship Id="rId862" Type="http://schemas.openxmlformats.org/officeDocument/2006/relationships/hyperlink" Target="https://www.medianews4u.com/publicis-groupe-south-asia-appoints-paritosh-srivastava-and-snehasis-bose-to-lead-bbh-india/" TargetMode="External"/><Relationship Id="rId863" Type="http://schemas.openxmlformats.org/officeDocument/2006/relationships/hyperlink" Target="https://www.afaqs.com/news/advertising/how-enormous-is-winning-most-of-its-new-business-without-pitching-10996334" TargetMode="External"/><Relationship Id="rId864" Type="http://schemas.openxmlformats.org/officeDocument/2006/relationships/hyperlink" Target="https://www.afaqs.com/tags/digital-refresh-networks" TargetMode="External"/><Relationship Id="rId865" Type="http://schemas.openxmlformats.org/officeDocument/2006/relationships/hyperlink" Target="https://www.medianews4u.com/bc-web-wise-wins-digital-mandate-for-lic-housing-finance/" TargetMode="External"/><Relationship Id="rId866" Type="http://schemas.openxmlformats.org/officeDocument/2006/relationships/hyperlink" Target="https://www.medianews4u.com/mpokket-appoints-bc-web-wise-to-strengthen-ai-led-search-and-digital-discovery-strategy/" TargetMode="External"/><Relationship Id="rId867" Type="http://schemas.openxmlformats.org/officeDocument/2006/relationships/hyperlink" Target="https://www.exchange4media.com/advertising-news/muthoot-fincorp-launches-campaign-with-shah-rukh-khan-134851.html" TargetMode="External"/><Relationship Id="rId868" Type="http://schemas.openxmlformats.org/officeDocument/2006/relationships/hyperlink" Target="https://www.storyboard18.com/agency-news/papa-johns-india-names-dentsu-as-integrated-agency-partner-80083.htm" TargetMode="External"/><Relationship Id="rId869" Type="http://schemas.openxmlformats.org/officeDocument/2006/relationships/hyperlink" Target="https://www.dentsu.com/in/en/our-news/papa-johns-india-appoints-dentsu-as-integrated-agency-partner" TargetMode="External"/><Relationship Id="rId870" Type="http://schemas.openxmlformats.org/officeDocument/2006/relationships/hyperlink" Target="https://www.socialsamosa.com/samosa-snippets/bbdo-tbwa-mccann-bring-omnicom-reshaped-empire-10841609" TargetMode="External"/><Relationship Id="rId871" Type="http://schemas.openxmlformats.org/officeDocument/2006/relationships/hyperlink" Target="https://www.medianews4u.com/ogilvy-india-launches-humour-led-campaign-for-phonepe-mutual-funds-to-encourage-confident-investing/" TargetMode="External"/><Relationship Id="rId872" Type="http://schemas.openxmlformats.org/officeDocument/2006/relationships/hyperlink" Target="https://www.indianweb2.com/2026/07/accenture-in-advanced-talks-to-acquire.html" TargetMode="External"/><Relationship Id="rId873" Type="http://schemas.openxmlformats.org/officeDocument/2006/relationships/hyperlink" Target="https://www.afaqs.com/news/advertising/pizza-huts-no-interruption-only-satisfaction-campaign-unveils-melts-a-meal-for-on-the-go-consumers" TargetMode="External"/><Relationship Id="rId874" Type="http://schemas.openxmlformats.org/officeDocument/2006/relationships/hyperlink" Target="https://www.storyboard18.com/advertising/policybazaar-awards-rs-200-250-crore-media-mandate-to-havas-108043.htm" TargetMode="External"/><Relationship Id="rId875" Type="http://schemas.openxmlformats.org/officeDocument/2006/relationships/hyperlink" Target="https://www.dentsu.com/in/en/our-news/dentsu-creative-bags-integrated-creative-mandate-for-popeyes-india" TargetMode="External"/><Relationship Id="rId876" Type="http://schemas.openxmlformats.org/officeDocument/2006/relationships/hyperlink" Target="https://www.medianews4u.com/madchatter-bags-pr-mandate-of-p2p-lending-platform-rang-de/" TargetMode="External"/><Relationship Id="rId877" Type="http://schemas.openxmlformats.org/officeDocument/2006/relationships/hyperlink" Target="https://www.medianews4u.com/verve-media-bags-social-media-mandate-for-rasoi-raga/" TargetMode="External"/><Relationship Id="rId878" Type="http://schemas.openxmlformats.org/officeDocument/2006/relationships/hyperlink" Target="https://campaignbriefasia.com/2025/09/05/the-work-2025-hot-list-2-ddb-mudra-group-india/" TargetMode="External"/><Relationship Id="rId879" Type="http://schemas.openxmlformats.org/officeDocument/2006/relationships/hyperlink" Target="https://www.medianews4u.com/verve-media-bags-video-strategy-and-content-creation-mandate-for-shriram-general-insurance/" TargetMode="External"/><Relationship Id="rId880" Type="http://schemas.openxmlformats.org/officeDocument/2006/relationships/hyperlink" Target="https://www.afaqs.com/news/newbizwins/white-rivers-media-wins-smfg-india-credits-digital-mandate-10917627" TargetMode="External"/><Relationship Id="rId881" Type="http://schemas.openxmlformats.org/officeDocument/2006/relationships/hyperlink" Target="https://campaignbriefasia.com/2026/08/17/talented-turns-the-back-of-billboards-into-a-symbol-of-support-for-star-health-insurance/" TargetMode="External"/><Relationship Id="rId882" Type="http://schemas.openxmlformats.org/officeDocument/2006/relationships/hyperlink" Target="https://www.storyboard18.com/agency-news/sbi-hands-digital-marketing-mandate-to-omnicom-media-india-100466.htm" TargetMode="External"/><Relationship Id="rId883" Type="http://schemas.openxmlformats.org/officeDocument/2006/relationships/hyperlink" Target="https://www.medianews4u.com/sbi-launches-celebrations-unlimited-campaign-conceptualized-by-fcb-kinnect-to-promote-festive-loans/" TargetMode="External"/><Relationship Id="rId884" Type="http://schemas.openxmlformats.org/officeDocument/2006/relationships/hyperlink" Target="https://www.goodadsmatter.com/post/moonshot" TargetMode="External"/><Relationship Id="rId885" Type="http://schemas.openxmlformats.org/officeDocument/2006/relationships/hyperlink" Target="https://www.afaqs.com/news/advertising/when-the-star-client-stumbles-building-resilience-in-indias-new-age-ad-agencies-10477604" TargetMode="External"/><Relationship Id="rId886" Type="http://schemas.openxmlformats.org/officeDocument/2006/relationships/hyperlink" Target="https://www.afaqs.com/news/newbizwins/hashtag-orange-bags-marketing-mandate-for-frankfinn-12505549" TargetMode="External"/><Relationship Id="rId887" Type="http://schemas.openxmlformats.org/officeDocument/2006/relationships/hyperlink" Target="https://www.medianews4u.com/uti-mutual-funds-sip-karo-sipizen-bano-investor-education-campaign-encourages-investors-to-build-financial-discipline-through-consistent-sip-investing/" TargetMode="External"/><Relationship Id="rId888" Type="http://schemas.openxmlformats.org/officeDocument/2006/relationships/hyperlink" Target="https://www.afaqs.com/news/newbizwins/omnicom-medias-omd-india-wins-ventura-securities-integrated-media-mandate-12457523" TargetMode="External"/><Relationship Id="rId889" Type="http://schemas.openxmlformats.org/officeDocument/2006/relationships/hyperlink" Target="https://www.afaqs.com/news/newbizwins/mccann-india-wins-3m-consumer-business-creative-mandate-12250026" TargetMode="External"/><Relationship Id="rId890" Type="http://schemas.openxmlformats.org/officeDocument/2006/relationships/hyperlink" Target="https://www.afaqs.com/news/advertising/famous-innovations-wins-5-major-mandates-in-h2-strengthens-geographical-expansion-11727022" TargetMode="External"/><Relationship Id="rId891" Type="http://schemas.openxmlformats.org/officeDocument/2006/relationships/hyperlink" Target="https://www.afaqs.com/news/advertising/amazon-now-takes-a-dig-at-quick-commerce-charges-with-new-campaign-12226512" TargetMode="External"/><Relationship Id="rId892" Type="http://schemas.openxmlformats.org/officeDocument/2006/relationships/hyperlink" Target="https://www.afaqs.com/news/advertising/apsara-zestas-new-campaign-celebrates-the-joy-of-writing-12159662" TargetMode="External"/><Relationship Id="rId893" Type="http://schemas.openxmlformats.org/officeDocument/2006/relationships/hyperlink" Target="https://www.afaqs.com/news/advertising/famous-innovations-wins-5-major-mandates-in-h2-strengthens-geographical-expansion-11727022" TargetMode="External"/><Relationship Id="rId894" Type="http://schemas.openxmlformats.org/officeDocument/2006/relationships/hyperlink" Target="https://www.afaqs.com/news/advertising/baidyanath-rhuma-oil-ad-is-a-new-take-on-pain-relief" TargetMode="External"/><Relationship Id="rId895" Type="http://schemas.openxmlformats.org/officeDocument/2006/relationships/hyperlink" Target="https://www.medianews4u.com/bajaj-strengthens-connections-with-todays-youth-through-summer-campaigns-for-fans-and-air-coolers/" TargetMode="External"/><Relationship Id="rId896" Type="http://schemas.openxmlformats.org/officeDocument/2006/relationships/hyperlink" Target="https://www.medianews4u.com/grapes-worldwide-crafts-quirky-stories-for-bikanos-dil-ki-mano-enjoy-bikano-campaign/" TargetMode="External"/><Relationship Id="rId897" Type="http://schemas.openxmlformats.org/officeDocument/2006/relationships/hyperlink" Target="https://www.socialsamosa.com/2021/03/havas-creative-india-digital-communication-mandate-itc-bingo/" TargetMode="External"/><Relationship Id="rId898" Type="http://schemas.openxmlformats.org/officeDocument/2006/relationships/hyperlink" Target="https://www.afaqs.com/tags/tonic-worldwide" TargetMode="External"/><Relationship Id="rId899" Type="http://schemas.openxmlformats.org/officeDocument/2006/relationships/hyperlink" Target="https://www.afaqs.com/news/advertising/kinnect-bags-digital-mandate-for-blue-star" TargetMode="External"/><Relationship Id="rId900" Type="http://schemas.openxmlformats.org/officeDocument/2006/relationships/hyperlink" Target="https://campaignbriefasia.com/2026/04/02/boost-milkshake-finds-the-new-secret-of-mahi-energy-in-vml-india-campaign/" TargetMode="External"/><Relationship Id="rId901" Type="http://schemas.openxmlformats.org/officeDocument/2006/relationships/hyperlink" Target="https://campaignbriefasia.com/2026/02/09/cadbury-5-star-ends-the-war-on-valentines-day-with-twist-filled-ogilvy-india-campaign/" TargetMode="External"/><Relationship Id="rId902" Type="http://schemas.openxmlformats.org/officeDocument/2006/relationships/hyperlink" Target="https://campaignbriefasia.com/2026/08/10/ogilvy-india-brings-sibling-banter-to-life-for-cadbury-celebrations-raksha-bandhan-campaign/" TargetMode="External"/><Relationship Id="rId903" Type="http://schemas.openxmlformats.org/officeDocument/2006/relationships/hyperlink" Target="https://www.afaqs.com/topic/mccann-worldgroup-india" TargetMode="External"/><Relationship Id="rId904" Type="http://schemas.openxmlformats.org/officeDocument/2006/relationships/hyperlink" Target="https://www.medianews4u.com/saatchi-saatchi-india-highlights-structural-strength-with-captain-steel-tvc-featuring-sourav-ganguly/" TargetMode="External"/><Relationship Id="rId905" Type="http://schemas.openxmlformats.org/officeDocument/2006/relationships/hyperlink" Target="https://www.afaqs.com/news/advertising/ds-group-puts-catch-pink-rock-salt-in-the-spotlight-with-first-tvc-11745565" TargetMode="External"/><Relationship Id="rId906" Type="http://schemas.openxmlformats.org/officeDocument/2006/relationships/hyperlink" Target="https://www.afaqs.com/news/advertising/aamir-khan-time-travels-for-charged-by-thums-upthis-time-as-a-caveman-8678455" TargetMode="External"/><Relationship Id="rId907" Type="http://schemas.openxmlformats.org/officeDocument/2006/relationships/hyperlink" Target="https://www.medianews4u.com/cleartrip-and-leo-burnett-orchard-highlight-the-benefits-of-clear-advantage-in-a-new-campaign/" TargetMode="External"/><Relationship Id="rId908" Type="http://schemas.openxmlformats.org/officeDocument/2006/relationships/hyperlink" Target="https://www.goodadsmatter.com/post/talented" TargetMode="External"/><Relationship Id="rId909" Type="http://schemas.openxmlformats.org/officeDocument/2006/relationships/hyperlink" Target="https://www.medianews4u.com/lowe-lintas-wins-creative-mandate-for-cofsils/" TargetMode="External"/><Relationship Id="rId910" Type="http://schemas.openxmlformats.org/officeDocument/2006/relationships/hyperlink" Target="https://campaignbriefasia.com/2025/04/04/ogilvy-india-takes-minimalist-approach-to-latest-ad-campaign-for-coke-zero/" TargetMode="External"/><Relationship Id="rId911" Type="http://schemas.openxmlformats.org/officeDocument/2006/relationships/hyperlink" Target="https://www.medianews4u.com/bimbo-bakeries-indias-new-cremtreat-campaign-share-karne-ka-mann-kare-aur-nahi-bhi-aims-to-express-innocence-and-playfulness/" TargetMode="External"/><Relationship Id="rId912" Type="http://schemas.openxmlformats.org/officeDocument/2006/relationships/hyperlink" Target="https://www.pulpstrategy.com/?portfolio=chooseblackforwhite-dabur-charcoals-bold-narrative" TargetMode="External"/><Relationship Id="rId913" Type="http://schemas.openxmlformats.org/officeDocument/2006/relationships/hyperlink" Target="https://www.indianweb2.com/2026/07/accenture-in-advanced-talks-to-acquire.html" TargetMode="External"/><Relationship Id="rId914" Type="http://schemas.openxmlformats.org/officeDocument/2006/relationships/hyperlink" Target="https://www.medianews4u.com/dettol-fresh-introduces-12-hour-freshness-to-keep-indians-always-ready/" TargetMode="External"/><Relationship Id="rId915" Type="http://schemas.openxmlformats.org/officeDocument/2006/relationships/hyperlink" Target="https://www.afaqs.com/news/mktg/dinshaws-draws-on-kamblis-journey-for-dildaaribut-how-far-is-too-far-11771596" TargetMode="External"/><Relationship Id="rId916" Type="http://schemas.openxmlformats.org/officeDocument/2006/relationships/hyperlink" Target="https://www.afaqs.com/news/advertising/dish-tv-turns-small-switches-into-always-on-viewing-11735391" TargetMode="External"/><Relationship Id="rId917" Type="http://schemas.openxmlformats.org/officeDocument/2006/relationships/hyperlink" Target="https://www.afaqs.com/news/newbizwins/dr-willmar-schwabes-dizester-assigns-creative-mandate-to-hakuhodowyng-10733385" TargetMode="External"/><Relationship Id="rId918" Type="http://schemas.openxmlformats.org/officeDocument/2006/relationships/hyperlink" Target="https://www.goodadsmatter.com/post/moonshot" TargetMode="External"/><Relationship Id="rId919" Type="http://schemas.openxmlformats.org/officeDocument/2006/relationships/hyperlink" Target="https://www.medianews4u.com/vml-india-creates-rainbow-classrooms-for-durexs-campaign-helping-indian-students-express-feelings-and-tackle-gender-identity-issues/" TargetMode="External"/><Relationship Id="rId920" Type="http://schemas.openxmlformats.org/officeDocument/2006/relationships/hyperlink" Target="https://www.afaqs.com/topic/tbwa-lintas" TargetMode="External"/><Relationship Id="rId921" Type="http://schemas.openxmlformats.org/officeDocument/2006/relationships/hyperlink" Target="https://www.medianews4u.com/cheils-experience-commerce-wins-digital-and-media-mandate-for-eveready/" TargetMode="External"/><Relationship Id="rId922" Type="http://schemas.openxmlformats.org/officeDocument/2006/relationships/hyperlink" Target="https://www.afaqs.com/news/newbizwins/eveready-appoints-the-minimalist-as-its-digital-agency-partner-10596647" TargetMode="External"/><Relationship Id="rId923" Type="http://schemas.openxmlformats.org/officeDocument/2006/relationships/hyperlink" Target="https://www.medianews4u.com/ogilvy-redefines-pujo-communication-with-culture-over-clutter/" TargetMode="External"/><Relationship Id="rId924" Type="http://schemas.openxmlformats.org/officeDocument/2006/relationships/hyperlink" Target="https://www.medianews4u.com/fiesta-india-condoms-film-conceptualised-and-executed-by-tonic-worldwide-leverages-gen-z-pop-culture-and-aims-to-redefine-category-messaging/" TargetMode="External"/><Relationship Id="rId925" Type="http://schemas.openxmlformats.org/officeDocument/2006/relationships/hyperlink" Target="https://www.medianews4u.com/lowe-lintas-campaign-for-flipkart-health-uses-humour-to-strengthen-the-brands-presence-in-up/" TargetMode="External"/><Relationship Id="rId926" Type="http://schemas.openxmlformats.org/officeDocument/2006/relationships/hyperlink" Target="https://www.medianews4u.com/lk-saatchi-saatchis-campaign-showcases-ac-refrigerants-role-in-staying-cool-during-summer/" TargetMode="External"/><Relationship Id="rId927" Type="http://schemas.openxmlformats.org/officeDocument/2006/relationships/hyperlink" Target="https://www.dentsu.com/in/en/our-news/dentsu-creative-india-bags-integrated-creative-mandate-for-gemini-edibles-and-fats-india" TargetMode="External"/><Relationship Id="rId928" Type="http://schemas.openxmlformats.org/officeDocument/2006/relationships/hyperlink" Target="https://www.manifest-media.in/advertising/081025/indiaa-awards-2025-moonshot-and-ogilvy-dominate-with-four-wins-each.html" TargetMode="External"/><Relationship Id="rId929" Type="http://schemas.openxmlformats.org/officeDocument/2006/relationships/hyperlink" Target="https://www.medianews4u.com/rediffusion-bags-creative-mandate-for-glucon-d/" TargetMode="External"/><Relationship Id="rId930" Type="http://schemas.openxmlformats.org/officeDocument/2006/relationships/hyperlink" Target="https://campaignbriefasia.com/2024/10/23/ogilvy-india-promotes-googles-interactive-search-experience-via-googlies-on-google/" TargetMode="External"/><Relationship Id="rId931" Type="http://schemas.openxmlformats.org/officeDocument/2006/relationships/hyperlink" Target="https://www.medianews4u.com/lk-saatchi-saatchi-bags-grupo-bimbos-creative-and-media-mandate/" TargetMode="External"/><Relationship Id="rId932" Type="http://schemas.openxmlformats.org/officeDocument/2006/relationships/hyperlink" Target="https://www.afaqs.com/news/advertising/sideways-bags-creative-mandate-for-pidilites-haisha-paints" TargetMode="External"/><Relationship Id="rId933" Type="http://schemas.openxmlformats.org/officeDocument/2006/relationships/hyperlink" Target="https://www.medianews4u.com/digital-refresh-networks-bags-the-digital-mandate-for-haribol/" TargetMode="External"/><Relationship Id="rId934" Type="http://schemas.openxmlformats.org/officeDocument/2006/relationships/hyperlink" Target="https://www.medianews4u.com/harpic-launches-new-harpic-bathroom-ultra-cleaner-appoints-rohit-shetty-as-brand-ambassador/" TargetMode="External"/><Relationship Id="rId935" Type="http://schemas.openxmlformats.org/officeDocument/2006/relationships/hyperlink" Target="https://www.afaqs.com/news/newbizwins" TargetMode="External"/><Relationship Id="rId936" Type="http://schemas.openxmlformats.org/officeDocument/2006/relationships/hyperlink" Target="https://www.campaignindia.in/article/dentsu-bags-integrated-marketing-mandate-for-hell-energy-drink/48skmntrs290bsxedvmpd2q6ww" TargetMode="External"/><Relationship Id="rId937" Type="http://schemas.openxmlformats.org/officeDocument/2006/relationships/hyperlink" Target="https://www.afaqs.com/news/newbizwins/hell-energy-drink-names-dentsu-india-as-integrated-marketing-partner-11725549" TargetMode="External"/><Relationship Id="rId938" Type="http://schemas.openxmlformats.org/officeDocument/2006/relationships/hyperlink" Target="https://campaignbriefasia.com/2026/08/05/bbdo-india-reminds-readers-ink-doesnt-lie-in-new-campaign-for-the-indian-newspaper-society/" TargetMode="External"/><Relationship Id="rId939" Type="http://schemas.openxmlformats.org/officeDocument/2006/relationships/hyperlink" Target="https://www.medianews4u.com/sociowash-bags-the-creative-mandate-for-indrive/" TargetMode="External"/><Relationship Id="rId940" Type="http://schemas.openxmlformats.org/officeDocument/2006/relationships/hyperlink" Target="https://www.dentsu.com/in/en/our-news/dentsu-creative-webchutney-launches-new-campaign-for-iqoo-z11" TargetMode="External"/><Relationship Id="rId941" Type="http://schemas.openxmlformats.org/officeDocument/2006/relationships/hyperlink" Target="https://www.medianews4u.com/itc-candyman-expands-portfolio-with-soft-chews-targets-evolving-kids-preferences-with-kuch-bhi-karega-campaign-2/" TargetMode="External"/><Relationship Id="rId942" Type="http://schemas.openxmlformats.org/officeDocument/2006/relationships/hyperlink" Target="https://www.medianews4u.com/bbh-india-wins-creative-mandate-of-japfa/" TargetMode="External"/><Relationship Id="rId943" Type="http://schemas.openxmlformats.org/officeDocument/2006/relationships/hyperlink" Target="https://manifest-media.in/advertising/280526/hakuhodo-bags-creative-mandate-for-jindal-stainless.html" TargetMode="External"/><Relationship Id="rId944" Type="http://schemas.openxmlformats.org/officeDocument/2006/relationships/hyperlink" Target="https://www.afaqs.com/news/newbizwins/jindal-stainless-brings-hakuhodo-on-board-for-integrated-marketing-mandate-11882627" TargetMode="External"/><Relationship Id="rId945" Type="http://schemas.openxmlformats.org/officeDocument/2006/relationships/hyperlink" Target="https://www.medianews4u.com/pankaj-tripathi-stars-in-jio-bps-latest-fuel-campaign-crafted-by-ogilvy/" TargetMode="External"/><Relationship Id="rId946" Type="http://schemas.openxmlformats.org/officeDocument/2006/relationships/hyperlink" Target="https://www.afaqs.com/news/advertising/saatchi-saatchi-propagate-bags-digital-mandate-for-jio-bp" TargetMode="External"/><Relationship Id="rId947" Type="http://schemas.openxmlformats.org/officeDocument/2006/relationships/hyperlink" Target="https://www.medianews4u.com/creativefuel-drives-multi-platform-digital-launch-for-jiohotstar-x-superman/" TargetMode="External"/><Relationship Id="rId948" Type="http://schemas.openxmlformats.org/officeDocument/2006/relationships/hyperlink" Target="https://www.adobomagazine.com/campaign-spotlight/jiomart-and-lk-saatchi-and-saatchi-bring-the-relationship-between-shopkeeper-and-customer-to-the-fore/" TargetMode="External"/><Relationship Id="rId949" Type="http://schemas.openxmlformats.org/officeDocument/2006/relationships/hyperlink" Target="https://www.medianews4u.com/ranveer-singh-deepika-padukone-bring-fayda-meter-to-life-in-jiomart-campaign/" TargetMode="External"/><Relationship Id="rId950" Type="http://schemas.openxmlformats.org/officeDocument/2006/relationships/hyperlink" Target="https://www.afaqs.com/news/newbizwins/liqvd-asia-bags-four-new-mandates-11255145" TargetMode="External"/><Relationship Id="rId951" Type="http://schemas.openxmlformats.org/officeDocument/2006/relationships/hyperlink" Target="https://www.medianews4u.com/rediffusion-bags-creative-media-mandate-for-keya-foods/" TargetMode="External"/><Relationship Id="rId952" Type="http://schemas.openxmlformats.org/officeDocument/2006/relationships/hyperlink" Target="https://www.afaqs.com/news/mktg/kitkat-vml-install-slow-vending-machine-activation-11720525" TargetMode="External"/><Relationship Id="rId953" Type="http://schemas.openxmlformats.org/officeDocument/2006/relationships/hyperlink" Target="https://www.afaqs.com/news/newbizwins/kurlon-appoints-tonic-worldwide-as-digital-marketing-partner-12013101" TargetMode="External"/><Relationship Id="rId954" Type="http://schemas.openxmlformats.org/officeDocument/2006/relationships/hyperlink" Target="https://www.medianews4u.com/kurlon-awards-digital-marketing-mandate-to-tonic-worldwide/" TargetMode="External"/><Relationship Id="rId955" Type="http://schemas.openxmlformats.org/officeDocument/2006/relationships/hyperlink" Target="https://www.afaqs.com/news/advertising/lahori-zeera-returns-with-a-sequel-not-a-reboot-10993407" TargetMode="External"/><Relationship Id="rId956" Type="http://schemas.openxmlformats.org/officeDocument/2006/relationships/hyperlink" Target="https://www.afaqs.com/news/newbizwins/sw-network-bags-social-media-mandate-for-lava-mobiles-11258403" TargetMode="External"/><Relationship Id="rId957" Type="http://schemas.openxmlformats.org/officeDocument/2006/relationships/hyperlink" Target="https://www.manifest-media.in/advertising/140226/effie-awards-2025-leo-wins-agency-of-the-year-nestle-is-client-of.html" TargetMode="External"/><Relationship Id="rId958" Type="http://schemas.openxmlformats.org/officeDocument/2006/relationships/hyperlink" Target="https://www.medianews4u.com/tag/cut-the-crap/" TargetMode="External"/><Relationship Id="rId959" Type="http://schemas.openxmlformats.org/officeDocument/2006/relationships/hyperlink" Target="https://www.storyboard18.com/advertising/coca-colas-limca-shifts-creative-mandate-to-atom-network-93735.htm" TargetMode="External"/><Relationship Id="rId960" Type="http://schemas.openxmlformats.org/officeDocument/2006/relationships/hyperlink" Target="https://www.afaqs.com/news/newbizwins/livpure-appoints-weber-shandwick-as-communications-partner-10788859" TargetMode="External"/><Relationship Id="rId961" Type="http://schemas.openxmlformats.org/officeDocument/2006/relationships/hyperlink" Target="https://www.afaqs.com/news/newbizwins/livpure-appoints-sw-network-to-handle-digital-communications-11705112" TargetMode="External"/><Relationship Id="rId962" Type="http://schemas.openxmlformats.org/officeDocument/2006/relationships/hyperlink" Target="https://www.afaqs.com/news/newbizwins/dentsu-creative-india-bags-lottes-creative-mandate-12125904" TargetMode="External"/><Relationship Id="rId963" Type="http://schemas.openxmlformats.org/officeDocument/2006/relationships/hyperlink" Target="https://www.socialsamosa.com/industry-updates/dentsu-creative-creative-mandate-lotte-india-12125886" TargetMode="External"/><Relationship Id="rId964" Type="http://schemas.openxmlformats.org/officeDocument/2006/relationships/hyperlink" Target="https://www.medianews4u.com/madhur-sugar-dentsu-creative-webchutney-transform-packaging-with-the-good-cut-for-a-greener-tomorrow/" TargetMode="External"/><Relationship Id="rId965" Type="http://schemas.openxmlformats.org/officeDocument/2006/relationships/hyperlink" Target="https://www.medianews4u.com/grapes-worldwide-crafts-real-time-ai-powered-campaign-pokos-day-out-for-mamypoko-pants/" TargetMode="External"/><Relationship Id="rId966" Type="http://schemas.openxmlformats.org/officeDocument/2006/relationships/hyperlink" Target="https://www.afaqs.com/news/advertising/mccain-celebrates-family-bonds-and-festive-togetherness-with-usha-uthups-jugalbandi-campaign-10584487" TargetMode="External"/><Relationship Id="rId967" Type="http://schemas.openxmlformats.org/officeDocument/2006/relationships/hyperlink" Target="https://www.schbang.com/news-centre" TargetMode="External"/><Relationship Id="rId968" Type="http://schemas.openxmlformats.org/officeDocument/2006/relationships/hyperlink" Target="https://www.schbang.com/work" TargetMode="External"/><Relationship Id="rId969" Type="http://schemas.openxmlformats.org/officeDocument/2006/relationships/hyperlink" Target="https://www.medianews4u.com/leo-burnett-india-wins-the-creative-mandate-for-meta/" TargetMode="External"/><Relationship Id="rId970" Type="http://schemas.openxmlformats.org/officeDocument/2006/relationships/hyperlink" Target="https://bestmediainfo.com/2023/08/bbh-india-wins-integrated-creative-mandate-of-microtek" TargetMode="External"/><Relationship Id="rId971" Type="http://schemas.openxmlformats.org/officeDocument/2006/relationships/hyperlink" Target="https://campaignbriefasia.com/2022/02/08/bbdo-india-lands-milkbaskets-brand-mandate/" TargetMode="External"/><Relationship Id="rId972" Type="http://schemas.openxmlformats.org/officeDocument/2006/relationships/hyperlink" Target="https://www.medianews4u.com/moovs-campaign-stresses-pain-relief-commitment-for-all-ages/" TargetMode="External"/><Relationship Id="rId973" Type="http://schemas.openxmlformats.org/officeDocument/2006/relationships/hyperlink" Target="https://www.afaqs.com/tags/havas-creative-india" TargetMode="External"/><Relationship Id="rId974" Type="http://schemas.openxmlformats.org/officeDocument/2006/relationships/hyperlink" Target="https://campaignbriefasia.com/2026/06/04/ogilvy-india-helps-mother-dairy-launch-indias-first-naturally-degradable-milk-pouch/" TargetMode="External"/><Relationship Id="rId975" Type="http://schemas.openxmlformats.org/officeDocument/2006/relationships/hyperlink" Target="https://www.dentsu.com/in/en/our-news/motorola-india-appoints-dentsu-creative-as-creative-partner" TargetMode="External"/><Relationship Id="rId976" Type="http://schemas.openxmlformats.org/officeDocument/2006/relationships/hyperlink" Target="https://www.medianews4u.com/lowe-lintas-and-naukri-team-up-for-a-youth-oriented-campaign/" TargetMode="External"/><Relationship Id="rId977" Type="http://schemas.openxmlformats.org/officeDocument/2006/relationships/hyperlink" Target="https://www.medianews4u.com/navbharat-times-fcb-ulka-introduce-gender-inclusive-hindi-with-barabari-ki-bhasha/" TargetMode="External"/><Relationship Id="rId978" Type="http://schemas.openxmlformats.org/officeDocument/2006/relationships/hyperlink" Target="https://www.medianews4u.com/publicis-india-to-manage-the-creative-mandate-of-emamis-power-brand-navratna/" TargetMode="External"/><Relationship Id="rId979" Type="http://schemas.openxmlformats.org/officeDocument/2006/relationships/hyperlink" Target="https://www.afaqs.com/news/newbizwins/social-panga-wins-the-marketing-mandate-for-neo-by-nippon-paint-9480460" TargetMode="External"/><Relationship Id="rId980" Type="http://schemas.openxmlformats.org/officeDocument/2006/relationships/hyperlink" Target="https://www.medianews4u.com/social-panga-bags-marketing-mandate-for-neo-by-nippon-paint/" TargetMode="External"/><Relationship Id="rId981" Type="http://schemas.openxmlformats.org/officeDocument/2006/relationships/hyperlink" Target="https://www.socialsamosa.com/samosa-snippets/tracing-legacy-publicis-india-transition-into-bbh-11021947" TargetMode="External"/><Relationship Id="rId982" Type="http://schemas.openxmlformats.org/officeDocument/2006/relationships/hyperlink" Target="https://www.socialsamosa.com/samosa-snippets/bbdo-tbwa-mccann-bring-omnicom-reshaped-empire-10841609" TargetMode="External"/><Relationship Id="rId983" Type="http://schemas.openxmlformats.org/officeDocument/2006/relationships/hyperlink" Target="https://www.medianews4u.com/nescafe-sunrise-launches-campaign-honoring-coffee-farmers/" TargetMode="External"/><Relationship Id="rId984" Type="http://schemas.openxmlformats.org/officeDocument/2006/relationships/hyperlink" Target="https://www.medianews4u.com/publicis-groupe-south-asia-appoints-paritosh-srivastava-and-snehasis-bose-to-lead-bbh-india/" TargetMode="External"/><Relationship Id="rId985" Type="http://schemas.openxmlformats.org/officeDocument/2006/relationships/hyperlink" Target="https://www.afaqs.com/news/advertising/the-womb-wins-nilkamals-brand-communications-mandate-7305118" TargetMode="External"/><Relationship Id="rId986" Type="http://schemas.openxmlformats.org/officeDocument/2006/relationships/hyperlink" Target="https://www.medianews4u.com/digital-refresh-networks-wins-digital-mandate-for-nissin-geki-korean-noodles/" TargetMode="External"/><Relationship Id="rId987" Type="http://schemas.openxmlformats.org/officeDocument/2006/relationships/hyperlink" Target="https://www.afaqs.com/news/newbizwins/repindia-bags-integrated-creative-mandate-for-oppo-india-10541040" TargetMode="External"/><Relationship Id="rId988" Type="http://schemas.openxmlformats.org/officeDocument/2006/relationships/hyperlink" Target="https://www.afaqs.com/news/advertising/oppo-reveals-full-aawara-gang-story-with-siddhant-ishaan-pooja-following-ranbir-kapoors-teaser-9442028" TargetMode="External"/><Relationship Id="rId989" Type="http://schemas.openxmlformats.org/officeDocument/2006/relationships/hyperlink" Target="https://www.afaqs.com/news/newbizwins/liqvd-asia-bags-four-new-mandates-11255145" TargetMode="External"/><Relationship Id="rId990" Type="http://schemas.openxmlformats.org/officeDocument/2006/relationships/hyperlink" Target="https://www.socialsamosa.com/industry-updates/leo-india-alin-choubey-vice-president-digital-12151129" TargetMode="External"/><Relationship Id="rId991" Type="http://schemas.openxmlformats.org/officeDocument/2006/relationships/hyperlink" Target="https://www.afaqs.com/news/newbizwins/punt-creative-bags-digital-duties-for-piramal-consumer-healthcares-flagship-brands-9762988" TargetMode="External"/><Relationship Id="rId992" Type="http://schemas.openxmlformats.org/officeDocument/2006/relationships/hyperlink" Target="https://news.google.com/rss/search?q=%2222feet+Tribal%22&amp;hl=en-IN&amp;gl=IN&amp;ceid=IN:en" TargetMode="External"/><Relationship Id="rId993" Type="http://schemas.openxmlformats.org/officeDocument/2006/relationships/hyperlink" Target="https://www.prnewswire.com/in/news-releases/powerade-enters-india-as-official-sports-drink-of-the-icc-mens-t20-world-cup-2026-302699467.html" TargetMode="External"/><Relationship Id="rId994" Type="http://schemas.openxmlformats.org/officeDocument/2006/relationships/hyperlink" Target="https://www.afaqs.com/news/newbizwins/rediffusion-kolkata-awarded-creative-mandate-for-prabhuji-9009602" TargetMode="External"/><Relationship Id="rId995" Type="http://schemas.openxmlformats.org/officeDocument/2006/relationships/hyperlink" Target="https://www.afaqs.com/news/newbizwins/fcb-kinnect-wins-full-funnel-creative-mandate-for-prega-news-8742531" TargetMode="External"/><Relationship Id="rId996" Type="http://schemas.openxmlformats.org/officeDocument/2006/relationships/hyperlink" Target="https://www.afaqs.com/news/newbizwins/creativefuel-wins-social-media-digital-mandate-for-priyagold-11092247" TargetMode="External"/><Relationship Id="rId997" Type="http://schemas.openxmlformats.org/officeDocument/2006/relationships/hyperlink" Target="https://www.medianews4u.com/creativefuel-bags-social-media-digital-mandate-for-priyagold/" TargetMode="External"/><Relationship Id="rId998" Type="http://schemas.openxmlformats.org/officeDocument/2006/relationships/hyperlink" Target="https://www.afaqs.com/news/advertising/rediffusion-raids-create-an-ai-film-for-danones-protinex-9331706" TargetMode="External"/><Relationship Id="rId999" Type="http://schemas.openxmlformats.org/officeDocument/2006/relationships/hyperlink" Target="https://www.medianews4u.com/ds-groups-pulse-candy-brings-maha-kumbh-to-life-with-ai-powered-storytelling-immersive-experiences/" TargetMode="External"/><Relationship Id="rId1000" Type="http://schemas.openxmlformats.org/officeDocument/2006/relationships/hyperlink" Target="https://www.medianews4u.com/quess-corp-appoints-msl-india-as-strategic-communications-partner/" TargetMode="External"/><Relationship Id="rId1001" Type="http://schemas.openxmlformats.org/officeDocument/2006/relationships/hyperlink" Target="https://www.afaqs.com/news/advertising/rasna-launches-thick-concentrate-rasna-rich-with-a-nostalgic-campaign-8865647" TargetMode="External"/><Relationship Id="rId1002" Type="http://schemas.openxmlformats.org/officeDocument/2006/relationships/hyperlink" Target="https://www.medianews4u.com/its-fizzin-amazing-sidharth-malhotra-endorses-daburs-real-fizzin-beverages-range/" TargetMode="External"/><Relationship Id="rId1003" Type="http://schemas.openxmlformats.org/officeDocument/2006/relationships/hyperlink" Target="https://www.afaqs.com/news/newbizwins/creativeland-asia-wins-social-media-mandate-for-realme-11458316" TargetMode="External"/><Relationship Id="rId1004" Type="http://schemas.openxmlformats.org/officeDocument/2006/relationships/hyperlink" Target="https://www.afaqs.com/tags/leo-burnett-india" TargetMode="External"/><Relationship Id="rId1005" Type="http://schemas.openxmlformats.org/officeDocument/2006/relationships/hyperlink" Target="https://www.afaqs.com/news/advertising/revital-highlights-the-impact-of-stress-in-new-ad-with-vicky-kaushal-12166198" TargetMode="External"/><Relationship Id="rId1006" Type="http://schemas.openxmlformats.org/officeDocument/2006/relationships/hyperlink" Target="https://www.afaqs.com/news/advertising/when-beera-became-jeera-how-talented-crafted-a-rd-burman-earworm-for-rimzims-return-11159354" TargetMode="External"/><Relationship Id="rId1007" Type="http://schemas.openxmlformats.org/officeDocument/2006/relationships/hyperlink" Target="https://www.medianews4u.com/lintas-live-wins-social-media-pr-mandates-for-bayer-indias-saridon-supradyn/" TargetMode="External"/><Relationship Id="rId1008" Type="http://schemas.openxmlformats.org/officeDocument/2006/relationships/hyperlink" Target="https://www.medianews4u.com/fcb-ulka-bags-creative-mandate-for-sensodent-group/" TargetMode="External"/><Relationship Id="rId1009" Type="http://schemas.openxmlformats.org/officeDocument/2006/relationships/hyperlink" Target="https://www.afaqs.com/news/advertising/schbang-bags-the-social-media-mandate-for-sharechat-and-moj" TargetMode="External"/><Relationship Id="rId1010" Type="http://schemas.openxmlformats.org/officeDocument/2006/relationships/hyperlink" Target="https://www.afaqs.com/news/newbizwins/smart-bazaar-appoints-mccann-worldgroup-india-to-lead-creative-mandate-9765343" TargetMode="External"/><Relationship Id="rId1011" Type="http://schemas.openxmlformats.org/officeDocument/2006/relationships/hyperlink" Target="https://www.medianews4u.com/varun-dhawan-headlines-softovacs-new-digital-campaign-kabz-ka-kabza-conceptualised-by-contract-advertising/" TargetMode="External"/><Relationship Id="rId1012" Type="http://schemas.openxmlformats.org/officeDocument/2006/relationships/hyperlink" Target="https://www.dentsu.com/in/en/our-news/dentsu-creative-india-bags-digital-mandate-for-sony-entertainment-television" TargetMode="External"/><Relationship Id="rId1013" Type="http://schemas.openxmlformats.org/officeDocument/2006/relationships/hyperlink" Target="https://www.adgully.com/post/16000/vml-india-bags-black-elephant-at-kyoorius-creative-awards-2026" TargetMode="External"/><Relationship Id="rId1014" Type="http://schemas.openxmlformats.org/officeDocument/2006/relationships/hyperlink" Target="https://monk-e.in/" TargetMode="External"/><Relationship Id="rId1015" Type="http://schemas.openxmlformats.org/officeDocument/2006/relationships/hyperlink" Target="https://campaignbriefasia.com/2025/03/07/star-cement-champions-north-east-spirit-with-boxer-lovelina-borgohain-in-vml-india-film/" TargetMode="External"/><Relationship Id="rId1016" Type="http://schemas.openxmlformats.org/officeDocument/2006/relationships/hyperlink" Target="https://www.afaqs.com/news/advertising/india-ends-cannes-lions-2026-run-with-just-five-metals-12110431" TargetMode="External"/><Relationship Id="rId1017" Type="http://schemas.openxmlformats.org/officeDocument/2006/relationships/hyperlink" Target="https://www.medianews4u.com/storia-unveils-marketing-campaign-for-their-range-of-shakes-ads-to-span-across-ott-tv-digital-and-social-media/" TargetMode="External"/><Relationship Id="rId1018" Type="http://schemas.openxmlformats.org/officeDocument/2006/relationships/hyperlink" Target="https://www.medianews4u.com/vml-indias-new-campaign-with-janhvi-kapoor-kicks-off-sugar-frees-health-evolution/" TargetMode="External"/><Relationship Id="rId1019" Type="http://schemas.openxmlformats.org/officeDocument/2006/relationships/hyperlink" Target="https://campaignbriefasia.com/2026/02/12/jasprit-bumrah-shows-his-fun-side-in-sunfeast-yippee-magic-masala-film-via-ogilvy-india/" TargetMode="External"/><Relationship Id="rId1020" Type="http://schemas.openxmlformats.org/officeDocument/2006/relationships/hyperlink" Target="https://www.goodadsmatter.com/post/talented" TargetMode="External"/><Relationship Id="rId1021" Type="http://schemas.openxmlformats.org/officeDocument/2006/relationships/hyperlink" Target="https://www.medianews4u.com/white-rivers-media-wins-25-business-accounts-in-2023s-q4/" TargetMode="External"/><Relationship Id="rId1022" Type="http://schemas.openxmlformats.org/officeDocument/2006/relationships/hyperlink" Target="https://www.indianweb2.com/2026/07/accenture-in-advanced-talks-to-acquire.html" TargetMode="External"/><Relationship Id="rId1023" Type="http://schemas.openxmlformats.org/officeDocument/2006/relationships/hyperlink" Target="https://www.afaqs.com/news/advertising/rediffusion-unveils-ai-generated-christmas-film-for-tata-power-8543786" TargetMode="External"/><Relationship Id="rId1024" Type="http://schemas.openxmlformats.org/officeDocument/2006/relationships/hyperlink" Target="https://campaignbriefasia.com/2025/09/02/vml-india-and-thums-up-introduce-two-hands-ritual-with-shah-rukh-khan-and-jagapathi-babu/" TargetMode="External"/><Relationship Id="rId1025" Type="http://schemas.openxmlformats.org/officeDocument/2006/relationships/hyperlink" Target="https://www.medianews4u.com/bc-web-wise-tiger-balm-shine-spotlight-on-forest-guards-this-international-tigers-day/" TargetMode="External"/><Relationship Id="rId1026" Type="http://schemas.openxmlformats.org/officeDocument/2006/relationships/hyperlink" Target="https://www.medianews4u.com/vml-india-and-tirupati-edible-oils-bring-a-festive-twist-to-breathless-with-siddharth-mahadevan/" TargetMode="External"/><Relationship Id="rId1027" Type="http://schemas.openxmlformats.org/officeDocument/2006/relationships/hyperlink" Target="https://www.medianews4u.com/india-at-cannes-lions-2026-17-shortlists-and-counting-as-ogilvy-vml-lead-the-charge/" TargetMode="External"/><Relationship Id="rId1028" Type="http://schemas.openxmlformats.org/officeDocument/2006/relationships/hyperlink" Target="https://www.afaqs.com/news/advertising/too-yumm-revamps-brand-positioning-introduces-twisties-snack-in-new-ad" TargetMode="External"/><Relationship Id="rId1029" Type="http://schemas.openxmlformats.org/officeDocument/2006/relationships/hyperlink" Target="https://www.afaqs.com/news/advertising/truecaller-awards-creative-duties-to-thinkstr" TargetMode="External"/><Relationship Id="rId1030" Type="http://schemas.openxmlformats.org/officeDocument/2006/relationships/hyperlink" Target="https://www.socialsamosa.com/industry-updates/dentsu-creative-india-expands-mandate-ttk-healthcare-3587888" TargetMode="External"/><Relationship Id="rId1031" Type="http://schemas.openxmlformats.org/officeDocument/2006/relationships/hyperlink" Target="https://www.afaqs.com/news/advertising/urbn-appoints-curativity-as-creative-partner" TargetMode="External"/><Relationship Id="rId1032" Type="http://schemas.openxmlformats.org/officeDocument/2006/relationships/hyperlink" Target="https://www.afaqs.com/news/advertising/vanish-aims-to-make-uniforms-uniform-again-with-vanishthedifference-campaign" TargetMode="External"/><Relationship Id="rId1033" Type="http://schemas.openxmlformats.org/officeDocument/2006/relationships/hyperlink" Target="https://www.afaqs.com/news/advertising/how-enormous-is-winning-most-of-its-new-business-without-pitching-10996334" TargetMode="External"/><Relationship Id="rId1034" Type="http://schemas.openxmlformats.org/officeDocument/2006/relationships/hyperlink" Target="https://www.medianews4u.com/grapes-worldwide-crafts-new-kuch-bhi-campaign-for-vibhor-oils/" TargetMode="External"/><Relationship Id="rId1035" Type="http://schemas.openxmlformats.org/officeDocument/2006/relationships/hyperlink" Target="https://www.medianews4u.com/vims-equal-vows-campaign-champions-gender-equality-in-households-with-collaborative-partnerships/" TargetMode="External"/><Relationship Id="rId1036" Type="http://schemas.openxmlformats.org/officeDocument/2006/relationships/hyperlink" Target="https://www.schbang.com/news-centre" TargetMode="External"/><Relationship Id="rId1037" Type="http://schemas.openxmlformats.org/officeDocument/2006/relationships/hyperlink" Target="https://www.afaqs.com/news/newbizwins/wipro-consumer-care-appoints-wavemaker-as-integrated-media-partner-11442219" TargetMode="External"/><Relationship Id="rId1038" Type="http://schemas.openxmlformats.org/officeDocument/2006/relationships/hyperlink" Target="https://www.afaqs.com/news/newbizwins/the-womb-wins-wonder-cements-creative-and-strategy-mandate-11878818" TargetMode="External"/><Relationship Id="rId1039" Type="http://schemas.openxmlformats.org/officeDocument/2006/relationships/hyperlink" Target="https://manifest-media.in/advertising/270526/the-womb-bags-wonder-cements-brand-strategy-and-creative-mandate.html" TargetMode="External"/><Relationship Id="rId1040" Type="http://schemas.openxmlformats.org/officeDocument/2006/relationships/hyperlink" Target="https://www.agencyreporter.com/publicis-capital-bags-the-creative-mandate-of-zee5-india/" TargetMode="External"/><Relationship Id="rId1041" Type="http://schemas.openxmlformats.org/officeDocument/2006/relationships/hyperlink" Target="https://www.afaqs.com/tags/leo-burnett-india" TargetMode="External"/><Relationship Id="rId1042" Type="http://schemas.openxmlformats.org/officeDocument/2006/relationships/hyperlink" Target="https://www.afaqs.com/tags/sideways-consulting" TargetMode="External"/><Relationship Id="rId1043" Type="http://schemas.openxmlformats.org/officeDocument/2006/relationships/hyperlink" Target="https://www.afaqs.com/news/newbizwins/havas-media-network-bags-media-mandate-for-aakash-educational-services-11438357" TargetMode="External"/><Relationship Id="rId1044" Type="http://schemas.openxmlformats.org/officeDocument/2006/relationships/hyperlink" Target="https://www.afaqs.com/news/newbizwins/hashtag-orange-bags-marketing-mandate-for-frankfinn-12505549" TargetMode="External"/><Relationship Id="rId1045" Type="http://schemas.openxmlformats.org/officeDocument/2006/relationships/hyperlink" Target="https://news.google.com/rss/search?q=%22TBWA%22+India+mandate+OR+wins+OR+bags&amp;hl=en-IN&amp;gl=IN&amp;ceid=IN:en" TargetMode="External"/><Relationship Id="rId1046" Type="http://schemas.openxmlformats.org/officeDocument/2006/relationships/hyperlink" Target="https://www.afaqs.com/news/advertising/how-enormous-is-winning-most-of-its-new-business-without-pitching-10996334" TargetMode="External"/><Relationship Id="rId1047" Type="http://schemas.openxmlformats.org/officeDocument/2006/relationships/hyperlink" Target="https://www.afaqs.com/marketing/nicmar-appoints-tonic-worldwide-as-integrated-digital-marketing-partner-10560074" TargetMode="External"/><Relationship Id="rId1048" Type="http://schemas.openxmlformats.org/officeDocument/2006/relationships/hyperlink" Target="https://www.afaqs.com/news/advertising/sportz-village-advocates-for-sports-in-schools-in-its-new-campaign" TargetMode="External"/><Relationship Id="rId1049" Type="http://schemas.openxmlformats.org/officeDocument/2006/relationships/hyperlink" Target="https://www.medianews4u.com/bbh-india-wins-unischolars-creative-duties/" TargetMode="External"/><Relationship Id="rId1050" Type="http://schemas.openxmlformats.org/officeDocument/2006/relationships/hyperlink" Target="https://www.afaqs.com/tags/saatchi-saatchi-propagate" TargetMode="External"/><Relationship Id="rId1051" Type="http://schemas.openxmlformats.org/officeDocument/2006/relationships/hyperlink" Target="https://www.indianweb2.com/2026/07/accenture-in-advanced-talks-to-acquire.html" TargetMode="External"/><Relationship Id="rId1052" Type="http://schemas.openxmlformats.org/officeDocument/2006/relationships/hyperlink" Target="https://www.medianews4u.com/bbh-india-to-handle-upcoming-upgrad-campaign-to-reposition-brand/" TargetMode="External"/><Relationship Id="rId1053" Type="http://schemas.openxmlformats.org/officeDocument/2006/relationships/hyperlink" Target="https://crosshairscommunication.com/case-studies/" TargetMode="External"/><Relationship Id="rId1054" Type="http://schemas.openxmlformats.org/officeDocument/2006/relationships/hyperlink" Target="https://www.medianews4u.com/bbh-india-brings-home-a-bronze-lion-for-bassi-vs-garnier-men-facewash-campaign/" TargetMode="External"/><Relationship Id="rId1055" Type="http://schemas.openxmlformats.org/officeDocument/2006/relationships/hyperlink" Target="https://www.socialsamosa.com/industry-updates/akshay-gurnani-exits-schbang-harshil-sohil-karia-full-control-8772881" TargetMode="External"/><Relationship Id="rId1056" Type="http://schemas.openxmlformats.org/officeDocument/2006/relationships/hyperlink" Target="https://www.storyboard18.com/agency-news/loreal-india-appoints-publicis-media-as-integrated-media-agency-after-strategic-review-99678.htm" TargetMode="External"/><Relationship Id="rId1057"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afaqs.com/news/newbizwins/innocean-india-wins-digital-and-social-mandate-for-gianchand-single-malt-12539501" TargetMode="External"/><Relationship Id="rId2" Type="http://schemas.openxmlformats.org/officeDocument/2006/relationships/hyperlink" Target="https://www.storyboard18.com/brand-makers/kunal-sharma-named-sazerac-india-managing-director-ws-l-110645.htm" TargetMode="External"/><Relationship Id="rId3" Type="http://schemas.openxmlformats.org/officeDocument/2006/relationships/hyperlink" Target="https://www.manifest-media.in/marketing/240926/natural-diamond-council-relaunches-as-the-diamond-collective-with-new.html" TargetMode="External"/><Relationship Id="rId4" Type="http://schemas.openxmlformats.org/officeDocument/2006/relationships/hyperlink" Target="https://www.campaignindia.in/article/pitch-update-coca-cola-mastercard-vinfast-sleepwell-and-more/42wq85ph1ex6qsf9ngpgb9ahxk" TargetMode="External"/><Relationship Id="rId5" Type="http://schemas.openxmlformats.org/officeDocument/2006/relationships/hyperlink" Target="https://www.afaqs.com/news/newbizwins/pollinate-labs-wins-the-rebranding-mandate-for-4700bc-12506207" TargetMode="External"/><Relationship Id="rId6" Type="http://schemas.openxmlformats.org/officeDocument/2006/relationships/hyperlink" Target="https://www.afaqs.com/people-spotting/partha-ghosh-exits-air-india-after-three-and-a-half-years-12558443" TargetMode="External"/><Relationship Id="rId7" Type="http://schemas.openxmlformats.org/officeDocument/2006/relationships/hyperlink" Target="https://www.afaqs.com/corporate-communications-and-pr/arvind-appoints-swagat-lakku-as-head-of-corporate-communications-12588593" TargetMode="External"/><Relationship Id="rId8" Type="http://schemas.openxmlformats.org/officeDocument/2006/relationships/hyperlink" Target="https://www.afaqs.com/people-spotting/arvind-smartspaces-appoints-ankit-dave-as-head-of-marketing-12583232" TargetMode="External"/><Relationship Id="rId9" Type="http://schemas.openxmlformats.org/officeDocument/2006/relationships/hyperlink" Target="https://www.storyboard18.com/brand-makers/nothing-ceo-india-needs-engineering-not-just-manufacturing-ws-l-111110.htm" TargetMode="External"/><Relationship Id="rId10" Type="http://schemas.openxmlformats.org/officeDocument/2006/relationships/hyperlink" Target="https://www.afaqs.com/people-spotting/dailyobjects-appoints-zeenah-vilcassim-as-global-chief-marketing-officer-12570725" TargetMode="External"/><Relationship Id="rId11" Type="http://schemas.openxmlformats.org/officeDocument/2006/relationships/hyperlink" Target="https://www.afaqs.com/people-spotting/indigo-appoints-mayank-kumar-as-head-of-content-creative-marketing-12514196" TargetMode="External"/><Relationship Id="rId12" Type="http://schemas.openxmlformats.org/officeDocument/2006/relationships/hyperlink" Target="https://www.manifest-media.in/marketing/240926/libas-expands-beyond-apparel-with-jewellery-launch.html" TargetMode="External"/><Relationship Id="rId13" Type="http://schemas.openxmlformats.org/officeDocument/2006/relationships/hyperlink" Target="https://www.storyboard18.com/brand-makers/myntra-cmo-sunder-balasubramanian-exits-after-4-years-ws-l-111600.htm" TargetMode="External"/><Relationship Id="rId14" Type="http://schemas.openxmlformats.org/officeDocument/2006/relationships/hyperlink" Target="https://www.afaqs.com/people-spotting/vineet-shah-joins-raymond-lifestyle-as-head-omnichannel-media-12573726" TargetMode="External"/><Relationship Id="rId15" Type="http://schemas.openxmlformats.org/officeDocument/2006/relationships/hyperlink" Target="https://www.storyboard18.com/brand-makers/vijay-deverakonda-launches-skincare-brand-unhype-ws-l-110493.htm" TargetMode="External"/><Relationship Id="rId16" Type="http://schemas.openxmlformats.org/officeDocument/2006/relationships/hyperlink" Target="https://www.manifest-media.in/marketing/280926/karun-arora-ends-five-year-stint-at-vivo.html" TargetMode="External"/><Relationship Id="rId17" Type="http://schemas.openxmlformats.org/officeDocument/2006/relationships/hyperlink" Target="https://www.storyboard18.com/brand-makers/bharatpe-names-yugal-tiwari-chief-product-and-marketing-officer-ws-l-110693.htm" TargetMode="External"/><Relationship Id="rId18" Type="http://schemas.openxmlformats.org/officeDocument/2006/relationships/hyperlink" Target="https://www.afaqs.com/people-spotting/glenmark-pharmaceuticals-appoints-priyanka-tewari-as-head-of-marketing-12490366" TargetMode="External"/><Relationship Id="rId19" Type="http://schemas.openxmlformats.org/officeDocument/2006/relationships/hyperlink" Target="https://www.afaqs.com/people-spotting/maggis-category-marketing-head-kanika-juneja-steps-down-12551813" TargetMode="External"/><Relationship Id="rId20" Type="http://schemas.openxmlformats.org/officeDocument/2006/relationships/hyperlink" Target="https://www.storyboard18.com/brand-makers/orient-electric-appoints-sandhya-biswas-as-chief-marketing-and-customer-experience-officer-110669.htm" TargetMode="External"/><Relationship Id="rId21" Type="http://schemas.openxmlformats.org/officeDocument/2006/relationships/hyperlink" Target="https://www.afaqs.com/people-spotting/vishal-wadhwa-elevated-to-svp-brand-digital-marketing-at-sbi-card-12548569" TargetMode="External"/><Relationship Id="rId22" Type="http://schemas.openxmlformats.org/officeDocument/2006/relationships/hyperlink" Target="https://www.afaqs.com/people-spotting/noopur-khandekar-joins-galeries-lafayette-india-as-brand-marketing-head-12391643" TargetMode="External"/><Relationship Id="rId23" Type="http://schemas.openxmlformats.org/officeDocument/2006/relationships/hyperlink" Target="https://www.afaqs.com/people-spotting/itc-hotels-appoints-rajiv-singh-as-head-food-beverages-marketing-12250848" TargetMode="External"/><Relationship Id="rId24" Type="http://schemas.openxmlformats.org/officeDocument/2006/relationships/hyperlink" Target="https://www.afaqs.com/news/newbizwins/wpp-media-wins-integrated-media-mandate-for-lt-foods-daawat-12391507" TargetMode="External"/><Relationship Id="rId25" Type="http://schemas.openxmlformats.org/officeDocument/2006/relationships/hyperlink" Target="https://www.afaqs.com/news/newbizwins/a-simple-agency-bags-foxtales-ooh-mandate-featuring-shah-rukh-khan-12394815" TargetMode="External"/><Relationship Id="rId26" Type="http://schemas.openxmlformats.org/officeDocument/2006/relationships/hyperlink" Target="https://www.afaqs.com/news/newbizwins/adlift-wins-ai-search-visibility-mandate-from-casagrand-for-tesseract-12255953" TargetMode="External"/><Relationship Id="rId27" Type="http://schemas.openxmlformats.org/officeDocument/2006/relationships/hyperlink" Target="https://www.afaqs.com/news/newbizwins/apostrophe-ventures-wins-tilaknagar-industries-pr-mandate-12228000" TargetMode="External"/><Relationship Id="rId28" Type="http://schemas.openxmlformats.org/officeDocument/2006/relationships/hyperlink" Target="https://www.afaqs.com/news/newbizwins/liqvd-asia-bags-social-media-and-orm-mandate-for-narayana-health-12226137" TargetMode="External"/><Relationship Id="rId29" Type="http://schemas.openxmlformats.org/officeDocument/2006/relationships/hyperlink" Target="https://www.afaqs.com/news/newbizwins/maars-communicates-wins-strategic-communications-mandate-for-studio-blo-12256823" TargetMode="External"/><Relationship Id="rId30" Type="http://schemas.openxmlformats.org/officeDocument/2006/relationships/hyperlink" Target="https://www.afaqs.com/news/newbizwins/punt-creative-wins-communication-mandate-for-pizzaexpress-india-12235291" TargetMode="External"/><Relationship Id="rId31" Type="http://schemas.openxmlformats.org/officeDocument/2006/relationships/hyperlink" Target="https://www.afaqs.com/news/newbizwins/social-panga-wins-digital-mandate-for-devans-beer-gin-brands-12426681" TargetMode="External"/><Relationship Id="rId32" Type="http://schemas.openxmlformats.org/officeDocument/2006/relationships/hyperlink" Target="https://www.afaqs.com/news/newbizwins/sw-network-bags-garden-varelis-performance-marketing-mandate-12425632" TargetMode="External"/><Relationship Id="rId33" Type="http://schemas.openxmlformats.org/officeDocument/2006/relationships/hyperlink" Target="https://www.afaqs.com/people-spotting/hero-motocorp-appoints-anuj-dua-as-chief-business-officer-premium-segment-12227118" TargetMode="External"/><Relationship Id="rId34" Type="http://schemas.openxmlformats.org/officeDocument/2006/relationships/hyperlink" Target="https://www.afaqs.com/people-spotting/jsw-mg-motor-india-appoints-parth-jindal-as-chairman-12458026" TargetMode="External"/><Relationship Id="rId35" Type="http://schemas.openxmlformats.org/officeDocument/2006/relationships/hyperlink" Target="https://www.afaqs.com/people-spotting/oziva-appoints-abhishek-agrawal-as-chief-growth-officer-12443459" TargetMode="External"/><Relationship Id="rId36" Type="http://schemas.openxmlformats.org/officeDocument/2006/relationships/hyperlink" Target="https://www.storyboard18.com/agency-news/philips-home-appliances-invites-creative-agencies-for-new-brand-mandates-107318.htm" TargetMode="External"/><Relationship Id="rId37" Type="http://schemas.openxmlformats.org/officeDocument/2006/relationships/hyperlink" Target="https://www.afaqs.com/news/newbizwins/mccann-india-wins-3m-consumer-business-creative-mandate-12250026" TargetMode="External"/><Relationship Id="rId38" Type="http://schemas.openxmlformats.org/officeDocument/2006/relationships/hyperlink" Target="https://www.afaqs.com/news/newbizwins/omnicom-medias-omd-india-wins-ventura-securities-integrated-media-mandate-12457523" TargetMode="External"/><Relationship Id="rId39" Type="http://schemas.openxmlformats.org/officeDocument/2006/relationships/hyperlink" Target="https://www.storyboard18.com/agency-news/dentsu-wins-tvs-motor-media-mandate-ws-l-106734.htm" TargetMode="External"/><Relationship Id="rId40" Type="http://schemas.openxmlformats.org/officeDocument/2006/relationships/hyperlink" Target="https://www.storyboard18.com/advertising/policybazaar-awards-rs-200-250-crore-media-mandate-to-havas-108043.htm" TargetMode="External"/><Relationship Id="rId41" Type="http://schemas.openxmlformats.org/officeDocument/2006/relationships/hyperlink" Target="https://www.storyboard18.com/agency-news/dentsu-wins-tvs-motor-media-mandate-ws-l-106734.htm" TargetMode="External"/><Relationship Id="rId42" Type="http://schemas.openxmlformats.org/officeDocument/2006/relationships/hyperlink" Target="https://www.afaqs.com/news/newbizwins/team-pumpkin-bags-social-media-mandate-for-lavie-sport-12256990" TargetMode="External"/><Relationship Id="rId43" Type="http://schemas.openxmlformats.org/officeDocument/2006/relationships/hyperlink" Target="https://www.afaqs.com/people-spotting/sudhir-sitapati-quits-gcpl-as-md-and-ceo-aasif-malbari-named-successor-12250851" TargetMode="External"/><Relationship Id="rId44" Type="http://schemas.openxmlformats.org/officeDocument/2006/relationships/hyperlink" Target="https://www.afaqs.com/people-spotting/mercedes-benz-india-elevates-nandita-godbole-as-head-of-marketing-12159853" TargetMode="External"/><Relationship Id="rId45" Type="http://schemas.openxmlformats.org/officeDocument/2006/relationships/hyperlink" Target="https://www.afaqs.com/news/mktg/mercedes-benz-india-joins-indian-padel-tour-as-title-partner-12215772" TargetMode="External"/><Relationship Id="rId46" Type="http://schemas.openxmlformats.org/officeDocument/2006/relationships/hyperlink" Target="https://www.storyboard18.com/brand-marketing/bbdo-india-wins-integrated-creative-mandate-for-lt-foods-daawat-in-india-105902.htm" TargetMode="External"/><Relationship Id="rId47" Type="http://schemas.openxmlformats.org/officeDocument/2006/relationships/hyperlink" Target="https://www.afaqs.com/news/newbizwins/three-fourth-solutions-wins-marketing-mandate-for-chandrani-pearls-12204750" TargetMode="External"/><Relationship Id="rId48" Type="http://schemas.openxmlformats.org/officeDocument/2006/relationships/hyperlink" Target="https://www.afaqs.com/people-spotting/bacardi-appoints-mahesh-kanchan-as-md-for-india-southeast-asia-12162120" TargetMode="External"/><Relationship Id="rId49" Type="http://schemas.openxmlformats.org/officeDocument/2006/relationships/hyperlink" Target="https://www.afaqs.com/people-spotting/bira-91-founder-ankur-jain-steps-down-after-lender-settlement-12187504" TargetMode="External"/><Relationship Id="rId50" Type="http://schemas.openxmlformats.org/officeDocument/2006/relationships/hyperlink" Target="https://www.afaqs.com/people-spotting/k-raheja-group-appoints-vijayta-nikhil-raheja-as-ceo-12208087" TargetMode="External"/><Relationship Id="rId51" Type="http://schemas.openxmlformats.org/officeDocument/2006/relationships/hyperlink" Target="https://www.afaqs.com/people-spotting/sneha-kanukolanu-joins-mia-by-tanishq-as-marketing-lead-12158434" TargetMode="External"/><Relationship Id="rId52" Type="http://schemas.openxmlformats.org/officeDocument/2006/relationships/hyperlink" Target="https://www.afaqs.com/people-spotting/raymond-realty-appoints-karishma-mehta-as-cluster-head-marketing-12204838" TargetMode="External"/><Relationship Id="rId53" Type="http://schemas.openxmlformats.org/officeDocument/2006/relationships/hyperlink" Target="https://www.afaqs.com/news/brands/is-jsws-volkswagen-deal-the-start-of-a-new-homegrown-auto-giant-12189046" TargetMode="External"/><Relationship Id="rId54" Type="http://schemas.openxmlformats.org/officeDocument/2006/relationships/hyperlink" Target="https://www.afaqs.com/people-spotting/virgio-appoints-hansa-nigam-as-chief-marketing-officer-12138383" TargetMode="External"/><Relationship Id="rId55" Type="http://schemas.openxmlformats.org/officeDocument/2006/relationships/hyperlink" Target="https://www.afaqs.com/people-spotting/excitel-broadband-appoints-aditya-jain-as-chief-marketing-officer-12186970" TargetMode="External"/><Relationship Id="rId56" Type="http://schemas.openxmlformats.org/officeDocument/2006/relationships/hyperlink" Target="https://www.storyboard18.com/agency-news/haier-india-media-mandate-under-review-ws-l-105850.htm" TargetMode="External"/><Relationship Id="rId57" Type="http://schemas.openxmlformats.org/officeDocument/2006/relationships/hyperlink" Target="https://www.afaqs.com/people-spotting/yum-brands-appoints-rishab-mukherjee-as-cmo-for-kfc-south-asia-12141444" TargetMode="External"/><Relationship Id="rId58" Type="http://schemas.openxmlformats.org/officeDocument/2006/relationships/hyperlink" Target="https://www.afaqs.com/people-spotting/mcdonalds-india-ws-names-mehak-jaini-as-head-of-marketing-12187427" TargetMode="External"/><Relationship Id="rId59" Type="http://schemas.openxmlformats.org/officeDocument/2006/relationships/hyperlink" Target="https://www.afaqs.com/people-spotting/former-myntra-ceo-nandita-sinha-named-swiggy-instamart-ceo-12204634" TargetMode="External"/><Relationship Id="rId60" Type="http://schemas.openxmlformats.org/officeDocument/2006/relationships/hyperlink" Target="https://www.afaqs.com/news/newbizwins/adglobal360-wins-radico-khaitans-digital-media-mandate-12017046" TargetMode="External"/><Relationship Id="rId61" Type="http://schemas.openxmlformats.org/officeDocument/2006/relationships/hyperlink" Target="https://www.storyboard18.com/agency-news/22feet-wins-social-media-mandate-for-interio-by-godrej-100832.htm" TargetMode="External"/><Relationship Id="rId62" Type="http://schemas.openxmlformats.org/officeDocument/2006/relationships/hyperlink" Target="https://www.afaqs.com/news/newbizwins/healthcare-global-enterprises-appoints-4am-worldwide-as-creative-brand-partner-12030869" TargetMode="External"/><Relationship Id="rId63" Type="http://schemas.openxmlformats.org/officeDocument/2006/relationships/hyperlink" Target="https://www.afaqs.com/news/newbizwins/creativeland-asia-delhi-bags-del-monte-indias-creative-mandate-12116891" TargetMode="External"/><Relationship Id="rId64" Type="http://schemas.openxmlformats.org/officeDocument/2006/relationships/hyperlink" Target="https://www.afaqs.com/people-spotting/neemans-appoints-akshit-dhingra-as-vp-brand-marketing-12030001" TargetMode="External"/><Relationship Id="rId65" Type="http://schemas.openxmlformats.org/officeDocument/2006/relationships/hyperlink" Target="https://www.afaqs.com/people-spotting/tata-motors-appoints-ejaz-takey-as-head-of-suv-marketing-11999514" TargetMode="External"/><Relationship Id="rId66" Type="http://schemas.openxmlformats.org/officeDocument/2006/relationships/hyperlink" Target="https://www.afaqs.com/news/newbizwins/omnicom-medias-lodestar-um-wins-amfis-integrated-media-mandate-12053173" TargetMode="External"/><Relationship Id="rId67" Type="http://schemas.openxmlformats.org/officeDocument/2006/relationships/hyperlink" Target="https://www.afaqs.com/news/newbizwins/hiveminds-bags-integrated-digital-mandate-for-dr-reddys-laboratories-12040344" TargetMode="External"/><Relationship Id="rId68" Type="http://schemas.openxmlformats.org/officeDocument/2006/relationships/hyperlink" Target="https://www.afaqs.com/news/newbizwins/kurlon-appoints-tonic-worldwide-as-digital-marketing-partner-12013101" TargetMode="External"/><Relationship Id="rId69" Type="http://schemas.openxmlformats.org/officeDocument/2006/relationships/hyperlink" Target="https://www.afaqs.com/people-spotting/boat-names-vedansh-kumar-as-chief-marketing-officer-12003685" TargetMode="External"/><Relationship Id="rId70" Type="http://schemas.openxmlformats.org/officeDocument/2006/relationships/hyperlink" Target="https://www.afaqs.com/people-spotting/dream11-cmo-vikrant-mudaliar-steps-down-12116888" TargetMode="External"/><Relationship Id="rId71" Type="http://schemas.openxmlformats.org/officeDocument/2006/relationships/hyperlink" Target="https://www.afaqs.com/people-spotting/ducati-india-elevates-amit-chauhan-to-head-of-marketing-11805878" TargetMode="External"/><Relationship Id="rId72" Type="http://schemas.openxmlformats.org/officeDocument/2006/relationships/hyperlink" Target="https://www.storyboard18.com/agency-news/loreal-india-appoints-publicis-media-as-integrated-media-agency-after-strategic-review-99678.htm" TargetMode="External"/><Relationship Id="rId73" Type="http://schemas.openxmlformats.org/officeDocument/2006/relationships/hyperlink" Target="https://www.storyboard18.com/advertising/omnicom-media-bags-netflix-indias-mandate-signalling-strategic-reset-in-ott-marketing-97341.htm" TargetMode="External"/><Relationship Id="rId74" Type="http://schemas.openxmlformats.org/officeDocument/2006/relationships/hyperlink" Target="https://www.storyboard18.com/agency-news/loreal-india-appoints-publicis-media-as-integrated-media-agency-after-strategic-review-99678.htm" TargetMode="External"/><Relationship Id="rId75" Type="http://schemas.openxmlformats.org/officeDocument/2006/relationships/hyperlink" Target="https://www.afaqs.com/news/newbizwins/22feet-bags-digital-mandate-for-royal-canin-india-11874973" TargetMode="External"/><Relationship Id="rId76" Type="http://schemas.openxmlformats.org/officeDocument/2006/relationships/hyperlink" Target="https://www.storyboard18.com/agency-news/exclusive-cheil-india-secures-samsungs-consolidated-above-the-line-media-account-following-high-stakes-pitch-99615.htm" TargetMode="External"/><Relationship Id="rId77" Type="http://schemas.openxmlformats.org/officeDocument/2006/relationships/hyperlink" Target="https://www.storyboard18.com/advertising/omnicom-media-bags-netflix-indias-mandate-signalling-strategic-reset-in-ott-marketing-97341.htm" TargetMode="External"/><Relationship Id="rId78" Type="http://schemas.openxmlformats.org/officeDocument/2006/relationships/hyperlink" Target="https://www.afaqs.com/news/newbizwins/modi-illva-appoints-the-reppro-as-strategic-communications-partner-11857700" TargetMode="External"/><Relationship Id="rId79" Type="http://schemas.openxmlformats.org/officeDocument/2006/relationships/hyperlink" Target="https://www.afaqs.com/people-spotting/heads-up-for-tails-appoints-shrutie-kher-as-head-of-marketing-11876783" TargetMode="External"/><Relationship Id="rId80" Type="http://schemas.openxmlformats.org/officeDocument/2006/relationships/hyperlink" Target="https://www.afaqs.com/people-spotting/deepesh-chhabra-joins-indusind-bank-as-head-of-marketing-and-partnerships-11786241" TargetMode="External"/><Relationship Id="rId81" Type="http://schemas.openxmlformats.org/officeDocument/2006/relationships/hyperlink" Target="https://www.afaqs.com/people-spotting/lovechild-by-masaba-appoints-joel-thottan-as-marketing-lead-11834518" TargetMode="External"/><Relationship Id="rId82" Type="http://schemas.openxmlformats.org/officeDocument/2006/relationships/hyperlink" Target="https://www.afaqs.com/people-spotting/razorpay-elevates-apuarv-sethi-to-cmo-11837471" TargetMode="External"/><Relationship Id="rId83" Type="http://schemas.openxmlformats.org/officeDocument/2006/relationships/hyperlink" Target="https://www.afaqs.com/people-spotting/samsung-india-promotes-shirish-agarwal-as-head-of-marketing-for-mx-business-11846627" TargetMode="External"/><Relationship Id="rId84" Type="http://schemas.openxmlformats.org/officeDocument/2006/relationships/hyperlink" Target="https://www.afaqs.com/people-spotting/shanu-singh-rejoins-standard-chartered-as-head-marketing-wrb-india-11805501" TargetMode="External"/><Relationship Id="rId85" Type="http://schemas.openxmlformats.org/officeDocument/2006/relationships/hyperlink" Target="https://www.storyboard18.com/brand-marketing/exclusive-kinnect-wins-creative-mandate-for-burger-king-india-99209.htm" TargetMode="External"/><Relationship Id="rId86" Type="http://schemas.openxmlformats.org/officeDocument/2006/relationships/hyperlink" Target="https://www.afaqs.com/news/newbizwins/jindal-stainless-appoints-madison-media-as-its-media-aor-11797436" TargetMode="External"/><Relationship Id="rId87" Type="http://schemas.openxmlformats.org/officeDocument/2006/relationships/hyperlink" Target="https://www.afaqs.com/news/newbizwins/the-womb-wins-wonder-cements-creative-and-strategy-mandate-11878818" TargetMode="External"/><Relationship Id="rId88" Type="http://schemas.openxmlformats.org/officeDocument/2006/relationships/hyperlink" Target="https://www.afaqs.com/people-spotting/ageas-federal-life-insurance-names-erum-kidwai-as-cmo-11876935" TargetMode="External"/><Relationship Id="rId89" Type="http://schemas.openxmlformats.org/officeDocument/2006/relationships/hyperlink" Target="https://www.afaqs.com/people-spotting/rakesh-setia-joins-runwal-as-ceo-for-luxury-segment-after-7-year-stint-at-rustomjee-11742410" TargetMode="External"/><Relationship Id="rId90" Type="http://schemas.openxmlformats.org/officeDocument/2006/relationships/hyperlink" Target="https://www.afaqs.com/news/newbizwins/red-bull-india-renews-media-mandate-with-wavemaker-11756549" TargetMode="External"/><Relationship Id="rId91" Type="http://schemas.openxmlformats.org/officeDocument/2006/relationships/hyperlink" Target="https://www.storyboard18.com/advertising/jack-daniels-appoints-22feet-as-its-integrated-creative-agency-of-record-for-india-96423.htm" TargetMode="External"/><Relationship Id="rId92" Type="http://schemas.openxmlformats.org/officeDocument/2006/relationships/hyperlink" Target="https://www.storyboard18.com/brand-marketing/exclusive-netflix-indias-influencer-mandate-under-review-96486.htm" TargetMode="External"/><Relationship Id="rId93" Type="http://schemas.openxmlformats.org/officeDocument/2006/relationships/hyperlink" Target="https://www.afaqs.com/people-spotting/akasa-air-appoints-aditi-roy-as-head-of-corporate-communications-csr-11457862" TargetMode="External"/><Relationship Id="rId94" Type="http://schemas.openxmlformats.org/officeDocument/2006/relationships/hyperlink" Target="https://bestmediainfo.com/mediainfo/mediainfo-marketing/dbs-initiates-creative-agency-review-across-six-asia-pacific-markets-including-india-11700883" TargetMode="External"/><Relationship Id="rId95" Type="http://schemas.openxmlformats.org/officeDocument/2006/relationships/hyperlink" Target="https://www.afaqs.com/people-spotting/origen-realty-appoints-poulomi-ray-as-chief-marketing-officer-11737049" TargetMode="External"/><Relationship Id="rId96" Type="http://schemas.openxmlformats.org/officeDocument/2006/relationships/hyperlink" Target="https://www.storyboard18.com/agency-news/exclusive-shaadi-coms-media-planning-mandate-up-for-review-96177.htm" TargetMode="External"/><Relationship Id="rId97" Type="http://schemas.openxmlformats.org/officeDocument/2006/relationships/hyperlink" Target="https://www.storyboard18.com/brand-makers/exclusive-jsw-steels-creative-account-up-for-review-95404.htm" TargetMode="External"/><Relationship Id="rId98" Type="http://schemas.openxmlformats.org/officeDocument/2006/relationships/hyperlink" Target="https://www.storyboard18.com/agency-news/santoor-appoints-tilt-brand-solutions-as-agency-on-record-95223.htm" TargetMode="External"/><Relationship Id="rId99" Type="http://schemas.openxmlformats.org/officeDocument/2006/relationships/hyperlink" Target="https://www.afaqs.com/news/newbizwins/wipro-consumer-care-appoints-wavemaker-as-integrated-media-partner-11442219" TargetMode="External"/><Relationship Id="rId100" Type="http://schemas.openxmlformats.org/officeDocument/2006/relationships/hyperlink" Target="https://www.afaqs.com/news/newbizwins/hell-energy-drink-names-dentsu-india-as-integrated-marketing-partner-11725549" TargetMode="External"/><Relationship Id="rId101" Type="http://schemas.openxmlformats.org/officeDocument/2006/relationships/hyperlink" Target="https://www.afaqs.com/news/newbizwins/creativeland-asia-wins-social-media-mandate-for-realme-11458316" TargetMode="External"/><Relationship Id="rId102" Type="http://schemas.openxmlformats.org/officeDocument/2006/relationships/hyperlink" Target="https://www.storyboard18.com/agency-news/santoor-appoints-tilt-brand-solutions-as-agency-on-record-95223.htm" TargetMode="External"/><Relationship Id="rId103" Type="http://schemas.openxmlformats.org/officeDocument/2006/relationships/hyperlink" Target="https://www.afaqs.com/people-spotting/ashish-mishra-parts-ways-with-acko-after-nearly-six-years-as-cmo-11745894" TargetMode="External"/><Relationship Id="rId104" Type="http://schemas.openxmlformats.org/officeDocument/2006/relationships/hyperlink" Target="https://www.afaqs.com/news/newbizwins/prohed-bags-performance-marketing-mandate-for-vianaar-11220895" TargetMode="External"/><Relationship Id="rId105" Type="http://schemas.openxmlformats.org/officeDocument/2006/relationships/hyperlink" Target="https://www.afaqs.com/news/newbizwins/swiss-military-appoints-compass-communications-as-strategic-comms-partner-11224671" TargetMode="External"/><Relationship Id="rId106" Type="http://schemas.openxmlformats.org/officeDocument/2006/relationships/hyperlink" Target="https://www.afaqs.com/news/newbizwins/liqvd-asia-bags-digital-communications-mandate-for-woodland-11187958" TargetMode="External"/><Relationship Id="rId107" Type="http://schemas.openxmlformats.org/officeDocument/2006/relationships/hyperlink" Target="https://www.afaqs.com/people-spotting/faber-castell-india-appoints-sunaina-haldar-as-director-marketing-11223305" TargetMode="External"/><Relationship Id="rId108" Type="http://schemas.openxmlformats.org/officeDocument/2006/relationships/hyperlink" Target="https://www.storyboard18.com/advertising/coca-colas-limca-shifts-creative-mandate-to-atom-network-93735.htm" TargetMode="External"/><Relationship Id="rId109" Type="http://schemas.openxmlformats.org/officeDocument/2006/relationships/hyperlink" Target="https://www.afaqs.com/news/newbizwins/havas-media-network-bags-media-mandate-for-aakash-educational-services-11438357" TargetMode="External"/><Relationship Id="rId110" Type="http://schemas.openxmlformats.org/officeDocument/2006/relationships/hyperlink" Target="https://www.storyboard18.com/advertising/coca-colas-limca-shifts-creative-mandate-to-atom-network-93735.htm" TargetMode="External"/><Relationship Id="rId111" Type="http://schemas.openxmlformats.org/officeDocument/2006/relationships/hyperlink" Target="https://www.afaqs.com/news/newbizwins/infectious-advertising-to-handle-the-integrated-mandate-for-bkt-tyres-in-india-11169533" TargetMode="External"/><Relationship Id="rId112" Type="http://schemas.openxmlformats.org/officeDocument/2006/relationships/hyperlink" Target="https://www.afaqs.com/news/newbizwins/enormous-wins-creative-mandate-for-bombay-shaving-company-11133665" TargetMode="External"/><Relationship Id="rId113" Type="http://schemas.openxmlformats.org/officeDocument/2006/relationships/hyperlink" Target="https://www.afaqs.com/people-spotting/ferrero-elevates-maria-luciani-to-head-of-marketing-11124915" TargetMode="External"/><Relationship Id="rId114" Type="http://schemas.openxmlformats.org/officeDocument/2006/relationships/hyperlink" Target="https://www.afaqs.com/people-spotting/forever-new-appoints-shifali-singh-as-country-director-india-11111573" TargetMode="External"/><Relationship Id="rId115" Type="http://schemas.openxmlformats.org/officeDocument/2006/relationships/hyperlink" Target="https://www.storyboard18.com/agency-news/exclusive-bbh-india-wins-integrated-creative-media-mandate-for-cybersecurity-app-cybx-90514.htm" TargetMode="External"/><Relationship Id="rId116" Type="http://schemas.openxmlformats.org/officeDocument/2006/relationships/hyperlink" Target="https://www.afaqs.com/people-spotting/dabur-names-herjit-s-bhalla-india-ceo-mohit-malhotra-global-ceo-11124785" TargetMode="External"/><Relationship Id="rId117" Type="http://schemas.openxmlformats.org/officeDocument/2006/relationships/hyperlink" Target="https://www.storyboard18.com/agency-news/exclusive-bmw-india-appoints-vmls-contract-advertising-india-as-creative-agency-87842.htm" TargetMode="External"/><Relationship Id="rId118" Type="http://schemas.openxmlformats.org/officeDocument/2006/relationships/hyperlink" Target="https://www.storyboard18.com/brand-marketing/exclusive-vinfast-backed-gsm-calls-creative-media-pitch-ahead-of-india-ride-hailing-launch-87951.htm" TargetMode="External"/><Relationship Id="rId119" Type="http://schemas.openxmlformats.org/officeDocument/2006/relationships/hyperlink" Target="https://www.afaqs.com/news/newbizwins/publicis-starcom-wins-flipkart-groups-750-crore-media-mandate-replaces-essencemediacom-10981998" TargetMode="External"/><Relationship Id="rId120" Type="http://schemas.openxmlformats.org/officeDocument/2006/relationships/hyperlink" Target="https://www.afaqs.com/news/newbizwins/publicis-starcom-wins-flipkart-groups-750-crore-media-mandate-replaces-essencemediacom-10981998" TargetMode="External"/><Relationship Id="rId121" Type="http://schemas.openxmlformats.org/officeDocument/2006/relationships/hyperlink" Target="https://www.afaqs.com/news/newbizwins/concept-communications-wins-creative-mandate-for-amfis-mutual-funds-sahi-hai-campaign-11024109" TargetMode="External"/><Relationship Id="rId122" Type="http://schemas.openxmlformats.org/officeDocument/2006/relationships/hyperlink" Target="https://www.storyboard18.com/advertising/wpp-finally-clinches-jaguar-land-rovers-global-mandate-86357.htm" TargetMode="External"/><Relationship Id="rId123" Type="http://schemas.openxmlformats.org/officeDocument/2006/relationships/hyperlink" Target="https://www.storyboard18.com/agency-news/exclusive-ulka-mudra-find-new-home-in-bbdo-after-omnicom-ipg-merger-shake-up-85462.htm" TargetMode="External"/><Relationship Id="rId124" Type="http://schemas.openxmlformats.org/officeDocument/2006/relationships/hyperlink" Target="https://www.medianews4u.com/pernod-ricard-india-appoints-debasree-dasgupta-as-cmo-and-global-business-development-head/" TargetMode="External"/><Relationship Id="rId125" Type="http://schemas.openxmlformats.org/officeDocument/2006/relationships/hyperlink" Target="https://www.storyboard18.com/advertising/biz-breaks-major-account-moves-and-pitches-of-2024-51970.htm" TargetMode="External"/><Relationship Id="rId126"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www.afaqs.com/news/advertising/aditya-kanthy-and-prasoon-joshi-to-steer-omnicoms-india-reboot-10829934" TargetMode="External"/><Relationship Id="rId2" Type="http://schemas.openxmlformats.org/officeDocument/2006/relationships/hyperlink" Target="https://www.storyboard18.com/agency-news/exclusive-ulka-mudra-find-new-home-in-bbdo-after-omnicom-ipg-merger-shake-up-85462.htm" TargetMode="External"/><Relationship Id="rId3" Type="http://schemas.openxmlformats.org/officeDocument/2006/relationships/hyperlink" Target="https://news.google.com/rss/articles/CBMitAFBVV95cUxQTFZWem1QWU9Wa19OYmFrSzBDdHloSjRWMzVnNmpMcTE0dFN2R2wtWFBXWjVrS2FHcmY2Q2lmT3oyeGxFY1RadEVMdTloa242Mks3NkJxRG14bHQtUU1fYVdkQTFsRnAxR3Q1QmRxUmpVblFUR3VJUlJOWE8ybWEyZnAzTzlWb3VNVlE1VWF6TjFZa2YxZWFHVWNscHlIR0" TargetMode="External"/><Relationship Id="rId4" Type="http://schemas.openxmlformats.org/officeDocument/2006/relationships/hyperlink" Target="https://www.afaqs.com/news/advertising/ceo-dheeraj-sinha-on-leading-mccann-in-the-post-merger-era-12015227" TargetMode="External"/><Relationship Id="rId5" Type="http://schemas.openxmlformats.org/officeDocument/2006/relationships/hyperlink" Target="https://news.google.com/rss/articles/CBMisgFBVV95cUxNdFRlQ29SdldEdUpBRmVjM3VlMkxFRTZFSTBYMkxTODNmbUdPazhRdGRRMy1kcjNCZGdOYXpJU0ExZUpNbzlaWlluZ1lhcmtZTEZyWVBKSW5zYkhoRjV1RjMyb2x5T2ViVGliQ0c0anFDUW1GQkk1UHhSNmRaWW9kbmh3SHYtM2g1WHBCdlZvNmFZTHdjaFJNdTNLdHBqZU" TargetMode="External"/><Relationship Id="rId6" Type="http://schemas.openxmlformats.org/officeDocument/2006/relationships/hyperlink" Target="https://www.afaqs.com/news/advertising/ogilvy-group-integrates-grey-and-825-communications-to-form-grey-825-12008871" TargetMode="External"/><Relationship Id="rId7" Type="http://schemas.openxmlformats.org/officeDocument/2006/relationships/hyperlink" Target="https://news.google.com/rss/articles/CBMivgFBVV95cUxQWl9OazB2b2lmazU1RkxYVFNadkRoS2M3SjBSVlB3aXFneEFpbU9pNDhDdU5QSzNhZHRON1JHN1dwVURjdjlEOGRhYnJBaFFzeGpxaTY3VC1NR3V1TGdYVEd0cWV6UGh0c1ZjRlpiZWFTQUo3djlDRGxkdGdObmhzS2d5Um9oaVhWS25rV2x2MVZfenpjWkxiUDloYlE0dV" TargetMode="External"/><Relationship Id="rId8" Type="http://schemas.openxmlformats.org/officeDocument/2006/relationships/hyperlink" Target="https://news.google.com/rss/articles/CBMixwFBVV95cUxOWTV1WDItNmtxZVNISF9iQWVwVHJHcWdmc0NLQ2ZEX24tVEIydEM1d3J0NENueGNKZ0sxZW5Ya2oySHhOa0k0WlhJeGRwQ1I3TlNwcmRMSkJjVVY3SmdnaHZfa21SRkFhNFQ1TDJ1ZV83ZGRPUFNVeE52R01ISjBsYm4tSTVyb19rYUd2MTNZeUxTSm8tR18ySlZua3BveE" TargetMode="External"/><Relationship Id="rId9" Type="http://schemas.openxmlformats.org/officeDocument/2006/relationships/hyperlink" Target="https://www.afaqs.com/news/advertising/industry-in-mourning-over-piyush-pandeys-demise-10588916" TargetMode="External"/><Relationship Id="rId10" Type="http://schemas.openxmlformats.org/officeDocument/2006/relationships/hyperlink" Target="https://news.google.com/rss/articles/CBMiywFBVV95cUxOQ2Z1U0hPV3JrMkp3Y2t1RXBmbDRpMXhaZkxvZGhIYTZ3dHE1MS13ajNkMGtuMUFzX0NsbGxOTE5QbUtwYUxnSXp4MEp0MTVCTm9USDE3cXBKLXM0dFU3dEs3MkVOSG5xUTVIdHBDeDJEYzJic2dqYXRDY3ZNWXFVbE1VVXZDN0lQTE1QUzBGR1MzRHBaV3hOMDZ4ak9fWW" TargetMode="External"/><Relationship Id="rId11" Type="http://schemas.openxmlformats.org/officeDocument/2006/relationships/hyperlink" Target="https://news.google.com/rss/articles/CBMi3gFBVV95cUxNejZrTUQ4R0VuUXZDdmh4OXB2dm1JMG9YQU1RMjVfU281VmRtTEZDY0J3bmhBWGQtV2toNktsNEY5WmdqWTEwOVFQWnBqaU1VbGxMc0R6WmxGR1dlcDZib2w3TXRHSUxUWmNyNE9xT0VPVGlBemxEdDV1WUxueVUteDMwOGZHUVpCQTREdVVFTDNiTzI5WUlKVUd6OU01S0" TargetMode="External"/><Relationship Id="rId12" Type="http://schemas.openxmlformats.org/officeDocument/2006/relationships/hyperlink" Target="https://news.google.com/rss/articles/CBMizAFBVV95cUxPSVVQVl9XdzREdlRkblVtWGNZRnNsOU9qWF9yNUJvbGFncTM0eGszbWsyOHg5TEdDdzNmMjZBWnFqZjF1V1NXREFzemNCQWtwc3RBWmZJazlZS0NvWV9Dc0RnOWdWZC1iU2JhcWVJRGVNUVFieEhOX25Rc0dXRE1CdXRvWER0eFFUdUtQNDdOTjlmQ2gzbFpsbE9IcUpMWj" TargetMode="External"/><Relationship Id="rId13" Type="http://schemas.openxmlformats.org/officeDocument/2006/relationships/hyperlink" Target="https://news.google.com/rss/articles/CBMizgFBVV95cUxNcTZfcGNZMXYwclBudXdjUFBLTkw4c0U2X2JMQ0kwOTRuM1BzZkRmb3R2M0JSWlFLQmtuZGNzTFRRU0tVX0JLTEwwR1VaNmJZYW40MWFoZjRKUEhZanpCV2hiemVTcWx5eTVmU3I3SHBsYlFKRFBfazlOVm9lV0RVY0JvUERUeEp5XzZGUmtrSzQxSFZsQ1dBbkhjRHNCOD" TargetMode="External"/><Relationship Id="rId14" Type="http://schemas.openxmlformats.org/officeDocument/2006/relationships/hyperlink" Target="https://news.google.com/rss/articles/CBMi_AFBVV95cUxPUWJHN1hfOWNwWHJGRkI2Z19tWkE4SWJDWmRkVVJVWEhRQ1lmZUQ3LVZuVDR5VDd0RXZUeVhKY2phV1BDdmRPWVd2RzRlVmlWNTRwVE9uZkgwdUd3SEw2RGpDWkJINUVESUVmVzVKcGhDYXc0VXF4RkhSMHdoSHFfYzlsZzdoaXJ4Y19fS2tBLVdpR3ZaLU9FQnFha0lTV3" TargetMode="External"/><Relationship Id="rId15" Type="http://schemas.openxmlformats.org/officeDocument/2006/relationships/hyperlink" Target="https://news.google.com/rss/articles/CBMi2gFBVV95cUxQNm5tZ3preE5sY3dfODhoalN1QWJFOG9DY3k1cGJxVkk5VUp1N0RzUHZ1ZC1jVmF1VlJYcThWQkZqaDlfS3FvM0ZnQXdjaGpnVkxESmdWNXBqRmR6aHFqVjYzaHFaTTNPZi1BdmpDOEdxdGRLcEZmTU9YRGtEbXBKcDZhMS15RDZiUkJhWXFYUVhLNDBzNXl2TWc5Z1JsWD" TargetMode="External"/><Relationship Id="rId16" Type="http://schemas.openxmlformats.org/officeDocument/2006/relationships/hyperlink" Target="https://www.indianweb2.com/2026/07/accenture-in-advanced-talks-to-acquire.html" TargetMode="External"/><Relationship Id="rId17" Type="http://schemas.openxmlformats.org/officeDocument/2006/relationships/hyperlink" Target="https://news.google.com/rss/articles/CBMivgFBVV95cUxOYi1kVHUtWkE2cEV1VjRnR0tQQWQ5bUwtNWtCd0tlX0dwZWJtRk5CMGttdlNWMHh1N3ZCajZ1VGZwSnVsbnBEaVA4eEszbFhpNmpGbEEySEhGVThTdmFkckZzcEZXOFhpNmY0RDF4d2RnRlZTbjUzbGcwWl93LXR5NTByanVDb0ZXOUtLR2V3ZHhxQ2hETEU4dllNSjBlT2" TargetMode="External"/><Relationship Id="rId18" Type="http://schemas.openxmlformats.org/officeDocument/2006/relationships/hyperlink" Target="https://news.google.com/rss/articles/CBMilAFBVV95cUxQY2xGUmtaQzhWMDBwb0RlRC1ONDR5eklmSUUtV3FDQWhTckVrZnYtU3Fsd2tiM2RTaF9GRmxJcGVOaUhWeVlnTExCbURiMEVnaDVXVFNXZkE3QUFKQUhaZ0x0SzZkb2FCa2xmcnB2bE1ub2dmRWhNSTVZeE52dS1xS0FpMU9WNGxybjUyanU0NUZnMFRi" TargetMode="External"/><Relationship Id="rId19" Type="http://schemas.openxmlformats.org/officeDocument/2006/relationships/hyperlink" Target="https://www.medianews4u.com/gaurang-menon-steps-down-from-hashtag-orange-after-building-mumbai-business/" TargetMode="External"/><Relationship Id="rId20" Type="http://schemas.openxmlformats.org/officeDocument/2006/relationships/hyperlink" Target="https://www.afaqs.com/news/digital/schbang-announces-leadership-transition-as-harshil-and-sohil-karia-acquire-akshay-gurnanis-stake-8772334" TargetMode="External"/><Relationship Id="rId21" Type="http://schemas.openxmlformats.org/officeDocument/2006/relationships/hyperlink" Target="https://news.google.com/rss/articles/CBMiuwFBVV95cUxQM1JHZXo1bngzN2JkeXlQc1psOTdSSFBsRGFaT2dNOGlYcllDV3lQaWx3TW0za1YzSjc3dWlUa19uXzlpQUJqMTRrMUQ0T05kelFpNV9sbmVhZnBSbUtobktKbTJPdkt1UFRydG1nN0djc0pDRVdKME1oVDBUUUsyN293OVA1TTFhY1k4YnkzczNXWG1jZnMxS1F5TFRJQU" TargetMode="External"/><Relationship Id="rId22" Type="http://schemas.openxmlformats.org/officeDocument/2006/relationships/hyperlink" Target="https://news.google.com/rss/articles/CBMiuwFBVV95cUxQT2J5NFMzNGhkSFJNWFJobFZuYUVReUVKQUQzMHZQeWhPVzlFVDlVeEpxdzJvRUdJY1drV0pJUGVCNGJsNENYaGRsZHlyT0pPdE9tWkxJM2xHNmJMY2FFdnJTbHhMYUN3TDRreEdnczQ1SnhOY3g4VE1ma2hiQ0E1MElKYVR3a28wSk9PSUZMTWN0ejRLR3dmaUVQeDhBUU" TargetMode="External"/><Relationship Id="rId23"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hyperlink" Target="https://www.campaignindia.in/article/burson-wins-chalet-hotels-reputation-mandate/4xy9ew13ahvn7sn61tt41mbhx7" TargetMode="External"/><Relationship Id="rId2" Type="http://schemas.openxmlformats.org/officeDocument/2006/relationships/hyperlink" Target="https://www.medianews4u.com/ducati-india-appoints-burson-as-strategic-communications-partner/" TargetMode="External"/><Relationship Id="rId3" Type="http://schemas.openxmlformats.org/officeDocument/2006/relationships/hyperlink" Target="https://www.medianews4u.com/birla-opus-paints-appoints-burson-for-reputation-management-and-brand-communications-in-india/" TargetMode="External"/><Relationship Id="rId4" Type="http://schemas.openxmlformats.org/officeDocument/2006/relationships/hyperlink" Target="https://www.afaqs.com/news/newbizwins/honda-cars-india-appoints-burson-as-strategic-communications-partner-9064438" TargetMode="External"/><Relationship Id="rId5" Type="http://schemas.openxmlformats.org/officeDocument/2006/relationships/hyperlink" Target="https://www.medianews4u.com/mirae-asset-sharekhan-names-burson-as-communications-partner/" TargetMode="External"/><Relationship Id="rId6" Type="http://schemas.openxmlformats.org/officeDocument/2006/relationships/hyperlink" Target="https://www.medianews4u.com/eastman-auto-power-partners-with-burson-to-enhance-brand-presence/" TargetMode="External"/><Relationship Id="rId7" Type="http://schemas.openxmlformats.org/officeDocument/2006/relationships/hyperlink" Target="https://www.storyboard18.com/agency-news/exclusive-bmw-india-appoints-vmls-contract-advertising-india-as-creative-agency-87842.htm" TargetMode="External"/><Relationship Id="rId8" Type="http://schemas.openxmlformats.org/officeDocument/2006/relationships/hyperlink" Target="https://campaignbriefasia.com/2023/06/06/contract-advertising-creates-my-account-starts-today-for-hsbc-india-starring-virat-kohli/" TargetMode="External"/><Relationship Id="rId9" Type="http://schemas.openxmlformats.org/officeDocument/2006/relationships/hyperlink" Target="https://www.medianews4u.com/contract-advertising-launches-brand-re-stage-campaign-for-kisna/" TargetMode="External"/><Relationship Id="rId10" Type="http://schemas.openxmlformats.org/officeDocument/2006/relationships/hyperlink" Target="https://www.medianews4u.com/contract-advertisings-new-film-for-lt-realty-puts-the-spotlight-on-trust-and-relationships/" TargetMode="External"/><Relationship Id="rId11" Type="http://schemas.openxmlformats.org/officeDocument/2006/relationships/hyperlink" Target="https://campaignbriefasia.com/2022/05/10/contract-advertising-india-explores-the-changing-narrative-of-mothers-via-shoppers-stop-campaign/" TargetMode="External"/><Relationship Id="rId12" Type="http://schemas.openxmlformats.org/officeDocument/2006/relationships/hyperlink" Target="https://www.medianews4u.com/contract-advertising-wins-the-mandate-for-haldirams/" TargetMode="External"/><Relationship Id="rId13" Type="http://schemas.openxmlformats.org/officeDocument/2006/relationships/hyperlink" Target="https://www.medianews4u.com/varun-dhawan-headlines-softovacs-new-digital-campaign-kabz-ka-kabza-conceptualised-by-contract-advertising/" TargetMode="External"/><Relationship Id="rId14" Type="http://schemas.openxmlformats.org/officeDocument/2006/relationships/hyperlink" Target="https://www.storyboard18.com/brand-marketing/82-5-communications-wins-creative-mandate-for-de-beers-group-44868.htm" TargetMode="External"/><Relationship Id="rId15" Type="http://schemas.openxmlformats.org/officeDocument/2006/relationships/hyperlink" Target="https://www.medianews4u.com/82-5-communications-wins-the-mandate-for-bacardi-indias-brands/" TargetMode="External"/><Relationship Id="rId16" Type="http://schemas.openxmlformats.org/officeDocument/2006/relationships/hyperlink" Target="https://www.medianews4u.com/82-5-communications-wins-the-mandate-for-bacardi-indias-brands/" TargetMode="External"/><Relationship Id="rId17" Type="http://schemas.openxmlformats.org/officeDocument/2006/relationships/hyperlink" Target="https://campaignbriefasia.com/2022/02/09/havells-urges-their-customers-not-to-make-assumptions-based-on-peoples-appearance-via-new-82-5-communications-india-campaign/" TargetMode="External"/><Relationship Id="rId18" Type="http://schemas.openxmlformats.org/officeDocument/2006/relationships/hyperlink" Target="https://www.medianews4u.com/82-5-communications-and-tcpl-bring-the-soul-of-the-himalayas-alive-with-himalayan-day-campaign/" TargetMode="External"/><Relationship Id="rId19" Type="http://schemas.openxmlformats.org/officeDocument/2006/relationships/hyperlink" Target="https://www.medianews4u.com/82-5-communications-bags-the-launch-campaign-mandate-for-indian-craft-brewery/" TargetMode="External"/><Relationship Id="rId20" Type="http://schemas.openxmlformats.org/officeDocument/2006/relationships/hyperlink" Target="https://www.medianews4u.com/82-5-communications-india-secures-the-creative-mandate-for-jsw-mg-motor-india/" TargetMode="External"/><Relationship Id="rId21" Type="http://schemas.openxmlformats.org/officeDocument/2006/relationships/hyperlink" Target="https://www.medianews4u.com/82-5-communications-announces-kajaria-win/" TargetMode="External"/><Relationship Id="rId22" Type="http://schemas.openxmlformats.org/officeDocument/2006/relationships/hyperlink" Target="https://www.medianews4u.com/india-at-cannes-lions-2026-17-shortlists-and-counting-as-ogilvy-vml-lead-the-charge/" TargetMode="External"/><Relationship Id="rId23" Type="http://schemas.openxmlformats.org/officeDocument/2006/relationships/hyperlink" Target="https://www.medianews4u.com/mmtc-pamps-festive-films-by-autumngrey-capture-the-purity-of-emotions/" TargetMode="External"/><Relationship Id="rId24" Type="http://schemas.openxmlformats.org/officeDocument/2006/relationships/hyperlink" Target="https://www.afaqs.com/news/advertising/tanishq-challenges-empowerment-norms-in-womens-day-campaign-her-choice-8828061" TargetMode="External"/><Relationship Id="rId25" Type="http://schemas.openxmlformats.org/officeDocument/2006/relationships/hyperlink" Target="https://www.medianews4u.com/82-5-communications-secures-creative-mandate-for-tata-coffee-grand-cold-coffee-and-himalayan-natural-mineral-water/" TargetMode="External"/><Relationship Id="rId26" Type="http://schemas.openxmlformats.org/officeDocument/2006/relationships/hyperlink" Target="https://campaignbriefasia.com/2026/01/28/axis-bank-and-grey-india-launch-deshkalocker-republic-day-campaign/" TargetMode="External"/><Relationship Id="rId27" Type="http://schemas.openxmlformats.org/officeDocument/2006/relationships/hyperlink" Target="https://www.medianews4u.com/bandhan-mutual-fund-and-grey-82-5-india-launch-kya-azaad-ho-tum-campaign/" TargetMode="External"/><Relationship Id="rId28" Type="http://schemas.openxmlformats.org/officeDocument/2006/relationships/hyperlink" Target="https://www.medianews4u.com/grey-82-5-secures-creative-mandate-for-imperial-blue/" TargetMode="External"/><Relationship Id="rId29" Type="http://schemas.openxmlformats.org/officeDocument/2006/relationships/hyperlink" Target="https://campaignbriefasia.com/2023/11/08/grey-india-and-autumngrey-india-shines-a-new-light-on-diwali-this-year-for-luminous/" TargetMode="External"/><Relationship Id="rId30" Type="http://schemas.openxmlformats.org/officeDocument/2006/relationships/hyperlink" Target="https://www.medianews4u.com/82-5-communications-secures-the-creative-mandate-for-mothers-recipe/" TargetMode="External"/><Relationship Id="rId31" Type="http://schemas.openxmlformats.org/officeDocument/2006/relationships/hyperlink" Target="https://www.medianews4u.com/vadilal-unveils-joyful-new-campaign-zara-muskuraiye-vadilal-khaiye-with-82-5-communications/" TargetMode="External"/><Relationship Id="rId32" Type="http://schemas.openxmlformats.org/officeDocument/2006/relationships/hyperlink" Target="https://www.medianews4u.com/federal-bank-partners-with-hogarth-to-deliver-ai-powered-immersive-onam-campaign/" TargetMode="External"/><Relationship Id="rId33" Type="http://schemas.openxmlformats.org/officeDocument/2006/relationships/hyperlink" Target="https://www.medianews4u.com/landor-transforms-hilton-shillim-resort-spa-into-dharana-a-luxury-retreat-with-a-new-brand-identity-celebrating-wellness-and-conscious-being/" TargetMode="External"/><Relationship Id="rId34" Type="http://schemas.openxmlformats.org/officeDocument/2006/relationships/hyperlink" Target="https://www.medianews4u.com/adani-realty-collaborates-with-mirum-india-for-its-vr-offering/" TargetMode="External"/><Relationship Id="rId35" Type="http://schemas.openxmlformats.org/officeDocument/2006/relationships/hyperlink" Target="https://www.medianews4u.com/manyavar-awards-digital-transformation-mandate-to-mirum-india-and-wt-commerce/" TargetMode="External"/><Relationship Id="rId36" Type="http://schemas.openxmlformats.org/officeDocument/2006/relationships/hyperlink" Target="https://www.medianews4u.com/amfi-partners-mirum-india-and-webengage-to-drive-martech-strategy-for-their-mutual-fund-sahi-hai-campaign/" TargetMode="External"/><Relationship Id="rId37" Type="http://schemas.openxmlformats.org/officeDocument/2006/relationships/hyperlink" Target="https://www.socialsamosa.com/industry-updates/mirum-india-digital-mandate-ibis-hotels-4419184" TargetMode="External"/><Relationship Id="rId38" Type="http://schemas.openxmlformats.org/officeDocument/2006/relationships/hyperlink" Target="https://www.medianews4u.com/aqua-plumbings-joins-hands-with-ogilvy-to-redefine-bathware-branding-in-india/" TargetMode="External"/><Relationship Id="rId39" Type="http://schemas.openxmlformats.org/officeDocument/2006/relationships/hyperlink" Target="https://campaignbriefasia.com/2025/11/11/ogilvy-india-brings-italian-flair-to-asian-paints-emporios-latest-campaign-starring-dino-morea/" TargetMode="External"/><Relationship Id="rId40" Type="http://schemas.openxmlformats.org/officeDocument/2006/relationships/hyperlink" Target="https://campaignbriefasia.com/2025/11/19/adani-group-highlights-human-first-service-through-airports-via-new-ogilvy-india-film/" TargetMode="External"/><Relationship Id="rId41" Type="http://schemas.openxmlformats.org/officeDocument/2006/relationships/hyperlink" Target="https://www.medianews4u.com/allen-solly-elevates-mens-fashion-with-bottomwear-focused-legs-now-turn-heads-campaign/" TargetMode="External"/><Relationship Id="rId42" Type="http://schemas.openxmlformats.org/officeDocument/2006/relationships/hyperlink" Target="https://campaignbriefasia.com/2026/04/17/asian-paints-and-ogilvy-india-celebrate-colour-as-identity-in-new-rangon-ki-warranty-campaign/" TargetMode="External"/><Relationship Id="rId43" Type="http://schemas.openxmlformats.org/officeDocument/2006/relationships/hyperlink" Target="https://campaignbriefasia.com/2026/08/11/asian-paints-ogilvy-india-showcase-hassle-free-home-painting-with-beautiful-homes-campaign/" TargetMode="External"/><Relationship Id="rId44" Type="http://schemas.openxmlformats.org/officeDocument/2006/relationships/hyperlink" Target="https://www.medianews4u.com/hul-ogilvy-and-mindshare-usher-in-a-new-era-of-experiential-tea-marketing-with-the-chai-bansuri-installation/" TargetMode="External"/><Relationship Id="rId45" Type="http://schemas.openxmlformats.org/officeDocument/2006/relationships/hyperlink" Target="https://campaignbriefasia.com/2026/02/03/cadbury-dairy-milk-silk-and-ogilvy-india-bring-back-say-it-with-silk-for-valentines-day-2026/" TargetMode="External"/><Relationship Id="rId46" Type="http://schemas.openxmlformats.org/officeDocument/2006/relationships/hyperlink" Target="https://www.medianews4u.com/godrej-properties-launches-its-first-digital-brand-campaign/" TargetMode="External"/><Relationship Id="rId47" Type="http://schemas.openxmlformats.org/officeDocument/2006/relationships/hyperlink" Target="https://campaignbriefasia.com/2025/09/22/ogilvy-india-creates-festive-film-for-indriyas-alka-collection-featuring-dil-abhi-bhara-nahin/" TargetMode="External"/><Relationship Id="rId48" Type="http://schemas.openxmlformats.org/officeDocument/2006/relationships/hyperlink" Target="https://www.medianews4u.com/lakme-launches-i-earned-it-campaign-for-9to5-hya-beach-edit-featuring-aneet-padda/" TargetMode="External"/><Relationship Id="rId49" Type="http://schemas.openxmlformats.org/officeDocument/2006/relationships/hyperlink" Target="https://www.campaignindia.in/article/rustomjee-and-ogilvy-redefine-family-through-new-campaign/421rnxh59t4z2v5yzjh762yr5a" TargetMode="External"/><Relationship Id="rId50" Type="http://schemas.openxmlformats.org/officeDocument/2006/relationships/hyperlink" Target="https://www.medianews4u.com/titan-raga-launches-your-way-is-beautiful-campaign-featuring-alia-bhatt/" TargetMode="External"/><Relationship Id="rId51" Type="http://schemas.openxmlformats.org/officeDocument/2006/relationships/hyperlink" Target="https://www.afaqs.com/news/advertising/titan-raga-shifts-the-conversation-from-sisterhood-to-women-standing-their-ground-12512364" TargetMode="External"/><Relationship Id="rId52" Type="http://schemas.openxmlformats.org/officeDocument/2006/relationships/hyperlink" Target="https://www.medianews4u.com/vistara-assigns-its-creative-mandate-to-ogilvy-and-signs-maxus-as-media-partner/" TargetMode="External"/><Relationship Id="rId53" Type="http://schemas.openxmlformats.org/officeDocument/2006/relationships/hyperlink" Target="https://www.medianews4u.com/amazon-and-ogilvy-unveil-from-everything-store-to-everyday-store-campaign-to-reflect-new-brand-direction/" TargetMode="External"/><Relationship Id="rId54" Type="http://schemas.openxmlformats.org/officeDocument/2006/relationships/hyperlink" Target="https://www.afaqs.com/news/advertising/bajaj-pulsar-ogilvy-12535918" TargetMode="External"/><Relationship Id="rId55" Type="http://schemas.openxmlformats.org/officeDocument/2006/relationships/hyperlink" Target="https://www.afaqs.com/news/advertising/bajaj-pulsar-ogilvy-12535918" TargetMode="External"/><Relationship Id="rId56" Type="http://schemas.openxmlformats.org/officeDocument/2006/relationships/hyperlink" Target="https://campaignbriefasia.com/2026/02/09/cadbury-5-star-ends-the-war-on-valentines-day-with-twist-filled-ogilvy-india-campaign/" TargetMode="External"/><Relationship Id="rId57" Type="http://schemas.openxmlformats.org/officeDocument/2006/relationships/hyperlink" Target="https://campaignbriefasia.com/2026/08/10/ogilvy-india-brings-sibling-banter-to-life-for-cadbury-celebrations-raksha-bandhan-campaign/" TargetMode="External"/><Relationship Id="rId58" Type="http://schemas.openxmlformats.org/officeDocument/2006/relationships/hyperlink" Target="https://www.afaqs.com/news/advertising/cadbury-dairy-milk-8837735" TargetMode="External"/><Relationship Id="rId59" Type="http://schemas.openxmlformats.org/officeDocument/2006/relationships/hyperlink" Target="https://www.medianews4u.com/ogilvy-india-puts-zoya-akhtars-direction-to-the-ultimate-test-in-new-ceat-tyres-campaign/" TargetMode="External"/><Relationship Id="rId60" Type="http://schemas.openxmlformats.org/officeDocument/2006/relationships/hyperlink" Target="https://www.afaqs.com/news/advertising/aamir-khan-time-travels-for-charged-by-thums-upthis-time-as-a-caveman-8678455" TargetMode="External"/><Relationship Id="rId61" Type="http://schemas.openxmlformats.org/officeDocument/2006/relationships/hyperlink" Target="https://www.afaqs.com/news/advertising/coca-cola-launches-the-lost-voices-campaign-for-fifa-world-cup-12148451" TargetMode="External"/><Relationship Id="rId62" Type="http://schemas.openxmlformats.org/officeDocument/2006/relationships/hyperlink" Target="https://campaignbriefasia.com/2025/04/04/ogilvy-india-takes-minimalist-approach-to-latest-ad-campaign-for-coke-zero/" TargetMode="External"/><Relationship Id="rId63" Type="http://schemas.openxmlformats.org/officeDocument/2006/relationships/hyperlink" Target="https://campaignbriefasia.com/2026/02/10/dp-world-ogilvy-india-draw-parallels-between-cricket-and-logistics-in-latest-campaign/" TargetMode="External"/><Relationship Id="rId64" Type="http://schemas.openxmlformats.org/officeDocument/2006/relationships/hyperlink" Target="https://www.medianews4u.com/ogilvy-redefines-pujo-communication-with-culture-over-clutter/" TargetMode="External"/><Relationship Id="rId65" Type="http://schemas.openxmlformats.org/officeDocument/2006/relationships/hyperlink" Target="https://www.storyboard18.com/brand-marketing/storyboard18-awards-for-creativity-2026-where-creative-bravery-met-storytelling-and-scale-94461.htm" TargetMode="External"/><Relationship Id="rId66" Type="http://schemas.openxmlformats.org/officeDocument/2006/relationships/hyperlink" Target="https://campaignbriefasia.com/2024/10/23/ogilvy-india-promotes-googles-interactive-search-experience-via-googlies-on-google/" TargetMode="External"/><Relationship Id="rId67" Type="http://schemas.openxmlformats.org/officeDocument/2006/relationships/hyperlink" Target="https://www.medianews4u.com/pankaj-tripathi-stars-in-jio-bps-latest-fuel-campaign-crafted-by-ogilvy/" TargetMode="External"/><Relationship Id="rId68" Type="http://schemas.openxmlformats.org/officeDocument/2006/relationships/hyperlink" Target="https://www.storyboard18.com/brand-makers/exclusive-jsw-steels-creative-account-up-for-review-95404.htm" TargetMode="External"/><Relationship Id="rId69" Type="http://schemas.openxmlformats.org/officeDocument/2006/relationships/hyperlink" Target="https://campaignbriefasia.com/2026/06/04/ogilvy-india-helps-mother-dairy-launch-indias-first-naturally-degradable-milk-pouch/" TargetMode="External"/><Relationship Id="rId70" Type="http://schemas.openxmlformats.org/officeDocument/2006/relationships/hyperlink" Target="https://www.medianews4u.com/ogilvy-india-launches-humour-led-campaign-for-phonepe-mutual-funds-to-encourage-confident-investing/" TargetMode="External"/><Relationship Id="rId71" Type="http://schemas.openxmlformats.org/officeDocument/2006/relationships/hyperlink" Target="https://www.afaqs.com/news/advertising/why-ponds-and-ogilvy-believe-googly-woogly-wooksh-still-matters-12203275" TargetMode="External"/><Relationship Id="rId72" Type="http://schemas.openxmlformats.org/officeDocument/2006/relationships/hyperlink" Target="https://www.prnewswire.com/in/news-releases/powerade-enters-india-as-official-sports-drink-of-the-icc-mens-t20-world-cup-2026-302699467.html" TargetMode="External"/><Relationship Id="rId73" Type="http://schemas.openxmlformats.org/officeDocument/2006/relationships/hyperlink" Target="https://www.afaqs.com/news/advertising/revital-highlights-the-impact-of-stress-in-new-ad-with-vicky-kaushal-12166198" TargetMode="External"/><Relationship Id="rId74" Type="http://schemas.openxmlformats.org/officeDocument/2006/relationships/hyperlink" Target="https://www.storyboard18.com/agency-news/santoor-appoints-tilt-brand-solutions-as-agency-on-record-95223.htm" TargetMode="External"/><Relationship Id="rId75" Type="http://schemas.openxmlformats.org/officeDocument/2006/relationships/hyperlink" Target="https://campaignbriefasia.com/2026/02/12/jasprit-bumrah-shows-his-fun-side-in-sunfeast-yippee-magic-masala-film-via-ogilvy-india/" TargetMode="External"/><Relationship Id="rId76" Type="http://schemas.openxmlformats.org/officeDocument/2006/relationships/hyperlink" Target="https://www.medianews4u.com/ogilvy-india-crafts-new-brand-film-showcasing-tata-motors-cvs-better-always-vision/" TargetMode="External"/><Relationship Id="rId77" Type="http://schemas.openxmlformats.org/officeDocument/2006/relationships/hyperlink" Target="https://www.afaqs.com/news/advertising/tata-play-gives-life-jingalala-a-folk-music-makeover-as-it-turns-20-12239501" TargetMode="External"/><Relationship Id="rId78" Type="http://schemas.openxmlformats.org/officeDocument/2006/relationships/hyperlink" Target="https://www.medianews4u.com/india-at-cannes-lions-2026-17-shortlists-and-counting-as-ogilvy-vml-lead-the-charge/" TargetMode="External"/><Relationship Id="rId79" Type="http://schemas.openxmlformats.org/officeDocument/2006/relationships/hyperlink" Target="https://www.afaqs.com/news/advertising/shah-rukh-khan-gets-the-vip-treatment-in-vis-new-ad-12513906" TargetMode="External"/><Relationship Id="rId80" Type="http://schemas.openxmlformats.org/officeDocument/2006/relationships/hyperlink" Target="https://www.medianews4u.com/the-glitch-expands-their-integrated-creative-portfolio-with-the-addition-of-diageo-indias-premium-luxury-and-reserve-brands/" TargetMode="External"/><Relationship Id="rId81" Type="http://schemas.openxmlformats.org/officeDocument/2006/relationships/hyperlink" Target="https://www.socialsamosa.com/2020/02/the-glitch-bags-360-degree-mandate-of-diageo-india/" TargetMode="External"/><Relationship Id="rId82" Type="http://schemas.openxmlformats.org/officeDocument/2006/relationships/hyperlink" Target="https://www.afaqs.com/news/advertising/dove-encourages-consumers-to-pause-reverse-and-play-for-healthier-hair" TargetMode="External"/><Relationship Id="rId83" Type="http://schemas.openxmlformats.org/officeDocument/2006/relationships/hyperlink" Target="https://www.medianews4u.com/the-glitch-wins-agency-on-record-appointment-for-enamor/" TargetMode="External"/><Relationship Id="rId84" Type="http://schemas.openxmlformats.org/officeDocument/2006/relationships/hyperlink" Target="https://www.medianews4u.com/vmlyr-india-to-work-on-user-experience-and-creative-revamp-of-anita-dongres-website/" TargetMode="External"/><Relationship Id="rId85" Type="http://schemas.openxmlformats.org/officeDocument/2006/relationships/hyperlink" Target="https://www.brandinginasia.com/vml-india-shares-the-stories-behind-four-cannes-lions-contenders/" TargetMode="External"/><Relationship Id="rId86" Type="http://schemas.openxmlformats.org/officeDocument/2006/relationships/hyperlink" Target="https://www.afaqs.com/news/advertising/centuryply-ropes-in-aamir-khan-for-total-cover-campaign-12253476" TargetMode="External"/><Relationship Id="rId87" Type="http://schemas.openxmlformats.org/officeDocument/2006/relationships/hyperlink" Target="https://www.medianews4u.com/wunderman-thompson-india-wins-creative-mandate-for-cera-sanitaryware/" TargetMode="External"/><Relationship Id="rId88" Type="http://schemas.openxmlformats.org/officeDocument/2006/relationships/hyperlink" Target="https://www.medianews4u.com/wunderman-thompson-india-wins-cult-sports-creative-biz/" TargetMode="External"/><Relationship Id="rId89" Type="http://schemas.openxmlformats.org/officeDocument/2006/relationships/hyperlink" Target="https://www.medianews4u.com/india-at-cannes-lions-2026-17-shortlists-and-counting-as-ogilvy-vml-lead-the-charge/" TargetMode="External"/><Relationship Id="rId90" Type="http://schemas.openxmlformats.org/officeDocument/2006/relationships/hyperlink" Target="https://campaignbriefasia.com/2026/05/29/vml-india-and-saint-gobain-india-challenge-perceptions-of-fragile-glass-in-new-film/" TargetMode="External"/><Relationship Id="rId91" Type="http://schemas.openxmlformats.org/officeDocument/2006/relationships/hyperlink" Target="https://www.medianews4u.com/wunderman-thompson-india-bags-strategy-and-creative-mandate-for-skoda/" TargetMode="External"/><Relationship Id="rId92" Type="http://schemas.openxmlformats.org/officeDocument/2006/relationships/hyperlink" Target="https://www.medianews4u.com/vivo-launches-dreamchasers-campaign-with-suhana-khan-to-empower-indias-gen-z/" TargetMode="External"/><Relationship Id="rId93" Type="http://schemas.openxmlformats.org/officeDocument/2006/relationships/hyperlink" Target="https://www.medianews4u.com/apollo-tyres-and-vml-india-unveil-new-apterra-suv-campaign-featuring-sachin-tendulkar/" TargetMode="External"/><Relationship Id="rId94" Type="http://schemas.openxmlformats.org/officeDocument/2006/relationships/hyperlink" Target="https://campaignbriefasia.com/2026/04/02/boost-milkshake-finds-the-new-secret-of-mahi-energy-in-vml-india-campaign/" TargetMode="External"/><Relationship Id="rId95" Type="http://schemas.openxmlformats.org/officeDocument/2006/relationships/hyperlink" Target="https://www.socialsamosa.com/sscanneswatch/vml-india-entries-for-cannes-lions-2026-12004723" TargetMode="External"/><Relationship Id="rId96" Type="http://schemas.openxmlformats.org/officeDocument/2006/relationships/hyperlink" Target="https://www.medianews4u.com/vml-india-creates-rainbow-classrooms-for-durexs-campaign-helping-indian-students-express-feelings-and-tackle-gender-identity-issues/" TargetMode="External"/><Relationship Id="rId97" Type="http://schemas.openxmlformats.org/officeDocument/2006/relationships/hyperlink" Target="https://www.medianews4u.com/wunderman-thompson-south-asias-music-video-for-brand-kingfisher-helps-build-positive-community-spirit/" TargetMode="External"/><Relationship Id="rId98" Type="http://schemas.openxmlformats.org/officeDocument/2006/relationships/hyperlink" Target="https://www.afaqs.com/news/mktg/kitkat-vml-install-slow-vending-machine-activation-11720525" TargetMode="External"/><Relationship Id="rId99" Type="http://schemas.openxmlformats.org/officeDocument/2006/relationships/hyperlink" Target="https://www.storyboard18.com/advertising/coca-colas-limca-shifts-creative-mandate-to-atom-network-93735.htm" TargetMode="External"/><Relationship Id="rId100" Type="http://schemas.openxmlformats.org/officeDocument/2006/relationships/hyperlink" Target="https://www.adgully.com/post/16000/vml-india-bags-black-elephant-at-kyoorius-creative-awards-2026" TargetMode="External"/><Relationship Id="rId101" Type="http://schemas.openxmlformats.org/officeDocument/2006/relationships/hyperlink" Target="https://campaignbriefasia.com/2025/03/07/star-cement-champions-north-east-spirit-with-boxer-lovelina-borgohain-in-vml-india-film/" TargetMode="External"/><Relationship Id="rId102" Type="http://schemas.openxmlformats.org/officeDocument/2006/relationships/hyperlink" Target="https://www.medianews4u.com/vml-indias-new-campaign-with-janhvi-kapoor-kicks-off-sugar-frees-health-evolution/" TargetMode="External"/><Relationship Id="rId103" Type="http://schemas.openxmlformats.org/officeDocument/2006/relationships/hyperlink" Target="https://campaignbriefasia.com/2025/09/02/vml-india-and-thums-up-introduce-two-hands-ritual-with-shah-rukh-khan-and-jagapathi-babu/" TargetMode="External"/><Relationship Id="rId104" Type="http://schemas.openxmlformats.org/officeDocument/2006/relationships/hyperlink" Target="https://www.medianews4u.com/vml-india-and-tirupati-edible-oils-bring-a-festive-twist-to-breathless-with-siddharth-mahadevan/" TargetMode="External"/><Relationship Id="rId105" Type="http://schemas.openxmlformats.org/officeDocument/2006/relationships/hyperlink" Target="https://www.storyboard18.com/advertising/biz-breaks-major-account-moves-and-pitches-of-2024-51970.htm" TargetMode="External"/><Relationship Id="rId106" Type="http://schemas.openxmlformats.org/officeDocument/2006/relationships/hyperlink" Target="https://www.storyboard18.com/agency-news/loreal-india-appoints-publicis-media-as-integrated-media-agency-after-strategic-review-99678.htm" TargetMode="External"/><Relationship Id="rId107" Type="http://schemas.openxmlformats.org/officeDocument/2006/relationships/hyperlink" Target="https://www.storyboard18.com/advertising/omnicom-media-bags-netflix-indias-mandate-signalling-strategic-reset-in-ott-marketing-97341.htm" TargetMode="External"/><Relationship Id="rId108" Type="http://schemas.openxmlformats.org/officeDocument/2006/relationships/hyperlink" Target="https://www.medianews4u.com/wavemaker-india-retains-media-mandate-for-pernod-ricard-india/" TargetMode="External"/><Relationship Id="rId109" Type="http://schemas.openxmlformats.org/officeDocument/2006/relationships/hyperlink" Target="https://www.afaqs.com/news/newbizwins/red-bull-india-renews-media-mandate-with-wavemaker-11756549" TargetMode="External"/><Relationship Id="rId110" Type="http://schemas.openxmlformats.org/officeDocument/2006/relationships/hyperlink" Target="https://www.medianews4u.com/tata-consumer-products-renews-wavemaker-as-media-agency-partner/" TargetMode="External"/><Relationship Id="rId111" Type="http://schemas.openxmlformats.org/officeDocument/2006/relationships/hyperlink" Target="https://www.afaqs.com/news/newbizwins/wipro-consumer-care-appoints-wavemaker-as-integrated-media-partner-11442219" TargetMode="External"/><Relationship Id="rId112" Type="http://schemas.openxmlformats.org/officeDocument/2006/relationships/hyperlink" Target="https://www.afaqs.com/news/mktg/wpp-wins-global-ai-led-marketing-mandate-for-jaguar-land-rover-11857970" TargetMode="External"/><Relationship Id="rId113" Type="http://schemas.openxmlformats.org/officeDocument/2006/relationships/hyperlink" Target="https://www.afaqs.com/news/newbizwins/wpp-media-wins-integrated-media-mandate-for-lt-foods-daawat-12391507" TargetMode="External"/><Relationship Id="rId114" Type="http://schemas.openxmlformats.org/officeDocument/2006/relationships/hyperlink" Target="https://www.medianews4u.com/manyavar-enters-south-india-with-ram-charan-as-brands-face-in-ooh-campaign-conceptualized-by-groupm-ooh-solutions/" TargetMode="External"/><Relationship Id="rId115" Type="http://schemas.openxmlformats.org/officeDocument/2006/relationships/hyperlink" Target="https://www.afaqs.com/news/newbizwins/publicis-starcom-wins-flipkart-groups-750-crore-media-mandate-replaces-essencemediacom-10981998" TargetMode="External"/><Relationship Id="rId116" Type="http://schemas.openxmlformats.org/officeDocument/2006/relationships/hyperlink" Target="https://www.medianews4u.com/publicis-groupe-south-asia-appoints-paritosh-srivastava-and-snehasis-bose-to-lead-bbh-india/" TargetMode="External"/><Relationship Id="rId117" Type="http://schemas.openxmlformats.org/officeDocument/2006/relationships/hyperlink" Target="https://www.medianews4u.com/caratlane-launches-written-in-the-stars-film-with-kayadu-lohar-as-regional-brand-ambassador/" TargetMode="External"/><Relationship Id="rId118" Type="http://schemas.openxmlformats.org/officeDocument/2006/relationships/hyperlink" Target="https://www.medianews4u.com/dp-world-has-sachin-tendulkar-seeing-cricket-through-a-whole-new-lens/" TargetMode="External"/><Relationship Id="rId119" Type="http://schemas.openxmlformats.org/officeDocument/2006/relationships/hyperlink" Target="https://www.medianews4u.com/oaksmith-brand-partners-with-vijay-varma-for-oaksmith-style-studio-to-enhance-indian-mens-style/" TargetMode="External"/><Relationship Id="rId120" Type="http://schemas.openxmlformats.org/officeDocument/2006/relationships/hyperlink" Target="https://www.campaignindia.in/article/skoda-and-bbh-india-launch-campaign-for-kylaq-sportline/48mvzb9mc8stayqeb8zy81q150" TargetMode="External"/><Relationship Id="rId121" Type="http://schemas.openxmlformats.org/officeDocument/2006/relationships/hyperlink" Target="https://www.medianews4u.com/skoda-auto-india-and-bbh-india-launch-for-the-restless-campaign-for-new-kylaq-sportline/" TargetMode="External"/><Relationship Id="rId122" Type="http://schemas.openxmlformats.org/officeDocument/2006/relationships/hyperlink" Target="https://www.storyboard18.com/agency-news/exclusive-bbh-india-wins-integrated-creative-media-mandate-for-cybersecurity-app-cybx-90514.htm" TargetMode="External"/><Relationship Id="rId123" Type="http://schemas.openxmlformats.org/officeDocument/2006/relationships/hyperlink" Target="https://www.medianews4u.com/bbh-india-brings-home-a-bronze-lion-for-bassi-vs-garnier-men-facewash-campaign/" TargetMode="External"/><Relationship Id="rId124" Type="http://schemas.openxmlformats.org/officeDocument/2006/relationships/hyperlink" Target="https://www.medianews4u.com/publicis-groupe-south-asia-appoints-paritosh-srivastava-and-snehasis-bose-to-lead-bbh-india/" TargetMode="External"/><Relationship Id="rId125" Type="http://schemas.openxmlformats.org/officeDocument/2006/relationships/hyperlink" Target="https://www.medianews4u.com/bbh-india-wins-creative-mandate-of-japfa/" TargetMode="External"/><Relationship Id="rId126" Type="http://schemas.openxmlformats.org/officeDocument/2006/relationships/hyperlink" Target="https://bestmediainfo.com/2023/08/bbh-india-wins-integrated-creative-mandate-of-microtek" TargetMode="External"/><Relationship Id="rId127" Type="http://schemas.openxmlformats.org/officeDocument/2006/relationships/hyperlink" Target="https://www.medianews4u.com/publicis-groupe-south-asia-appoints-paritosh-srivastava-and-snehasis-bose-to-lead-bbh-india/" TargetMode="External"/><Relationship Id="rId128" Type="http://schemas.openxmlformats.org/officeDocument/2006/relationships/hyperlink" Target="https://www.medianews4u.com/bbh-india-wins-unischolars-creative-duties/" TargetMode="External"/><Relationship Id="rId129" Type="http://schemas.openxmlformats.org/officeDocument/2006/relationships/hyperlink" Target="https://www.medianews4u.com/bbh-india-to-handle-upcoming-upgrad-campaign-to-reposition-brand/" TargetMode="External"/><Relationship Id="rId130" Type="http://schemas.openxmlformats.org/officeDocument/2006/relationships/hyperlink" Target="https://www.medianews4u.com/taproot-dentsu-wins-creative-mandate-for-biba/" TargetMode="External"/><Relationship Id="rId131" Type="http://schemas.openxmlformats.org/officeDocument/2006/relationships/hyperlink" Target="https://www.medianews4u.com/enamor-names-tilt-brand-solutions-as-brand-communications-aor/" TargetMode="External"/><Relationship Id="rId132" Type="http://schemas.openxmlformats.org/officeDocument/2006/relationships/hyperlink" Target="https://www.medianews4u.com/publicis-indias-campaign-for-hdfc-mutual-fund-captures-emotional-investment-journey-with-storytelling-and-insights/" TargetMode="External"/><Relationship Id="rId133" Type="http://schemas.openxmlformats.org/officeDocument/2006/relationships/hyperlink" Target="https://www.medianews4u.com/publicis-india-to-manage-the-creative-mandate-of-emamis-power-brand-navratna/" TargetMode="External"/><Relationship Id="rId134" Type="http://schemas.openxmlformats.org/officeDocument/2006/relationships/hyperlink" Target="https://www.socialsamosa.com/samosa-snippets/tracing-legacy-publicis-india-transition-into-bbh-11021947" TargetMode="External"/><Relationship Id="rId135" Type="http://schemas.openxmlformats.org/officeDocument/2006/relationships/hyperlink" Target="https://www.exchange4media.com/advertising-news/publicis-worldwide-india-bags-integrated-creative-mandate-for-pramerica-life-insurance-132070.html" TargetMode="External"/><Relationship Id="rId136" Type="http://schemas.openxmlformats.org/officeDocument/2006/relationships/hyperlink" Target="https://www.medianews4u.com/publicis-india-launches-heartfelt-thank-you-tv-campaign-for-zee-tv/" TargetMode="External"/><Relationship Id="rId137" Type="http://schemas.openxmlformats.org/officeDocument/2006/relationships/hyperlink" Target="https://www.agencyreporter.com/publicis-capital-bags-the-creative-mandate-of-zee5-india/" TargetMode="External"/><Relationship Id="rId138" Type="http://schemas.openxmlformats.org/officeDocument/2006/relationships/hyperlink" Target="https://www.medianews4u.com/marriott-international-brings-loyal-tea-activation-to-mumbai-with-bbh-singapore-to-extend-marriott-bonvoy-campaign/" TargetMode="External"/><Relationship Id="rId139" Type="http://schemas.openxmlformats.org/officeDocument/2006/relationships/hyperlink" Target="https://www.medianews4u.com/leo-burnett-india-to-design-brand-architecture-for-birla-opus/" TargetMode="External"/><Relationship Id="rId140" Type="http://schemas.openxmlformats.org/officeDocument/2006/relationships/hyperlink" Target="https://www.socialsamosa.com/industry-updates/leo-india-alin-choubey-vice-president-digital-12151129" TargetMode="External"/><Relationship Id="rId141" Type="http://schemas.openxmlformats.org/officeDocument/2006/relationships/hyperlink" Target="https://www.socialsamosa.com/industry-updates/leo-india-alin-choubey-vice-president-digital-12151129" TargetMode="External"/><Relationship Id="rId142" Type="http://schemas.openxmlformats.org/officeDocument/2006/relationships/hyperlink" Target="https://campaignbriefasia.com/2026/01/27/hdfc-life-unveils-new-brand-campaign-with-leo-highlighting-parents-role-in-shaping-the-future/" TargetMode="External"/><Relationship Id="rId143" Type="http://schemas.openxmlformats.org/officeDocument/2006/relationships/hyperlink" Target="https://www.medianews4u.com/ikea-india-unveils-new-brand-position-it-all-starts-at-home-deepens-emotional-connect/" TargetMode="External"/><Relationship Id="rId144" Type="http://schemas.openxmlformats.org/officeDocument/2006/relationships/hyperlink" Target="https://www.afaqs.com/tags/leo-burnett-india" TargetMode="External"/><Relationship Id="rId145" Type="http://schemas.openxmlformats.org/officeDocument/2006/relationships/hyperlink" Target="https://www.medianews4u.com/ace-turtle-appoints-leo-burnett-orchard-as-creative-partners-for-lee/" TargetMode="External"/><Relationship Id="rId146" Type="http://schemas.openxmlformats.org/officeDocument/2006/relationships/hyperlink" Target="https://www.medianews4u.com/lenovo-india-and-leo-launch-gamers-on-duty-campaign-to-target-campers-and-drive-laptop-upgrades/" TargetMode="External"/><Relationship Id="rId147" Type="http://schemas.openxmlformats.org/officeDocument/2006/relationships/hyperlink" Target="https://www.afaqs.com/tags/leo-burnett-india" TargetMode="External"/><Relationship Id="rId148" Type="http://schemas.openxmlformats.org/officeDocument/2006/relationships/hyperlink" Target="https://www.medianews4u.com/puma-owns-the-dive-invites-viewers-to-dive-and-post-to-play-alongside-virat-kohli/" TargetMode="External"/><Relationship Id="rId149" Type="http://schemas.openxmlformats.org/officeDocument/2006/relationships/hyperlink" Target="https://www.socialsamosa.com/industry-updates/leo-india-creative-mandate-schneider-electric-9653024" TargetMode="External"/><Relationship Id="rId150" Type="http://schemas.openxmlformats.org/officeDocument/2006/relationships/hyperlink" Target="https://www.medianews4u.com/sebameds-new-campaign-brings-the-wombs-comfort-to-baby-skincare/" TargetMode="External"/><Relationship Id="rId151" Type="http://schemas.openxmlformats.org/officeDocument/2006/relationships/hyperlink" Target="https://campaignbriefasia.com/2026/06/04/visa-partners-with-shah-rukh-khan-for-infinitely-more-campaign-via-leo-india/" TargetMode="External"/><Relationship Id="rId152" Type="http://schemas.openxmlformats.org/officeDocument/2006/relationships/hyperlink" Target="https://www.socialsamosa.com/industry-updates/spikes-asia-winners-leo-india-apac-agency-of-year-11208984" TargetMode="External"/><Relationship Id="rId153" Type="http://schemas.openxmlformats.org/officeDocument/2006/relationships/hyperlink" Target="https://www.medianews4u.com/amazon-india-relaunches-iconic-aur-dikhao-campaign-created-by-leo-burnett-india/" TargetMode="External"/><Relationship Id="rId154" Type="http://schemas.openxmlformats.org/officeDocument/2006/relationships/hyperlink" Target="https://www.medianews4u.com/bandhan-bank-unveils-new-brand-campaign-jahaan-bandhan-wahaan-trust/" TargetMode="External"/><Relationship Id="rId155" Type="http://schemas.openxmlformats.org/officeDocument/2006/relationships/hyperlink" Target="https://www.medianews4u.com/krafton-india-and-leo-india-launch-bgmi-career-mode-to-translate-gameplay-into-career-skills/" TargetMode="External"/><Relationship Id="rId156" Type="http://schemas.openxmlformats.org/officeDocument/2006/relationships/hyperlink" Target="https://www.medianews4u.com/cleartrip-and-leo-burnett-orchard-highlight-the-benefits-of-clear-advantage-in-a-new-campaign/" TargetMode="External"/><Relationship Id="rId157" Type="http://schemas.openxmlformats.org/officeDocument/2006/relationships/hyperlink" Target="https://campaignbriefasia.com/2026/09/16/leo-india-turns-bad-luck-into-unexpected-fortune-for-flipkarts-big-billion-days-2026/" TargetMode="External"/><Relationship Id="rId158" Type="http://schemas.openxmlformats.org/officeDocument/2006/relationships/hyperlink" Target="https://www.socialsamosa.com/industry-updates/spikes-asia-winners-leo-india-apac-agency-of-year-11208984" TargetMode="External"/><Relationship Id="rId159" Type="http://schemas.openxmlformats.org/officeDocument/2006/relationships/hyperlink" Target="https://www.medianews4u.com/ranveer-singh-deepika-padukone-bring-fayda-meter-to-life-in-jiomart-campaign/" TargetMode="External"/><Relationship Id="rId160" Type="http://schemas.openxmlformats.org/officeDocument/2006/relationships/hyperlink" Target="https://www.manifest-media.in/advertising/140226/effie-awards-2025-leo-wins-agency-of-the-year-nestle-is-client-of.html" TargetMode="External"/><Relationship Id="rId161" Type="http://schemas.openxmlformats.org/officeDocument/2006/relationships/hyperlink" Target="https://www.medianews4u.com/mcdonalds-india-unveils-you-said-it-we-made-it-campaign-launches-big-yummy-burgers-inspired-by-real-customer-feedback/" TargetMode="External"/><Relationship Id="rId162" Type="http://schemas.openxmlformats.org/officeDocument/2006/relationships/hyperlink" Target="https://www.medianews4u.com/leo-burnett-india-wins-the-creative-mandate-for-meta/" TargetMode="External"/><Relationship Id="rId163" Type="http://schemas.openxmlformats.org/officeDocument/2006/relationships/hyperlink" Target="https://www.socialsamosa.com/industry-updates/leo-india-alin-choubey-vice-president-digital-12151129" TargetMode="External"/><Relationship Id="rId164" Type="http://schemas.openxmlformats.org/officeDocument/2006/relationships/hyperlink" Target="https://www.afaqs.com/tags/leo-burnett-india" TargetMode="External"/><Relationship Id="rId165" Type="http://schemas.openxmlformats.org/officeDocument/2006/relationships/hyperlink" Target="https://www.manifest-media.in/advertising/140226/effie-awards-2025-leo-wins-agency-of-the-year-nestle-is-client-of.html" TargetMode="External"/><Relationship Id="rId166" Type="http://schemas.openxmlformats.org/officeDocument/2006/relationships/hyperlink" Target="https://www.afaqs.com/news/advertising/india-ends-cannes-lions-2026-run-with-just-five-metals-12110431" TargetMode="External"/><Relationship Id="rId167" Type="http://schemas.openxmlformats.org/officeDocument/2006/relationships/hyperlink" Target="https://www.socialsamosa.com/industry-updates/spikes-asia-winners-leo-india-apac-agency-of-year-11208984" TargetMode="External"/><Relationship Id="rId168" Type="http://schemas.openxmlformats.org/officeDocument/2006/relationships/hyperlink" Target="https://www.afaqs.com/tags/leo-burnett-india" TargetMode="External"/><Relationship Id="rId169" Type="http://schemas.openxmlformats.org/officeDocument/2006/relationships/hyperlink" Target="https://www.medianews4u.com/quess-corp-appoints-msl-india-as-strategic-communications-partner/" TargetMode="External"/><Relationship Id="rId170" Type="http://schemas.openxmlformats.org/officeDocument/2006/relationships/hyperlink" Target="https://www.afaqs.com/news/advertising/lk-saatchi-saatchi-bags-dunkin-indias-integrated-creative-and-digital-mandate" TargetMode="External"/><Relationship Id="rId171" Type="http://schemas.openxmlformats.org/officeDocument/2006/relationships/hyperlink" Target="https://www.medianews4u.com/saatchi-saatchi-propagate-bags-enamors-digital-mandate/" TargetMode="External"/><Relationship Id="rId172" Type="http://schemas.openxmlformats.org/officeDocument/2006/relationships/hyperlink" Target="https://www.medianews4u.com/bimbo-bakeries-indias-new-cremtreat-campaign-share-karne-ka-mann-kare-aur-nahi-bhi-aims-to-express-innocence-and-playfulness/" TargetMode="External"/><Relationship Id="rId173" Type="http://schemas.openxmlformats.org/officeDocument/2006/relationships/hyperlink" Target="https://www.storyboard18.com/agency-news/exclusive-bbh-india-wins-integrated-creative-media-mandate-for-cybersecurity-app-cybx-90514.htm" TargetMode="External"/><Relationship Id="rId174" Type="http://schemas.openxmlformats.org/officeDocument/2006/relationships/hyperlink" Target="https://www.afaqs.com/news/advertising/saatchi-saatchi-propagate-bags-digital-mandate-for-jio-bp" TargetMode="External"/><Relationship Id="rId175" Type="http://schemas.openxmlformats.org/officeDocument/2006/relationships/hyperlink" Target="https://www.afaqs.com/tags/saatchi-saatchi-propagate" TargetMode="External"/><Relationship Id="rId176" Type="http://schemas.openxmlformats.org/officeDocument/2006/relationships/hyperlink" Target="https://www.whizsky.com/press-releases/publicis-beehive-bags-creative-mandate-of-balaji-wafers" TargetMode="External"/><Relationship Id="rId177" Type="http://schemas.openxmlformats.org/officeDocument/2006/relationships/hyperlink" Target="https://www.medianews4u.com/storia-unveils-marketing-campaign-for-their-range-of-shakes-ads-to-span-across-ott-tv-digital-and-social-media/" TargetMode="External"/><Relationship Id="rId178" Type="http://schemas.openxmlformats.org/officeDocument/2006/relationships/hyperlink" Target="https://www.medianews4u.com/coronas-launches-a-campaign-around-sunset-views/" TargetMode="External"/><Relationship Id="rId179" Type="http://schemas.openxmlformats.org/officeDocument/2006/relationships/hyperlink" Target="https://www.medianews4u.com/duolingo-english-test-unveils-why-i-took-the-det-campaign-showcasing-study-abroad-success/" TargetMode="External"/><Relationship Id="rId180" Type="http://schemas.openxmlformats.org/officeDocument/2006/relationships/hyperlink" Target="https://www.afaqs.com/news/advertising/digitas-india-bags-digital-and-media-mandate-for-ai-platform-equbot" TargetMode="External"/><Relationship Id="rId181" Type="http://schemas.openxmlformats.org/officeDocument/2006/relationships/hyperlink" Target="https://www.afaqs.com/news/advertising/publicis-groupes-digitas-india-wins-digital-creative-mandate-for-deoleo-india" TargetMode="External"/><Relationship Id="rId182" Type="http://schemas.openxmlformats.org/officeDocument/2006/relationships/hyperlink" Target="https://whatnews.in/digitas-india-bags-digital-mandate-for-matter/" TargetMode="External"/><Relationship Id="rId183" Type="http://schemas.openxmlformats.org/officeDocument/2006/relationships/hyperlink" Target="https://www.afaqs.com/tags/digitas-india" TargetMode="External"/><Relationship Id="rId184" Type="http://schemas.openxmlformats.org/officeDocument/2006/relationships/hyperlink" Target="https://www.medianews4u.com/duolingo-and-talented-reimagine-chess-with-a-fashion-forward-campaign-featuring-praggnanandhaa/" TargetMode="External"/><Relationship Id="rId185" Type="http://schemas.openxmlformats.org/officeDocument/2006/relationships/hyperlink" Target="https://www.exchange4media.com/pr-and-corporate-communication-news/digitas-india-wins-digital-communications-mandate-for-okaya-120939.html" TargetMode="External"/><Relationship Id="rId186" Type="http://schemas.openxmlformats.org/officeDocument/2006/relationships/hyperlink" Target="https://www.medianews4u.com/saatchi-saatchi-reimagines-renault-kiger-launch-with-gamified-billboard/" TargetMode="External"/><Relationship Id="rId187" Type="http://schemas.openxmlformats.org/officeDocument/2006/relationships/hyperlink" Target="https://www.storyboard18.com/agency-news/loreal-india-appoints-publicis-media-as-integrated-media-agency-after-strategic-review-99678.htm" TargetMode="External"/><Relationship Id="rId188" Type="http://schemas.openxmlformats.org/officeDocument/2006/relationships/hyperlink" Target="https://www.afaqs.com/news/newbizwins/publicis-starcom-wins-flipkart-groups-750-crore-media-mandate-replaces-essencemediacom-10981998" TargetMode="External"/><Relationship Id="rId189" Type="http://schemas.openxmlformats.org/officeDocument/2006/relationships/hyperlink" Target="https://www.medianews4u.com/audi-india-appoints-wondrlab-as-brand-communication-partner/" TargetMode="External"/><Relationship Id="rId190" Type="http://schemas.openxmlformats.org/officeDocument/2006/relationships/hyperlink" Target="https://www.medianews4u.com/lk-saatchi-saatchi-wins-retail-communications-mandate-of-audi-india/" TargetMode="External"/><Relationship Id="rId191" Type="http://schemas.openxmlformats.org/officeDocument/2006/relationships/hyperlink" Target="https://www.medianews4u.com/arvind-limited-appoints-lk-saatchi-saatchi-as-marketing-strategic-partner/" TargetMode="External"/><Relationship Id="rId192" Type="http://schemas.openxmlformats.org/officeDocument/2006/relationships/hyperlink" Target="https://www.afaqs.com/news/advertising/lk-saatchi-saatchi-bags-dunkin-indias-integrated-creative-and-digital-mandate" TargetMode="External"/><Relationship Id="rId193" Type="http://schemas.openxmlformats.org/officeDocument/2006/relationships/hyperlink" Target="https://www.medianews4u.com/saatchi-saatchi-india-launches-fedex-the-move-india-needs-featuring-ms-dhoni-ruturaj-gaikwad-and-urvil-patel/" TargetMode="External"/><Relationship Id="rId194" Type="http://schemas.openxmlformats.org/officeDocument/2006/relationships/hyperlink" Target="https://www.medianews4u.com/rohit-hardik-sky-light-up-lauritz-knudsens-who-am-i-campaign-by-saatchi-saatchi/" TargetMode="External"/><Relationship Id="rId195" Type="http://schemas.openxmlformats.org/officeDocument/2006/relationships/hyperlink" Target="https://www.medianews4u.com/saatchi-saatchi-india-highlights-structural-strength-with-captain-steel-tvc-featuring-sourav-ganguly/" TargetMode="External"/><Relationship Id="rId196" Type="http://schemas.openxmlformats.org/officeDocument/2006/relationships/hyperlink" Target="https://www.medianews4u.com/saatchi-saatchi-india-elevates-flites-iconic-tagline-with-sanya-malhotra/" TargetMode="External"/><Relationship Id="rId197" Type="http://schemas.openxmlformats.org/officeDocument/2006/relationships/hyperlink" Target="https://www.medianews4u.com/lk-saatchi-saatchis-campaign-showcases-ac-refrigerants-role-in-staying-cool-during-summer/" TargetMode="External"/><Relationship Id="rId198" Type="http://schemas.openxmlformats.org/officeDocument/2006/relationships/hyperlink" Target="https://www.medianews4u.com/lk-saatchi-saatchi-bags-grupo-bimbos-creative-and-media-mandate/" TargetMode="External"/><Relationship Id="rId199" Type="http://schemas.openxmlformats.org/officeDocument/2006/relationships/hyperlink" Target="https://www.medianews4u.com/hero-motocorp-turns-tibetan-prayer-flags-into-first-aid-kits-for-himalayan-bikers/" TargetMode="External"/><Relationship Id="rId200" Type="http://schemas.openxmlformats.org/officeDocument/2006/relationships/hyperlink" Target="https://www.adobomagazine.com/campaign-spotlight/jiomart-and-lk-saatchi-and-saatchi-bring-the-relationship-between-shopkeeper-and-customer-to-the-fore/" TargetMode="External"/><Relationship Id="rId201" Type="http://schemas.openxmlformats.org/officeDocument/2006/relationships/hyperlink" Target="https://www.medianews4u.com/house-of-mcdowells-soda-takes-its-yaari-story-in-a-new-direction-with-kartik-aaryan/" TargetMode="External"/><Relationship Id="rId202" Type="http://schemas.openxmlformats.org/officeDocument/2006/relationships/hyperlink" Target="https://www.medianews4u.com/saatchi-saatchi-reimagines-renault-kiger-launch-with-gamified-billboard/" TargetMode="External"/><Relationship Id="rId203" Type="http://schemas.openxmlformats.org/officeDocument/2006/relationships/hyperlink" Target="https://www.medianews4u.com/kartik-aaryan-leads-mcdowells-sodas-new-campaign-celebrating-friendship-and-unforgettable-firsts/" TargetMode="External"/><Relationship Id="rId204" Type="http://schemas.openxmlformats.org/officeDocument/2006/relationships/hyperlink" Target="https://campaignbriefasia.com/2026/09/23/adani-realty-and-22feet-india-celebrate-the-journey-of-bappas-homecoming/" TargetMode="External"/><Relationship Id="rId205" Type="http://schemas.openxmlformats.org/officeDocument/2006/relationships/hyperlink" Target="https://campaignbriefasia.com/2026/04/20/agoda-highlights-smart-travel-savings-in-new-what-a-save-campaign-via-22feet-india/" TargetMode="External"/><Relationship Id="rId206" Type="http://schemas.openxmlformats.org/officeDocument/2006/relationships/hyperlink" Target="https://www.socialsamosa.com/industry-updates/22feet-digital-aor-ajio-11834732" TargetMode="External"/><Relationship Id="rId207" Type="http://schemas.openxmlformats.org/officeDocument/2006/relationships/hyperlink" Target="https://campaignbriefasia.com/2026/08/17/ajio-and-22feet-launch-rakhi-recovery-abhiyaan-to-recover-years-of-missed-gifts/" TargetMode="External"/><Relationship Id="rId208" Type="http://schemas.openxmlformats.org/officeDocument/2006/relationships/hyperlink" Target="https://campaignbriefasia.com/2025/11/03/ddb-tribal-and-mars-wrigley-india-launch-take-pleasure-campaign-for-all-new-galaxy/" TargetMode="External"/><Relationship Id="rId209" Type="http://schemas.openxmlformats.org/officeDocument/2006/relationships/hyperlink" Target="https://www.storyboard18.com/agency-news/22feet-wins-social-media-mandate-for-interio-by-godrej-100832.htm" TargetMode="External"/><Relationship Id="rId210" Type="http://schemas.openxmlformats.org/officeDocument/2006/relationships/hyperlink" Target="https://news.google.com/rss/search?q=%2222feet+Tribal%22&amp;hl=en-IN&amp;gl=IN&amp;ceid=IN:en" TargetMode="External"/><Relationship Id="rId211" Type="http://schemas.openxmlformats.org/officeDocument/2006/relationships/hyperlink" Target="https://www.storyboard18.com/advertising/jack-daniels-appoints-22feet-as-its-integrated-creative-agency-of-record-for-india-96423.htm" TargetMode="External"/><Relationship Id="rId212" Type="http://schemas.openxmlformats.org/officeDocument/2006/relationships/hyperlink" Target="https://www.afaqs.com/news/newbizwins/keenai-wealth-appoints-22feet-tribal-worldwide-as-creative-partner-9059980" TargetMode="External"/><Relationship Id="rId213" Type="http://schemas.openxmlformats.org/officeDocument/2006/relationships/hyperlink" Target="https://campaignbriefasia.com/2023/08/01/ddb-tribal-india-demonstrates-the-power-of-aroma-via-latest-adani-wilmar-campaign/" TargetMode="External"/><Relationship Id="rId214" Type="http://schemas.openxmlformats.org/officeDocument/2006/relationships/hyperlink" Target="https://www.afaqs.com/news/advertising/22feet-tribal-worldwide-bags-the-digital-mandate-for-lumina-cloudinfra" TargetMode="External"/><Relationship Id="rId215" Type="http://schemas.openxmlformats.org/officeDocument/2006/relationships/hyperlink" Target="https://www.afaqs.com/news/newbizwins/22feet-bags-digital-mandate-for-royal-canin-india-11874973" TargetMode="External"/><Relationship Id="rId216" Type="http://schemas.openxmlformats.org/officeDocument/2006/relationships/hyperlink" Target="https://campaignbriefasia.com/2026/08/05/royal-canins-new-film-by-22feet-india-encourages-a-healthier-start-for-puppies-and-kittens/" TargetMode="External"/><Relationship Id="rId217" Type="http://schemas.openxmlformats.org/officeDocument/2006/relationships/hyperlink" Target="https://campaignbriefasia.com/2025/11/17/volkswagen-india-takes-drivers-back-to-the-moment-their-love-for-cars-was-born/" TargetMode="External"/><Relationship Id="rId218" Type="http://schemas.openxmlformats.org/officeDocument/2006/relationships/hyperlink" Target="https://www.medianews4u.com/whiskas-introduces-a-cat-food-range-with-a-campaign-featuring-mrunal-thakur/" TargetMode="External"/><Relationship Id="rId219" Type="http://schemas.openxmlformats.org/officeDocument/2006/relationships/hyperlink" Target="https://news.google.com/rss/search?q=BGMI+Krafton+campaign+agency+22feet+OR+McCann+OR+Mudra+2026&amp;hl=en-IN&amp;gl=IN&amp;ceid=IN:en" TargetMode="External"/><Relationship Id="rId220" Type="http://schemas.openxmlformats.org/officeDocument/2006/relationships/hyperlink" Target="https://campaignbriefasia.com/2023/06/26/doublemint-encourages-real-conversations-with-startsometingfresh-via-ddb-tribal-india/" TargetMode="External"/><Relationship Id="rId221" Type="http://schemas.openxmlformats.org/officeDocument/2006/relationships/hyperlink" Target="https://campaignbriefasia.com/2026/08/11/flipkart-puts-a-new-spin-on-british-raj-for-freedom-sale-campaign-by-22feet-india/" TargetMode="External"/><Relationship Id="rId222" Type="http://schemas.openxmlformats.org/officeDocument/2006/relationships/hyperlink" Target="https://www.afaqs.com/news/advertising/mars-petcare-awards-digital-mandate-to-22feet-tribal-worldwide" TargetMode="External"/><Relationship Id="rId223" Type="http://schemas.openxmlformats.org/officeDocument/2006/relationships/hyperlink" Target="https://news.google.com/rss/search?q=%2222feet+Tribal%22&amp;hl=en-IN&amp;gl=IN&amp;ceid=IN:en" TargetMode="External"/><Relationship Id="rId224" Type="http://schemas.openxmlformats.org/officeDocument/2006/relationships/hyperlink" Target="https://campaignbriefasia.com/2024/07/17/rohit-shetty-takes-the-wheel-in-this-new-ddb-tribal-india-spot-for-snickers/" TargetMode="External"/><Relationship Id="rId225" Type="http://schemas.openxmlformats.org/officeDocument/2006/relationships/hyperlink" Target="https://www.afaqs.com/news/advertising/mercedes-benz-marks-140-years-with-india-chapter-of-global-expedition-12544146" TargetMode="External"/><Relationship Id="rId226" Type="http://schemas.openxmlformats.org/officeDocument/2006/relationships/hyperlink" Target="https://campaignbriefasia.com/2026/09/17/mercedes-benz-celebrates-140-years-with-bbdo-indias-distinctly-indian-homecoming/" TargetMode="External"/><Relationship Id="rId227" Type="http://schemas.openxmlformats.org/officeDocument/2006/relationships/hyperlink" Target="https://www.storyboard18.com/brand-marketing/bbdo-india-wins-integrated-creative-mandate-for-lt-foods-daawat-in-india-105902.htm" TargetMode="External"/><Relationship Id="rId228" Type="http://schemas.openxmlformats.org/officeDocument/2006/relationships/hyperlink" Target="https://news.google.com/rss/search?q=%22BBDO+India%22+mandate&amp;hl=en-IN&amp;gl=IN&amp;ceid=IN:en" TargetMode="External"/><Relationship Id="rId229" Type="http://schemas.openxmlformats.org/officeDocument/2006/relationships/hyperlink" Target="https://www.socialsamosa.com/samosa-snippets/bbdo-tbwa-mccann-bring-omnicom-reshaped-empire-10841609" TargetMode="External"/><Relationship Id="rId230" Type="http://schemas.openxmlformats.org/officeDocument/2006/relationships/hyperlink" Target="https://news.google.com/rss/search?q=%22BBDO+India%22+mandate&amp;hl=en-IN&amp;gl=IN&amp;ceid=IN:en" TargetMode="External"/><Relationship Id="rId231" Type="http://schemas.openxmlformats.org/officeDocument/2006/relationships/hyperlink" Target="https://campaignbriefasia.com/2026/08/06/bbdo-india-and-mcdonalds-india-launch-mccafe-campaign-as-network-expands-to-200-outlets/" TargetMode="External"/><Relationship Id="rId232" Type="http://schemas.openxmlformats.org/officeDocument/2006/relationships/hyperlink" Target="https://campaignbriefasia.com/2025/06/09/cannes-lions-2025-contenders-bbdo-india/" TargetMode="External"/><Relationship Id="rId233" Type="http://schemas.openxmlformats.org/officeDocument/2006/relationships/hyperlink" Target="https://campaignbriefasia.com/2025/06/09/cannes-lions-2025-contenders-bbdo-india/" TargetMode="External"/><Relationship Id="rId234" Type="http://schemas.openxmlformats.org/officeDocument/2006/relationships/hyperlink" Target="https://www.medianews4u.com/whiskas-spotlights-texture-and-taste-with-new-pockets-campaign/" TargetMode="External"/><Relationship Id="rId235" Type="http://schemas.openxmlformats.org/officeDocument/2006/relationships/hyperlink" Target="https://campaignbriefasia.com/2025/09/24/bbdo-india-and-world-gold-council-celebrate-lifes-everyday-moments-with-gold/" TargetMode="External"/><Relationship Id="rId236" Type="http://schemas.openxmlformats.org/officeDocument/2006/relationships/hyperlink" Target="https://campaignbriefasia.com/2025/06/20/bbdo-india-takes-out-sustainable-development-goals-silver-lion-for-ariel-sharetheload-10-years/" TargetMode="External"/><Relationship Id="rId237" Type="http://schemas.openxmlformats.org/officeDocument/2006/relationships/hyperlink" Target="https://www.medianews4u.com/birla-opus-paints-tackles-indias-papdi-problem-with-humorous-campaign-for-style-power-bright/" TargetMode="External"/><Relationship Id="rId238" Type="http://schemas.openxmlformats.org/officeDocument/2006/relationships/hyperlink" Target="https://campaignbriefasia.com/2025/06/09/cannes-lions-2025-contenders-bbdo-india/" TargetMode="External"/><Relationship Id="rId239" Type="http://schemas.openxmlformats.org/officeDocument/2006/relationships/hyperlink" Target="https://news.google.com/rss/search?q=%22BBDO+India%22+mandate&amp;hl=en-IN&amp;gl=IN&amp;ceid=IN:en" TargetMode="External"/><Relationship Id="rId240" Type="http://schemas.openxmlformats.org/officeDocument/2006/relationships/hyperlink" Target="https://campaignbriefasia.com/2026/08/05/bbdo-india-reminds-readers-ink-doesnt-lie-in-new-campaign-for-the-indian-newspaper-society/" TargetMode="External"/><Relationship Id="rId241" Type="http://schemas.openxmlformats.org/officeDocument/2006/relationships/hyperlink" Target="https://campaignbriefasia.com/2022/02/08/bbdo-india-lands-milkbaskets-brand-mandate/" TargetMode="External"/><Relationship Id="rId242" Type="http://schemas.openxmlformats.org/officeDocument/2006/relationships/hyperlink" Target="https://www.socialsamosa.com/samosa-snippets/bbdo-tbwa-mccann-bring-omnicom-reshaped-empire-10841609" TargetMode="External"/><Relationship Id="rId243" Type="http://schemas.openxmlformats.org/officeDocument/2006/relationships/hyperlink" Target="https://www.storyboard18.com/agency-news/omnicom-reinvents-the-volkswagen-playbook-with-bernbach-95341.htm" TargetMode="External"/><Relationship Id="rId244" Type="http://schemas.openxmlformats.org/officeDocument/2006/relationships/hyperlink" Target="https://www.storyboard18.com/how-it-works/volkswagen-colgate-palmolive-apple-the-return-of-the-agency-within-an-agency-96076.htm" TargetMode="External"/><Relationship Id="rId245" Type="http://schemas.openxmlformats.org/officeDocument/2006/relationships/hyperlink" Target="https://www.medianews4u.com/berger-paints-and-kareena-kapoor-khan-turn-up-the-shine-in-new-berger-silk-glamor-campaign/" TargetMode="External"/><Relationship Id="rId246" Type="http://schemas.openxmlformats.org/officeDocument/2006/relationships/hyperlink" Target="https://www.medianews4u.com/mumbais-potholes-become-mahindras-playground-in-bold-thar-test-drive-campaign/" TargetMode="External"/><Relationship Id="rId247" Type="http://schemas.openxmlformats.org/officeDocument/2006/relationships/hyperlink" Target="https://www.medianews4u.com/royal-stag-barrel-select-shorts-launches-for-the-select-ones-campaign-featuring-rajkummar-rao-and-patralekha/" TargetMode="External"/><Relationship Id="rId248" Type="http://schemas.openxmlformats.org/officeDocument/2006/relationships/hyperlink" Target="https://www.medianews4u.com/horlicks-fcb-neo-flip-the-script-on-growth-with-new-campaign-celebrating-mischief-as-a-sign-of-true-development/" TargetMode="External"/><Relationship Id="rId249" Type="http://schemas.openxmlformats.org/officeDocument/2006/relationships/hyperlink" Target="https://www.afaqs.com/news/advertising/kfc-turns-up-the-heat-with-a-saucy-new-campaign-for-its-dunked-range-10987101" TargetMode="External"/><Relationship Id="rId250" Type="http://schemas.openxmlformats.org/officeDocument/2006/relationships/hyperlink" Target="https://www.medianews4u.com/royal-stag-launches-rscode-campaign-blending-cricket-data-and-ai-to-help-fans-decode-success/" TargetMode="External"/><Relationship Id="rId251" Type="http://schemas.openxmlformats.org/officeDocument/2006/relationships/hyperlink" Target="https://www.afaqs.com/news/advertising/volvo-appoints-ipgs-initiative-as-global-media-agency-8549521" TargetMode="External"/><Relationship Id="rId252" Type="http://schemas.openxmlformats.org/officeDocument/2006/relationships/hyperlink" Target="https://www.afaqs.com/news/newbizwins/dentsu-to-handle-air-indias-media-mandate-12068834" TargetMode="External"/><Relationship Id="rId253" Type="http://schemas.openxmlformats.org/officeDocument/2006/relationships/hyperlink" Target="https://www.storyboard18.com/advertising/biz-breaks-major-account-moves-and-pitches-of-2024-51970.htm" TargetMode="External"/><Relationship Id="rId254" Type="http://schemas.openxmlformats.org/officeDocument/2006/relationships/hyperlink" Target="https://www.medianews4u.com/bmw-india-interactive-avenues-and-vdo-ai-collaborate-to-launch-interactive-ctv-campaigns-showcasing-bmw-2-series-gran-coupe-and-bmw-x3/" TargetMode="External"/><Relationship Id="rId255" Type="http://schemas.openxmlformats.org/officeDocument/2006/relationships/hyperlink" Target="https://www.afaqs.com/news/advertising/interactive-avenues-bags-social-media-mandate-for-rppl" TargetMode="External"/><Relationship Id="rId256" Type="http://schemas.openxmlformats.org/officeDocument/2006/relationships/hyperlink" Target="https://www.afaqs.com/news/advertising/interactive-avenues-awarded-e-commerce-mandate-for-twinings" TargetMode="External"/><Relationship Id="rId257" Type="http://schemas.openxmlformats.org/officeDocument/2006/relationships/hyperlink" Target="https://www.afaqs.com/news/advertising/apsara-zestas-new-campaign-celebrates-the-joy-of-writing-12159662" TargetMode="External"/><Relationship Id="rId258" Type="http://schemas.openxmlformats.org/officeDocument/2006/relationships/hyperlink" Target="https://www.medianews4u.com/interactive-avenues-secures-social-media-mandate-for-home-centre/" TargetMode="External"/><Relationship Id="rId259" Type="http://schemas.openxmlformats.org/officeDocument/2006/relationships/hyperlink" Target="https://www.medianews4u.com/interactive-avenues-wins-creative-and-media-mandate-for-super-league-kerala/" TargetMode="External"/><Relationship Id="rId260" Type="http://schemas.openxmlformats.org/officeDocument/2006/relationships/hyperlink" Target="https://news.google.com/rss/search?q=%22Ketchum+Sampark%22+OR+%22FleishmanHillard+India%22+mandate&amp;hl=en-IN&amp;gl=IN&amp;ceid=IN:en" TargetMode="External"/><Relationship Id="rId261" Type="http://schemas.openxmlformats.org/officeDocument/2006/relationships/hyperlink" Target="https://news.google.com/rss/search?q=%22Ketchum+Sampark%22+OR+%22FleishmanHillard+India%22+mandate&amp;hl=en-IN&amp;gl=IN&amp;ceid=IN:en" TargetMode="External"/><Relationship Id="rId262" Type="http://schemas.openxmlformats.org/officeDocument/2006/relationships/hyperlink" Target="https://news.google.com/rss/search?q=%22Ketchum+Sampark%22+OR+%22FleishmanHillard+India%22+mandate&amp;hl=en-IN&amp;gl=IN&amp;ceid=IN:en" TargetMode="External"/><Relationship Id="rId263" Type="http://schemas.openxmlformats.org/officeDocument/2006/relationships/hyperlink" Target="https://www.afaqs.com/news/advertising/hdfc-bank-kinnect-turn-laziness-saves-into-fraud-awareness-12482592" TargetMode="External"/><Relationship Id="rId264" Type="http://schemas.openxmlformats.org/officeDocument/2006/relationships/hyperlink" Target="https://www.medianews4u.com/intel-launches-new-campaign-urging-parents-to-rethink-the-role-of-pcs-in-modern-education/" TargetMode="External"/><Relationship Id="rId265" Type="http://schemas.openxmlformats.org/officeDocument/2006/relationships/hyperlink" Target="https://www.medianews4u.com/lenovo-intel-and-fcb-kinnect-transform-storytelling-with-ai-in-brave-new-art-3/" TargetMode="External"/><Relationship Id="rId266" Type="http://schemas.openxmlformats.org/officeDocument/2006/relationships/hyperlink" Target="https://sportzpower.com/kinnect-wins-mumbai-indians-creative-mandate/" TargetMode="External"/><Relationship Id="rId267" Type="http://schemas.openxmlformats.org/officeDocument/2006/relationships/hyperlink" Target="https://www.afaqs.com/news/advertising/titans-skinn-wants-you-to-smell-like-a-celebration-this-festive-season-10498061" TargetMode="External"/><Relationship Id="rId268" Type="http://schemas.openxmlformats.org/officeDocument/2006/relationships/hyperlink" Target="https://www.afaqs.com/news/advertising/kinnect-bags-digital-mandate-for-blue-star" TargetMode="External"/><Relationship Id="rId269" Type="http://schemas.openxmlformats.org/officeDocument/2006/relationships/hyperlink" Target="https://www.storyboard18.com/brand-marketing/exclusive-kinnect-wins-creative-mandate-for-burger-king-india-99209.htm" TargetMode="External"/><Relationship Id="rId270" Type="http://schemas.openxmlformats.org/officeDocument/2006/relationships/hyperlink" Target="https://www.medianews4u.com/flipkarts-sasa-lele-a-double-sale-you-cant-look-away-from-or-stop-humming/" TargetMode="External"/><Relationship Id="rId271" Type="http://schemas.openxmlformats.org/officeDocument/2006/relationships/hyperlink" Target="https://www.afaqs.com/news/newbizwins/fcb-kinnect-wins-full-funnel-creative-mandate-for-prega-news-8742531" TargetMode="External"/><Relationship Id="rId272" Type="http://schemas.openxmlformats.org/officeDocument/2006/relationships/hyperlink" Target="https://www.medianews4u.com/sbi-launches-celebrations-unlimited-campaign-conceptualized-by-fcb-kinnect-to-promote-festive-loans/" TargetMode="External"/><Relationship Id="rId273" Type="http://schemas.openxmlformats.org/officeDocument/2006/relationships/hyperlink" Target="https://www.medianews4u.com/tvs-raider-launches-bold-new-campaign-call-of-the-wicked/" TargetMode="External"/><Relationship Id="rId274" Type="http://schemas.openxmlformats.org/officeDocument/2006/relationships/hyperlink" Target="https://www.storyboard18.com/agency-news/exclusive-bmw-india-appoints-vmls-contract-advertising-india-as-creative-agency-87842.htm" TargetMode="External"/><Relationship Id="rId275" Type="http://schemas.openxmlformats.org/officeDocument/2006/relationships/hyperlink" Target="https://www.storyboard18.com/agency-news/exclusive-cheil-india-secures-samsungs-consolidated-above-the-line-media-account-following-high-stakes-pitch-99615.htm" TargetMode="External"/><Relationship Id="rId276" Type="http://schemas.openxmlformats.org/officeDocument/2006/relationships/hyperlink" Target="https://www.afaqs.com/news/newbizwins/omnicom-medias-lodestar-um-wins-amfis-integrated-media-mandate-12053173" TargetMode="External"/><Relationship Id="rId277" Type="http://schemas.openxmlformats.org/officeDocument/2006/relationships/hyperlink" Target="https://www.afaqs.com/news/advertising/hilton-wants-indias-hustlers-to-feel-at-home-enough-to-dance-just-ask-deepika-12186053" TargetMode="External"/><Relationship Id="rId278" Type="http://schemas.openxmlformats.org/officeDocument/2006/relationships/hyperlink" Target="https://www.storyboard18.com/brand-marketing/air-india-unveils-new-brand-campaign-featuring-vaibhav-sooryavanshi-ahead-of-asian-games-ws-l-111103.htm" TargetMode="External"/><Relationship Id="rId279" Type="http://schemas.openxmlformats.org/officeDocument/2006/relationships/hyperlink" Target="https://www.medianews4u.com/mccann-worldgroup-bags-air-indias-advertising-and-marketing-communications-mandate/" TargetMode="External"/><Relationship Id="rId280" Type="http://schemas.openxmlformats.org/officeDocument/2006/relationships/hyperlink" Target="https://www.medianews4u.com/mccann-worldgroup-crafts-visual-symphony-for-asian-paints-royale-glitz-featuring-deepika-padukone/" TargetMode="External"/><Relationship Id="rId281" Type="http://schemas.openxmlformats.org/officeDocument/2006/relationships/hyperlink" Target="https://www.afaqs.com/news/advertising/birla-estates-launches-storiespersqft-t20-campaign-with-rcb-players-8924426" TargetMode="External"/><Relationship Id="rId282" Type="http://schemas.openxmlformats.org/officeDocument/2006/relationships/hyperlink" Target="https://www.storyboard18.com/agency-news/mccann-worldgroup-leads-indian-wins-at-dad-awards-2025-67113.htm" TargetMode="External"/><Relationship Id="rId283" Type="http://schemas.openxmlformats.org/officeDocument/2006/relationships/hyperlink" Target="https://www.afaqs.com/news/mktg/cera-names-kriti-sanon-as-brand-ambassador-12167225" TargetMode="External"/><Relationship Id="rId284" Type="http://schemas.openxmlformats.org/officeDocument/2006/relationships/hyperlink" Target="https://www.afaqs.com/news/advertising/johnsons-baby-launches-poshan-ka-pehla-sparsh-campaign-12062183" TargetMode="External"/><Relationship Id="rId285" Type="http://schemas.openxmlformats.org/officeDocument/2006/relationships/hyperlink" Target="https://www.afaqs.com/news/advertising/ceo-dheeraj-sinha-on-leading-mccann-in-the-post-merger-era-12015227" TargetMode="External"/><Relationship Id="rId286" Type="http://schemas.openxmlformats.org/officeDocument/2006/relationships/hyperlink" Target="https://www.medianews4u.com/manyavars-aap-kab-ban-rahe-hain-manyavar-campaign-celebrates-the-wedding-as-a-joyful-milestone-in-the-grooms-journey/" TargetMode="External"/><Relationship Id="rId287" Type="http://schemas.openxmlformats.org/officeDocument/2006/relationships/hyperlink" Target="https://www.afaqs.com/news/advertising/ceo-dheeraj-sinha-on-leading-mccann-in-the-post-merger-era-12015227" TargetMode="External"/><Relationship Id="rId288" Type="http://schemas.openxmlformats.org/officeDocument/2006/relationships/hyperlink" Target="https://www.afaqs.com/news/advertising/salesforces-first-campaign-in-india-stars-rahul-dravid-7235070" TargetMode="External"/><Relationship Id="rId289" Type="http://schemas.openxmlformats.org/officeDocument/2006/relationships/hyperlink" Target="https://www.afaqs.com/news/newbizwins/mccann-india-wins-3m-consumer-business-creative-mandate-12250026" TargetMode="External"/><Relationship Id="rId290" Type="http://schemas.openxmlformats.org/officeDocument/2006/relationships/hyperlink" Target="https://www.medianews4u.com/bajaj-strengthens-connections-with-todays-youth-through-summer-campaigns-for-fans-and-air-coolers/" TargetMode="External"/><Relationship Id="rId291" Type="http://schemas.openxmlformats.org/officeDocument/2006/relationships/hyperlink" Target="https://www.medianews4u.com/britannias-chunkies-get-a-quirky-makeover-with-the-relatable-eathappens-campaign/" TargetMode="External"/><Relationship Id="rId292" Type="http://schemas.openxmlformats.org/officeDocument/2006/relationships/hyperlink" Target="https://www.afaqs.com/topic/mccann-worldgroup-india" TargetMode="External"/><Relationship Id="rId293" Type="http://schemas.openxmlformats.org/officeDocument/2006/relationships/hyperlink" Target="https://www.socialsamosa.com/samosa-snippets/bbdo-tbwa-mccann-bring-omnicom-reshaped-empire-10841609" TargetMode="External"/><Relationship Id="rId294" Type="http://schemas.openxmlformats.org/officeDocument/2006/relationships/hyperlink" Target="https://www.medianews4u.com/madhuri-dixit-and-sneha-emphasize-on-criticality-of-protein-for-growing-kids/" TargetMode="External"/><Relationship Id="rId295" Type="http://schemas.openxmlformats.org/officeDocument/2006/relationships/hyperlink" Target="https://www.medianews4u.com/dettol-fresh-introduces-12-hour-freshness-to-keep-indians-always-ready/" TargetMode="External"/><Relationship Id="rId296" Type="http://schemas.openxmlformats.org/officeDocument/2006/relationships/hyperlink" Target="https://www.storyboard18.com/agency-news/mccann-worldgroup-leads-indian-wins-at-dad-awards-2025-67113.htm" TargetMode="External"/><Relationship Id="rId297" Type="http://schemas.openxmlformats.org/officeDocument/2006/relationships/hyperlink" Target="https://www.medianews4u.com/flipkart-turns-piyush-mishras-biggest-regret-into-a-big-billion-days-iphone-campaign/" TargetMode="External"/><Relationship Id="rId298" Type="http://schemas.openxmlformats.org/officeDocument/2006/relationships/hyperlink" Target="https://www.afaqs.com/news/advertising/hero-destinis-new-campaign-puts-dads-in-the-heros-seat-12152141" TargetMode="External"/><Relationship Id="rId299" Type="http://schemas.openxmlformats.org/officeDocument/2006/relationships/hyperlink" Target="https://www.afaqs.com/news/advertising/ceo-dheeraj-sinha-on-leading-mccann-in-the-post-merger-era-12015227" TargetMode="External"/><Relationship Id="rId300" Type="http://schemas.openxmlformats.org/officeDocument/2006/relationships/hyperlink" Target="https://campaignbriefasia.com/2026/06/05/mcdonalds-india-celebrates-30-years-with-lets-family-at-mcd-campaign-via-mccann-india/" TargetMode="External"/><Relationship Id="rId301" Type="http://schemas.openxmlformats.org/officeDocument/2006/relationships/hyperlink" Target="https://www.socialsamosa.com/samosa-snippets/bbdo-tbwa-mccann-bring-omnicom-reshaped-empire-10841609" TargetMode="External"/><Relationship Id="rId302" Type="http://schemas.openxmlformats.org/officeDocument/2006/relationships/hyperlink" Target="https://www.socialsamosa.com/samosa-snippets/bbdo-tbwa-mccann-bring-omnicom-reshaped-empire-10841609" TargetMode="External"/><Relationship Id="rId303" Type="http://schemas.openxmlformats.org/officeDocument/2006/relationships/hyperlink" Target="https://www.afaqs.com/news/newbizwins/smart-bazaar-appoints-mccann-worldgroup-india-to-lead-creative-mandate-9765343" TargetMode="External"/><Relationship Id="rId304" Type="http://schemas.openxmlformats.org/officeDocument/2006/relationships/hyperlink" Target="https://manifest-media.in/video/campaigns/280926/stayfree-puts-boys-at-the-centre-of-its-latest-push-to-normalise-perio.html" TargetMode="External"/><Relationship Id="rId305" Type="http://schemas.openxmlformats.org/officeDocument/2006/relationships/hyperlink" Target="https://www.medianews4u.com/yes-banks-milkar-jitayenge-campaign-looks-to-support-olympic-athletes-through-a-film-interactive-microsite/" TargetMode="External"/><Relationship Id="rId306" Type="http://schemas.openxmlformats.org/officeDocument/2006/relationships/hyperlink" Target="https://www.medianews4u.com/fcb-india-reimagines-call-me-bae-scenes-for-android-campaign-to-engage-gen-z/" TargetMode="External"/><Relationship Id="rId307" Type="http://schemas.openxmlformats.org/officeDocument/2006/relationships/hyperlink" Target="https://www.medianews4u.com/centrum-onboards-kajal-aggarwal-as-brand-ambassador-for-multivitamin-protein-powders/" TargetMode="External"/><Relationship Id="rId308" Type="http://schemas.openxmlformats.org/officeDocument/2006/relationships/hyperlink" Target="https://www.medianews4u.com/dbs-bank-india-revamps-sounds-of-budget-campaign/" TargetMode="External"/><Relationship Id="rId309" Type="http://schemas.openxmlformats.org/officeDocument/2006/relationships/hyperlink" Target="https://www.medianews4u.com/fcb-interface-secures-philips-home-appliances-creative-mandate/" TargetMode="External"/><Relationship Id="rId310" Type="http://schemas.openxmlformats.org/officeDocument/2006/relationships/hyperlink" Target="https://www.afaqs.com/news/advertising/fcb-group-india-onboards-14-new-clients-across-agencies-8649932" TargetMode="External"/><Relationship Id="rId311" Type="http://schemas.openxmlformats.org/officeDocument/2006/relationships/hyperlink" Target="https://www.medianews4u.com/bata-launches-festive-collection-featuring-kartik-aaryan-with-celebrate-every-step-campaign/" TargetMode="External"/><Relationship Id="rId312" Type="http://schemas.openxmlformats.org/officeDocument/2006/relationships/hyperlink" Target="https://www.afaqs.com/news/newbizwins/fcb-india-wins-creative-mandate-for-dulcoflex-8777232" TargetMode="External"/><Relationship Id="rId313" Type="http://schemas.openxmlformats.org/officeDocument/2006/relationships/hyperlink" Target="https://www.medianews4u.com/hero-motocorp-launches-high-octane-campaign-for-xtreme-power-brand-featuring-virat-kohli/" TargetMode="External"/><Relationship Id="rId314" Type="http://schemas.openxmlformats.org/officeDocument/2006/relationships/hyperlink" Target="https://afaqs.com/topic/fcb-interface" TargetMode="External"/><Relationship Id="rId315" Type="http://schemas.openxmlformats.org/officeDocument/2006/relationships/hyperlink" Target="https://www.afaqs.com/news/advertising/fcb-group-india-onboards-14-new-clients-across-agencies-8649932" TargetMode="External"/><Relationship Id="rId316" Type="http://schemas.openxmlformats.org/officeDocument/2006/relationships/hyperlink" Target="https://www.medianews4u.com/ubers-new-campaign-featuring-shroff-duo-aims-to-revolutionize-urban-transportation-perceptions/" TargetMode="External"/><Relationship Id="rId317" Type="http://schemas.openxmlformats.org/officeDocument/2006/relationships/hyperlink" Target="https://www.afaqs.com/news/advertising/vivo-brings-back-the-joyofhomecoming-celebrating-the-spirit-of-diwali-preparations-10543173" TargetMode="External"/><Relationship Id="rId318" Type="http://schemas.openxmlformats.org/officeDocument/2006/relationships/hyperlink" Target="https://www.afaqs.com/news/advertising/fcb-group-india-onboards-14-new-clients-across-agencies-8649932" TargetMode="External"/><Relationship Id="rId319" Type="http://schemas.openxmlformats.org/officeDocument/2006/relationships/hyperlink" Target="https://campaignbriefasia.com/2025/09/05/the-work-2025-hot-list-2-ddb-mudra-group-india/" TargetMode="External"/><Relationship Id="rId320" Type="http://schemas.openxmlformats.org/officeDocument/2006/relationships/hyperlink" Target="https://www.medianews4u.com/ethnix-by-raymond-celebrates-family-and-fashion-in-its-latest-campaign/" TargetMode="External"/><Relationship Id="rId321" Type="http://schemas.openxmlformats.org/officeDocument/2006/relationships/hyperlink" Target="https://campaignbriefasia.com/2025/09/05/the-work-2025-hot-list-2-ddb-mudra-group-india/" TargetMode="External"/><Relationship Id="rId322" Type="http://schemas.openxmlformats.org/officeDocument/2006/relationships/hyperlink" Target="https://campaignbriefasia.com/2024/08/05/the-work-2024-hot-list-3-ddb-mudra-group-india/" TargetMode="External"/><Relationship Id="rId323" Type="http://schemas.openxmlformats.org/officeDocument/2006/relationships/hyperlink" Target="https://www.exchange4media.com/advertising-news/malabar-gold-diamonds-campaign-with-alia-bhatt-celebrates-the-charm-of-solitaires-140391.html" TargetMode="External"/><Relationship Id="rId324" Type="http://schemas.openxmlformats.org/officeDocument/2006/relationships/hyperlink" Target="https://campaignbriefasia.com/2025/06/16/meta-ai-launches-in-india-with-campaign-by-ddb-mudra-celebrating-everyday-creativity/" TargetMode="External"/><Relationship Id="rId325" Type="http://schemas.openxmlformats.org/officeDocument/2006/relationships/hyperlink" Target="https://campaignbriefasia.com/2025/06/25/ddb-mudra-india-and-myntra-unveil-m-now-campaign-spotlighting-instant-style-solutions/" TargetMode="External"/><Relationship Id="rId326" Type="http://schemas.openxmlformats.org/officeDocument/2006/relationships/hyperlink" Target="https://campaignbriefasia.com/2025/02/21/go-from-ayyo-to-oh-says-new-narayana-health-spot-via-ddb-mudra-ending-healthcare-worries/" TargetMode="External"/><Relationship Id="rId327" Type="http://schemas.openxmlformats.org/officeDocument/2006/relationships/hyperlink" Target="https://campaignbriefasia.com/2025/09/05/the-work-2025-hot-list-2-ddb-mudra-group-india/" TargetMode="External"/><Relationship Id="rId328" Type="http://schemas.openxmlformats.org/officeDocument/2006/relationships/hyperlink" Target="https://www.socialsamosa.com/samosa-snippets/end-of-ddb-means-legacy-built-with-mudra-10874481" TargetMode="External"/><Relationship Id="rId329" Type="http://schemas.openxmlformats.org/officeDocument/2006/relationships/hyperlink" Target="https://www.afaqs.com/news/advertising/ddb-mudra-wins-raymonds-integrated-aor-mandate" TargetMode="External"/><Relationship Id="rId330" Type="http://schemas.openxmlformats.org/officeDocument/2006/relationships/hyperlink" Target="https://campaignbriefasia.com/2024/08/05/the-work-2024-hot-list-3-ddb-mudra-group-india/" TargetMode="External"/><Relationship Id="rId331" Type="http://schemas.openxmlformats.org/officeDocument/2006/relationships/hyperlink" Target="https://campaignbriefasia.com/2025/09/05/the-work-2025-hot-list-2-ddb-mudra-group-india/" TargetMode="External"/><Relationship Id="rId332" Type="http://schemas.openxmlformats.org/officeDocument/2006/relationships/hyperlink" Target="https://www.storyboard18.com/how-it-works/volkswagen-colgate-palmolive-apple-the-return-of-the-agency-within-an-agency-96076.htm" TargetMode="External"/><Relationship Id="rId333" Type="http://schemas.openxmlformats.org/officeDocument/2006/relationships/hyperlink" Target="https://campaignbriefasia.com/2024/06/26/ddb-mudra-south-creates-new-acko-pola-varuma-campaign-for-acko-in-chennai/" TargetMode="External"/><Relationship Id="rId334" Type="http://schemas.openxmlformats.org/officeDocument/2006/relationships/hyperlink" Target="https://campaignbriefasia.com/2025/09/05/the-work-2025-hot-list-2-ddb-mudra-group-india/" TargetMode="External"/><Relationship Id="rId335" Type="http://schemas.openxmlformats.org/officeDocument/2006/relationships/hyperlink" Target="https://www.adgully.com/post/2275/from-period-shame-to-in-game-weddings-ddb-mudra-groups-cannes-lions-2025-hopefuls" TargetMode="External"/><Relationship Id="rId336" Type="http://schemas.openxmlformats.org/officeDocument/2006/relationships/hyperlink" Target="https://campaignbriefasia.com/2025/07/02/npci-bharat-billpays-new-campaign-by-ddb-mudra-showcases-the-quiet-reliability-of-bharat-connect/" TargetMode="External"/><Relationship Id="rId337" Type="http://schemas.openxmlformats.org/officeDocument/2006/relationships/hyperlink" Target="https://bwmarketingworld.businessworld.in/article/Account-Wins-Birla-Opus-DDB-Mudra-Prohed-PokerBaazi-Interbrand-India-HDFC-Bank-Wing-Communications-Planify/23-02-2024-510756/" TargetMode="External"/><Relationship Id="rId338" Type="http://schemas.openxmlformats.org/officeDocument/2006/relationships/hyperlink" Target="https://campaignbriefasia.com/2025/08/13/birlanu-reinforces-its-leakproof-commitment-in-new-campaign-film-by-ddb-mudra-group/" TargetMode="External"/><Relationship Id="rId339" Type="http://schemas.openxmlformats.org/officeDocument/2006/relationships/hyperlink" Target="https://campaignbriefasia.com/2025/06/19/jasprit-bumrah-revives-the-swagger-associated-with-gum-via-new-ddb-mudra-and-boomers-spot/" TargetMode="External"/><Relationship Id="rId340" Type="http://schemas.openxmlformats.org/officeDocument/2006/relationships/hyperlink" Target="https://www.afaqs.com/tags/ddb-mudra-group" TargetMode="External"/><Relationship Id="rId341" Type="http://schemas.openxmlformats.org/officeDocument/2006/relationships/hyperlink" Target="https://campaignbriefasia.com/2025/09/05/the-work-2025-hot-list-2-ddb-mudra-group-india/" TargetMode="External"/><Relationship Id="rId342" Type="http://schemas.openxmlformats.org/officeDocument/2006/relationships/hyperlink" Target="https://campaignbriefasia.com/2024/05/30/dream11-unveils-new-yeh-sabka-dream-hai-t20-world-cup-campaign-via-ddb-mudra/" TargetMode="External"/><Relationship Id="rId343" Type="http://schemas.openxmlformats.org/officeDocument/2006/relationships/hyperlink" Target="https://campaignbriefasia.com/2025/09/25/ddb-mudra-and-flipkart-bring-tradition-to-big-billion-days-with-shubh-muhurat-deals/" TargetMode="External"/><Relationship Id="rId344" Type="http://schemas.openxmlformats.org/officeDocument/2006/relationships/hyperlink" Target="https://campaignbriefasia.com/2024/08/05/the-work-2024-hot-list-3-ddb-mudra-group-india/" TargetMode="External"/><Relationship Id="rId345" Type="http://schemas.openxmlformats.org/officeDocument/2006/relationships/hyperlink" Target="https://campaignbriefasia.com/2025/09/05/the-work-2025-hot-list-2-ddb-mudra-group-india/" TargetMode="External"/><Relationship Id="rId346" Type="http://schemas.openxmlformats.org/officeDocument/2006/relationships/hyperlink" Target="https://news.google.com/rss/search?q=%22DDB+Mudra%22+wins+OR+bags+OR+mandate&amp;hl=en-IN&amp;gl=IN&amp;ceid=IN:en" TargetMode="External"/><Relationship Id="rId347" Type="http://schemas.openxmlformats.org/officeDocument/2006/relationships/hyperlink" Target="https://campaignbriefasia.com/2025/10/17/mcdonalds-india-turns-social-media-feedback-into-a-feast-in-new-ddb-mudra-campaign/" TargetMode="External"/><Relationship Id="rId348" Type="http://schemas.openxmlformats.org/officeDocument/2006/relationships/hyperlink" Target="https://campaignbriefasia.com/2024/08/05/the-work-2024-hot-list-3-ddb-mudra-group-india/" TargetMode="External"/><Relationship Id="rId349" Type="http://schemas.openxmlformats.org/officeDocument/2006/relationships/hyperlink" Target="https://campaignbriefasia.com/2024/08/05/the-work-2024-hot-list-3-ddb-mudra-group-india/" TargetMode="External"/><Relationship Id="rId350" Type="http://schemas.openxmlformats.org/officeDocument/2006/relationships/hyperlink" Target="https://campaignbriefasia.com/2025/09/05/the-work-2025-hot-list-2-ddb-mudra-group-india/" TargetMode="External"/><Relationship Id="rId351" Type="http://schemas.openxmlformats.org/officeDocument/2006/relationships/hyperlink" Target="https://www.adgully.com/post/2275/from-period-shame-to-in-game-weddings-ddb-mudra-groups-cannes-lions-2025-hopefuls" TargetMode="External"/><Relationship Id="rId352" Type="http://schemas.openxmlformats.org/officeDocument/2006/relationships/hyperlink" Target="https://campaignbriefasia.com/2024/08/05/the-work-2024-hot-list-3-ddb-mudra-group-india/" TargetMode="External"/><Relationship Id="rId353" Type="http://schemas.openxmlformats.org/officeDocument/2006/relationships/hyperlink" Target="https://campaignbriefasia.com/2025/08/07/ttk-prestige-bebuts-life-size-anti-spill-lid-installation-created-via-ddb-mudra-india/" TargetMode="External"/><Relationship Id="rId354" Type="http://schemas.openxmlformats.org/officeDocument/2006/relationships/hyperlink" Target="https://www.medianews4u.com/bira-91-partners-with-omd-to-engage-beer-fans/" TargetMode="External"/><Relationship Id="rId355" Type="http://schemas.openxmlformats.org/officeDocument/2006/relationships/hyperlink" Target="https://www.afaqs.com/news/newbizwins/omd-india-wins-integrated-media-mandate-for-hdfc-life-8636433" TargetMode="External"/><Relationship Id="rId356" Type="http://schemas.openxmlformats.org/officeDocument/2006/relationships/hyperlink" Target="https://www.medianews4u.com/omd-india-bags-media-mandate-for-sugar-cosmetics/" TargetMode="External"/><Relationship Id="rId357" Type="http://schemas.openxmlformats.org/officeDocument/2006/relationships/hyperlink" Target="https://www.afaqs.com/news/newbizwins/omnicom-medias-omd-india-wins-ventura-securities-integrated-media-mandate-12457523" TargetMode="External"/><Relationship Id="rId358" Type="http://schemas.openxmlformats.org/officeDocument/2006/relationships/hyperlink" Target="https://www.medianews4u.com/raymonds-the-complete-man-campaign-celebrates-modern-fatherhood-and-emotional-presence/" TargetMode="External"/><Relationship Id="rId359" Type="http://schemas.openxmlformats.org/officeDocument/2006/relationships/hyperlink" Target="https://www.storyboard18.com/advertising/omnicom-media-bags-netflix-indias-mandate-signalling-strategic-reset-in-ott-marketing-97341.htm" TargetMode="External"/><Relationship Id="rId360" Type="http://schemas.openxmlformats.org/officeDocument/2006/relationships/hyperlink" Target="https://www.storyboard18.com/brand-makers/tata-motors-pvs-media-pitch-concludes-auto-major-retains-existing-agencies-48051.htm" TargetMode="External"/><Relationship Id="rId361" Type="http://schemas.openxmlformats.org/officeDocument/2006/relationships/hyperlink" Target="https://www.storyboard18.com/agency-news/sbi-hands-digital-marketing-mandate-to-omnicom-media-india-100466.htm" TargetMode="External"/><Relationship Id="rId362" Type="http://schemas.openxmlformats.org/officeDocument/2006/relationships/hyperlink" Target="https://www.tbwaindia.com/" TargetMode="External"/><Relationship Id="rId363" Type="http://schemas.openxmlformats.org/officeDocument/2006/relationships/hyperlink" Target="https://www.afaqs.com/news/advertising/rivaah-by-tanishq-brings-many-stories-to-one-wedding-12540691" TargetMode="External"/><Relationship Id="rId364" Type="http://schemas.openxmlformats.org/officeDocument/2006/relationships/hyperlink" Target="https://www.afaqs.com/news/advertising/axis-bank-turns-nri-distance-into-stories-of-care-and-connection-12399615" TargetMode="External"/><Relationship Id="rId365" Type="http://schemas.openxmlformats.org/officeDocument/2006/relationships/hyperlink" Target="https://www.medianews4u.com/axis-banks-new-nri-campaign-turns-distance-into-a-story-of-connection/" TargetMode="External"/><Relationship Id="rId366" Type="http://schemas.openxmlformats.org/officeDocument/2006/relationships/hyperlink" Target="https://www.medianews4u.com/dosti-1-mumbai-rides-anil-kapoors-charisma-and-comedy-chops/" TargetMode="External"/><Relationship Id="rId367" Type="http://schemas.openxmlformats.org/officeDocument/2006/relationships/hyperlink" Target="https://www.afaqs.com/people-spotting/ranjeev-vij-moves-on-from-tbwaindia-9009481" TargetMode="External"/><Relationship Id="rId368" Type="http://schemas.openxmlformats.org/officeDocument/2006/relationships/hyperlink" Target="https://www.tbwaindia.com/" TargetMode="External"/><Relationship Id="rId369" Type="http://schemas.openxmlformats.org/officeDocument/2006/relationships/hyperlink" Target="https://www.medianews4u.com/lowe-lintas-wins-creative-mandate-for-fabindia/" TargetMode="External"/><Relationship Id="rId370" Type="http://schemas.openxmlformats.org/officeDocument/2006/relationships/hyperlink" Target="https://www.medianews4u.com/google-gemini-and-lowe-lintas-bring-ai-into-everyday-moments/" TargetMode="External"/><Relationship Id="rId371" Type="http://schemas.openxmlformats.org/officeDocument/2006/relationships/hyperlink" Target="https://www.socialsamosa.com/samosa-snippets/as-mullen-vanishes-tbwalintas-lives-on-10867606" TargetMode="External"/><Relationship Id="rId372" Type="http://schemas.openxmlformats.org/officeDocument/2006/relationships/hyperlink" Target="https://www.medianews4u.com/hersheys-turns-lifes-everyday-setbacks-into-moments-of-comfort-in-new-campaign/" TargetMode="External"/><Relationship Id="rId373" Type="http://schemas.openxmlformats.org/officeDocument/2006/relationships/hyperlink" Target="https://www.tbwaindia.com/" TargetMode="External"/><Relationship Id="rId374" Type="http://schemas.openxmlformats.org/officeDocument/2006/relationships/hyperlink" Target="https://www.medianews4u.com/hindware-italian-collection-launches-5-star-bathrooms-ad-campaign-featuring-rcb-icons/" TargetMode="External"/><Relationship Id="rId375" Type="http://schemas.openxmlformats.org/officeDocument/2006/relationships/hyperlink" Target="https://www.afaqs.com/news/advertising/indusind-bank-launches-fixed-bhi-fabulous-bhi-campaign-for-fds-11810481" TargetMode="External"/><Relationship Id="rId376" Type="http://schemas.openxmlformats.org/officeDocument/2006/relationships/hyperlink" Target="https://www.medianews4u.com/lowe-lintas-wins-jawa-motorcycles-creative-mandate/" TargetMode="External"/><Relationship Id="rId377" Type="http://schemas.openxmlformats.org/officeDocument/2006/relationships/hyperlink" Target="https://www.tbwaindia.com/" TargetMode="External"/><Relationship Id="rId378" Type="http://schemas.openxmlformats.org/officeDocument/2006/relationships/hyperlink" Target="https://www.medianews4u.com/magnum-pistachio-launches-with-kareena-kapoor-khan-in-a-decadent-new-campaign/" TargetMode="External"/><Relationship Id="rId379" Type="http://schemas.openxmlformats.org/officeDocument/2006/relationships/hyperlink" Target="https://www.medianews4u.com/manipal-hospitals-urges-people-to-take-care-of-themselves-to-be-there-for-their-loved-ones/" TargetMode="External"/><Relationship Id="rId380" Type="http://schemas.openxmlformats.org/officeDocument/2006/relationships/hyperlink" Target="https://www.tbwaindia.com/" TargetMode="External"/><Relationship Id="rId381" Type="http://schemas.openxmlformats.org/officeDocument/2006/relationships/hyperlink" Target="https://sportzpower.com/kinnect-wins-mumbai-indians-creative-mandate/" TargetMode="External"/><Relationship Id="rId382" Type="http://schemas.openxmlformats.org/officeDocument/2006/relationships/hyperlink" Target="https://www.afaqs.com/people-spotting/ranjeev-vij-moves-on-from-tbwaindia-9009481" TargetMode="External"/><Relationship Id="rId383" Type="http://schemas.openxmlformats.org/officeDocument/2006/relationships/hyperlink" Target="https://campaignbriefasia.com/2026/09/25/reliance-foundation-puts-opportunity-before-victory-in-new-tbwalintas-india-campaign/" TargetMode="External"/><Relationship Id="rId384" Type="http://schemas.openxmlformats.org/officeDocument/2006/relationships/hyperlink" Target="https://www.afaqs.com/news/advertising/rivaah-by-tanishq-brings-many-stories-to-one-wedding-12540691" TargetMode="External"/><Relationship Id="rId385" Type="http://schemas.openxmlformats.org/officeDocument/2006/relationships/hyperlink" Target="https://www.socialsamosa.com/samosa-snippets/bbdo-tbwa-mccann-bring-omnicom-reshaped-empire-10841609" TargetMode="External"/><Relationship Id="rId386" Type="http://schemas.openxmlformats.org/officeDocument/2006/relationships/hyperlink" Target="https://www.medianews4u.com/rivaah-by-tanishq-unveils-one-wedding-many-stories-campaign-celebrating-modern-indian-weddings/" TargetMode="External"/><Relationship Id="rId387" Type="http://schemas.openxmlformats.org/officeDocument/2006/relationships/hyperlink" Target="https://www.afaqs.com/news/advertising/true-elements-onboards-tbwa-as-their-creative-agency" TargetMode="External"/><Relationship Id="rId388" Type="http://schemas.openxmlformats.org/officeDocument/2006/relationships/hyperlink" Target="https://www.storyboard18.com/advertising/lowe-lintas-bags-the-creative-mandate-of-tuborg-75196.htm" TargetMode="External"/><Relationship Id="rId389" Type="http://schemas.openxmlformats.org/officeDocument/2006/relationships/hyperlink" Target="https://www.afaqs.com/news/advertising/tvs-apache-launches-tu-race-laga-campaign-12152297" TargetMode="External"/><Relationship Id="rId390" Type="http://schemas.openxmlformats.org/officeDocument/2006/relationships/hyperlink" Target="https://campaignbriefasia.com/2026/09/16/the-work-2026-asia-hot-list-7-tbwalintas-india/" TargetMode="External"/><Relationship Id="rId391" Type="http://schemas.openxmlformats.org/officeDocument/2006/relationships/hyperlink" Target="https://www.afaqs.com/news/advertising/urban-ladders-new-campaign-spotlights-city-specific-aspirations-11188874" TargetMode="External"/><Relationship Id="rId392" Type="http://schemas.openxmlformats.org/officeDocument/2006/relationships/hyperlink" Target="https://campaignbriefasia.com/2025/10/15/air-india-express-embarks-on-a-new-journey-with-xplore-more-xpress-more/" TargetMode="External"/><Relationship Id="rId393" Type="http://schemas.openxmlformats.org/officeDocument/2006/relationships/hyperlink" Target="https://campaignbriefasia.com/2026/09/16/the-work-2026-asia-hot-list-7-tbwalintas-india/" TargetMode="External"/><Relationship Id="rId394" Type="http://schemas.openxmlformats.org/officeDocument/2006/relationships/hyperlink" Target="https://www.medianews4u.com/lowe-lintas-bags-creative-mandate-for-amaron/" TargetMode="External"/><Relationship Id="rId395" Type="http://schemas.openxmlformats.org/officeDocument/2006/relationships/hyperlink" Target="https://www.medianews4u.com/bajaj-almond-launches-its-new-integrated-campaign-featuring-parineeti-chopra/" TargetMode="External"/><Relationship Id="rId396" Type="http://schemas.openxmlformats.org/officeDocument/2006/relationships/hyperlink" Target="https://www.afaqs.com/news/newbizwins/dentsu-creative-isobar-bags-bandhan-banks-creative-account-12186723" TargetMode="External"/><Relationship Id="rId397" Type="http://schemas.openxmlformats.org/officeDocument/2006/relationships/hyperlink" Target="https://www.medianews4u.com/britannia-nutrichoice-rolls-out-bold-face-the-facts-campaign-with-refreshingly-honest-packaging/" TargetMode="External"/><Relationship Id="rId398" Type="http://schemas.openxmlformats.org/officeDocument/2006/relationships/hyperlink" Target="https://www.socialsamosa.com/samosa-snippets/bbdo-tbwa-mccann-bring-omnicom-reshaped-empire-10841609" TargetMode="External"/><Relationship Id="rId399" Type="http://schemas.openxmlformats.org/officeDocument/2006/relationships/hyperlink" Target="https://www.medianews4u.com/lowe-lintas-wins-creative-mandate-for-cofsils/" TargetMode="External"/><Relationship Id="rId400" Type="http://schemas.openxmlformats.org/officeDocument/2006/relationships/hyperlink" Target="https://www.storyboard18.com/agency-news/lowe-lintas-bags-the-creative-mandate-of-complan-50864.htm" TargetMode="External"/><Relationship Id="rId401" Type="http://schemas.openxmlformats.org/officeDocument/2006/relationships/hyperlink" Target="https://www.afaqs.com/news/advertising/mohammed-siraj-and-ravi-shastri-groove-to-oo-antava-song-in-dixcy-scotts-latest-campaign" TargetMode="External"/><Relationship Id="rId402" Type="http://schemas.openxmlformats.org/officeDocument/2006/relationships/hyperlink" Target="https://www.medianews4u.com/dollar-missy-and-lowe-lintas-launch-campaign-on-fashions-perfect-pairing/" TargetMode="External"/><Relationship Id="rId403" Type="http://schemas.openxmlformats.org/officeDocument/2006/relationships/hyperlink" Target="https://www.afaqs.com/topic/tbwa-lintas" TargetMode="External"/><Relationship Id="rId404" Type="http://schemas.openxmlformats.org/officeDocument/2006/relationships/hyperlink" Target="https://www.medianews4u.com/lowe-lintas-campaign-for-flipkart-health-uses-humour-to-strengthen-the-brands-presence-in-up/" TargetMode="External"/><Relationship Id="rId405" Type="http://schemas.openxmlformats.org/officeDocument/2006/relationships/hyperlink" Target="https://www.tbwaindia.com/" TargetMode="External"/><Relationship Id="rId406" Type="http://schemas.openxmlformats.org/officeDocument/2006/relationships/hyperlink" Target="https://campaignbriefasia.com/2026/09/18/omnicom-advertising-india-dominates-the-work-2026-with-mccann-taking-out-apac-agency-of-the-year-title-and-tbwalintas-2-in-india/" TargetMode="External"/><Relationship Id="rId407" Type="http://schemas.openxmlformats.org/officeDocument/2006/relationships/hyperlink" Target="https://www.medianews4u.com/google-pay-launches-pocket-money-campaign-with-tbwa-lintas-to-drive-financial-independence-among-teenagers/" TargetMode="External"/><Relationship Id="rId408" Type="http://schemas.openxmlformats.org/officeDocument/2006/relationships/hyperlink" Target="https://www.socialsamosa.com/samosa-snippets/bbdo-tbwa-mccann-bring-omnicom-reshaped-empire-10841609" TargetMode="External"/><Relationship Id="rId409" Type="http://schemas.openxmlformats.org/officeDocument/2006/relationships/hyperlink" Target="https://www.medianews4u.com/kamiliant-unveils-bold-campaign-naam-hai-kamiliant-kaam-hai-toughness/" TargetMode="External"/><Relationship Id="rId410" Type="http://schemas.openxmlformats.org/officeDocument/2006/relationships/hyperlink" Target="https://news.google.com/rss/search?q=%22TBWA%22+India+mandate+OR+wins+OR+bags&amp;hl=en-IN&amp;gl=IN&amp;ceid=IN:en" TargetMode="External"/><Relationship Id="rId411" Type="http://schemas.openxmlformats.org/officeDocument/2006/relationships/hyperlink" Target="https://www.afaqs.com/news/advertising/h-is-for-handwashing-baby-hippo-moo-deng-spreads-lifebuoys-message-7569894" TargetMode="External"/><Relationship Id="rId412" Type="http://schemas.openxmlformats.org/officeDocument/2006/relationships/hyperlink" Target="https://www.afaqs.com/news/advertising/lowe-lintas-bags-the-mandate-to-lead-brand-lifestyle" TargetMode="External"/><Relationship Id="rId413" Type="http://schemas.openxmlformats.org/officeDocument/2006/relationships/hyperlink" Target="https://www.tbwaindia.com/" TargetMode="External"/><Relationship Id="rId414" Type="http://schemas.openxmlformats.org/officeDocument/2006/relationships/hyperlink" Target="https://www.medianews4u.com/lowe-lintas-and-naukri-team-up-for-a-youth-oriented-campaign/" TargetMode="External"/><Relationship Id="rId415" Type="http://schemas.openxmlformats.org/officeDocument/2006/relationships/hyperlink" Target="https://www.afaqs.com/news/advertising/nissan-turns-ladakhs-night-sky-into-stage-for-magnite-kuro-edition-9673862" TargetMode="External"/><Relationship Id="rId416" Type="http://schemas.openxmlformats.org/officeDocument/2006/relationships/hyperlink" Target="https://www.medianews4u.com/its-fizzin-amazing-sidharth-malhotra-endorses-daburs-real-fizzin-beverages-range/" TargetMode="External"/><Relationship Id="rId417" Type="http://schemas.openxmlformats.org/officeDocument/2006/relationships/hyperlink" Target="https://www.medianews4u.com/maricos-saffola-masala-oats-hits-a-six-with-playful-cricket-campaign-featuring-sanjay-manjrekar/" TargetMode="External"/><Relationship Id="rId418" Type="http://schemas.openxmlformats.org/officeDocument/2006/relationships/hyperlink" Target="https://campaignbriefasia.com/2026/06/23/wolf-bkk-tbwalintas-mumbai-kodansha-tokyo-geek-pictures-tokyo-win-film-craft-bronze-lions/" TargetMode="External"/><Relationship Id="rId419" Type="http://schemas.openxmlformats.org/officeDocument/2006/relationships/hyperlink" Target="https://www.socialsamosa.com/samosa-snippets/as-mullen-vanishes-tbwalintas-lives-on-10867606" TargetMode="External"/><Relationship Id="rId420" Type="http://schemas.openxmlformats.org/officeDocument/2006/relationships/hyperlink" Target="https://news.google.com/rss/search?q=%22TBWA%22+India+mandate+OR+wins+OR+bags&amp;hl=en-IN&amp;gl=IN&amp;ceid=IN:en" TargetMode="External"/><Relationship Id="rId421" Type="http://schemas.openxmlformats.org/officeDocument/2006/relationships/hyperlink" Target="https://www.medianews4u.com/tata-tea-golds-campaign-continues-to-celebrate-the-bengali-way-of-living-and-their-no-compromise-attitude/" TargetMode="External"/><Relationship Id="rId422" Type="http://schemas.openxmlformats.org/officeDocument/2006/relationships/hyperlink" Target="https://www.medianews4u.com/tvs-motors-campaign-protect-little-riders-looks-to-create-awareness-on-child-safety/" TargetMode="External"/><Relationship Id="rId423" Type="http://schemas.openxmlformats.org/officeDocument/2006/relationships/hyperlink" Target="https://www.afaqs.com/topic/lowe-lintas" TargetMode="External"/><Relationship Id="rId424" Type="http://schemas.openxmlformats.org/officeDocument/2006/relationships/hyperlink" Target="https://www.medianews4u.com/vims-equal-vows-campaign-champions-gender-equality-in-households-with-collaborative-partnerships/" TargetMode="External"/><Relationship Id="rId425" Type="http://schemas.openxmlformats.org/officeDocument/2006/relationships/hyperlink" Target="https://www.medianews4u.com/reliance-retails-fashion-brand-yousta-partners-mullen-lintas/" TargetMode="External"/><Relationship Id="rId426" Type="http://schemas.openxmlformats.org/officeDocument/2006/relationships/hyperlink" Target="https://www.afaqs.com/news/advertising/hyatt-india-launches-official-instagram-page-with-vaani-kapoor-8449076" TargetMode="External"/><Relationship Id="rId427" Type="http://schemas.openxmlformats.org/officeDocument/2006/relationships/hyperlink" Target="https://www.medianews4u.com/lintas-live-rides-away-with-the-classic-legends-mandate/" TargetMode="External"/><Relationship Id="rId428" Type="http://schemas.openxmlformats.org/officeDocument/2006/relationships/hyperlink" Target="https://www.exchange4media.com/pr-and-corporate-communication-news/lintas-live-wins-pr-and-communication-mandate-for-prestige-group-109905.html" TargetMode="External"/><Relationship Id="rId429" Type="http://schemas.openxmlformats.org/officeDocument/2006/relationships/hyperlink" Target="https://www.medianews4u.com/lintas-live-bags-pr-partner-for-impresarios-social/" TargetMode="External"/><Relationship Id="rId430" Type="http://schemas.openxmlformats.org/officeDocument/2006/relationships/hyperlink" Target="https://www.afaqs.com/news/advertising/lintas-live-wins-social-media-marketing-mandate-for-turespaa" TargetMode="External"/><Relationship Id="rId431" Type="http://schemas.openxmlformats.org/officeDocument/2006/relationships/hyperlink" Target="https://www.medianews4u.com/lintas-live-wins-back-the-pr-and-integrated-communications-mandate-for-visit-victoria/" TargetMode="External"/><Relationship Id="rId432" Type="http://schemas.openxmlformats.org/officeDocument/2006/relationships/hyperlink" Target="https://www.medianews4u.com/lintas-live-named-pr-firm-for-allied-blenders-and-distillers/" TargetMode="External"/><Relationship Id="rId433" Type="http://schemas.openxmlformats.org/officeDocument/2006/relationships/hyperlink" Target="https://www.medianews4u.com/lintas-live-wins-social-media-pr-mandates-for-bayer-indias-saridon-supradyn/" TargetMode="External"/><Relationship Id="rId434" Type="http://schemas.openxmlformats.org/officeDocument/2006/relationships/hyperlink" Target="https://www.medianews4u.com/lintas-live-bags-the-pr-mandate-for-tata-aig-general-insurance/" TargetMode="External"/><Relationship Id="rId435" Type="http://schemas.openxmlformats.org/officeDocument/2006/relationships/hyperlink" Target="https://campaignbriefasia.com/2026/09/18/omnicom-advertising-india-dominates-the-work-2026-with-mccann-taking-out-apac-agency-of-the-year-title-and-tbwalintas-2-in-india/" TargetMode="External"/><Relationship Id="rId436" Type="http://schemas.openxmlformats.org/officeDocument/2006/relationships/hyperlink" Target="https://www.medianews4u.com/bhima-jewels-diamond-range-encourages-women-to-indulge-in-self-love-with-sobhita-dhulipala-as-its-face/" TargetMode="External"/><Relationship Id="rId437" Type="http://schemas.openxmlformats.org/officeDocument/2006/relationships/hyperlink" Target="https://www.medianews4u.com/kansai-nerolac-tests-paint-at-86000-feet-in-stratospheric-campaign-with-ulka/" TargetMode="External"/><Relationship Id="rId438" Type="http://schemas.openxmlformats.org/officeDocument/2006/relationships/hyperlink" Target="https://www.socialsamosa.com/industry-updates/fcb-ulka-creative-mandate-provident-housing-4755687" TargetMode="External"/><Relationship Id="rId439" Type="http://schemas.openxmlformats.org/officeDocument/2006/relationships/hyperlink" Target="https://www.medianews4u.com/fcb-ulka-wins-the-creative-mandate-for-shoppers-stop/" TargetMode="External"/><Relationship Id="rId440" Type="http://schemas.openxmlformats.org/officeDocument/2006/relationships/hyperlink" Target="https://www.afaqs.com/topic/fcb-ulka" TargetMode="External"/><Relationship Id="rId441" Type="http://schemas.openxmlformats.org/officeDocument/2006/relationships/hyperlink" Target="https://www.medianews4u.com/fcb-ulka-bags-creative-mandate-for-bajaj-almond-drops-hair-oil-and-bajaj-no-marks/" TargetMode="External"/><Relationship Id="rId442" Type="http://schemas.openxmlformats.org/officeDocument/2006/relationships/hyperlink" Target="https://www.medianews4u.com/itc-candyman-expands-portfolio-with-soft-chews-targets-evolving-kids-preferences-with-kuch-bhi-karega-campaign-2/" TargetMode="External"/><Relationship Id="rId443" Type="http://schemas.openxmlformats.org/officeDocument/2006/relationships/hyperlink" Target="https://www.medianews4u.com/navbharat-times-fcb-ulka-introduce-gender-inclusive-hindi-with-barabari-ki-bhasha/" TargetMode="External"/><Relationship Id="rId444" Type="http://schemas.openxmlformats.org/officeDocument/2006/relationships/hyperlink" Target="https://www.storyboard18.com/agency-news/exclusive-ulka-mudra-find-new-home-in-bbdo-after-omnicom-ipg-merger-shake-up-85462.htm" TargetMode="External"/><Relationship Id="rId445" Type="http://schemas.openxmlformats.org/officeDocument/2006/relationships/hyperlink" Target="https://www.medianews4u.com/fcb-ulka-bags-creative-mandate-for-sensodent-group/" TargetMode="External"/><Relationship Id="rId446" Type="http://schemas.openxmlformats.org/officeDocument/2006/relationships/hyperlink" Target="https://www.medianews4u.com/idp-education-appoints-weber-shandwick-as-its-communication-partner/" TargetMode="External"/><Relationship Id="rId447" Type="http://schemas.openxmlformats.org/officeDocument/2006/relationships/hyperlink" Target="https://www.afaqs.com/news/newbizwins/livpure-appoints-weber-shandwick-as-communications-partner-10788859" TargetMode="External"/><Relationship Id="rId448" Type="http://schemas.openxmlformats.org/officeDocument/2006/relationships/hyperlink" Target="https://www.medianews4u.com/johnnie-walker-partners-with-taproot-dentsu-to-launch-the-walkinwithjohnnie-campaign/" TargetMode="External"/><Relationship Id="rId449" Type="http://schemas.openxmlformats.org/officeDocument/2006/relationships/hyperlink" Target="https://www.dentsu.com/in/en/our-news/-aditya-birla-capital-appoints-dentsu-creative-india-as-its-lead-brand-communications-agency" TargetMode="External"/><Relationship Id="rId450" Type="http://schemas.openxmlformats.org/officeDocument/2006/relationships/hyperlink" Target="https://www.afaqs.com/news/newbizwins/dentsu-to-handle-air-indias-media-mandate-12068834" TargetMode="External"/><Relationship Id="rId451" Type="http://schemas.openxmlformats.org/officeDocument/2006/relationships/hyperlink" Target="https://www.afaqs.com/news/advertising/taproot-dentsu-wins-creative-mandate-for-biba" TargetMode="External"/><Relationship Id="rId452" Type="http://schemas.openxmlformats.org/officeDocument/2006/relationships/hyperlink" Target="https://www.dentsu.com/in/en/our-news/dentsu-creative-india-launches-a-honda-goes-beyond-campaign" TargetMode="External"/><Relationship Id="rId453" Type="http://schemas.openxmlformats.org/officeDocument/2006/relationships/hyperlink" Target="https://www.medianews4u.com/taproot-dentsu-and-aditya-birla-group-unshackle-mens-ethnic-wear-from-codes-of-conduct-in-their-latest-campaign/" TargetMode="External"/><Relationship Id="rId454" Type="http://schemas.openxmlformats.org/officeDocument/2006/relationships/hyperlink" Target="https://www.storyboard18.com/agency-news/dentsu-india-wins-tata-groups-integrated-ipl-media-mandate-across-key-brands-99912.htm" TargetMode="External"/><Relationship Id="rId455" Type="http://schemas.openxmlformats.org/officeDocument/2006/relationships/hyperlink" Target="https://www.campaignindia.in/article/bajaj-auto-partners-with-vdo-ai-and-dentsu-india-for-triumph-ctv-campaign/4j6jvghpybpvr2mavhy9kbs1dp" TargetMode="External"/><Relationship Id="rId456" Type="http://schemas.openxmlformats.org/officeDocument/2006/relationships/hyperlink" Target="https://www.dentsu.com/in/en/our-news/vlcc-and-dentsu-creative-indias-new-campaign" TargetMode="External"/><Relationship Id="rId457" Type="http://schemas.openxmlformats.org/officeDocument/2006/relationships/hyperlink" Target="https://www.dentsu.com/in/en/our-news/bajaj-allianz-gic-and-dentsu-creative-indias-new-campaign-" TargetMode="External"/><Relationship Id="rId458" Type="http://schemas.openxmlformats.org/officeDocument/2006/relationships/hyperlink" Target="https://marketech-apac.com/watconsult-bags-creative-social-media-mandate-for-cardekho/" TargetMode="External"/><Relationship Id="rId459" Type="http://schemas.openxmlformats.org/officeDocument/2006/relationships/hyperlink" Target="https://www.medianews4u.com/gulf-oil-gives-its-new-ad-campaign-a-full-fledged-movie-format/" TargetMode="External"/><Relationship Id="rId460" Type="http://schemas.openxmlformats.org/officeDocument/2006/relationships/hyperlink" Target="https://www.afaqs.com/news/newbizwins/hell-energy-drink-names-dentsu-india-as-integrated-marketing-partner-11725549" TargetMode="External"/><Relationship Id="rId461" Type="http://schemas.openxmlformats.org/officeDocument/2006/relationships/hyperlink" Target="https://www.afaqs.com/news/newbizwins/dentsu-creative-india-bags-lottes-creative-mandate-12125904" TargetMode="External"/><Relationship Id="rId462" Type="http://schemas.openxmlformats.org/officeDocument/2006/relationships/hyperlink" Target="https://www.dentsu.com/in/en/our-news/motorola-india-appoints-dentsu-creative-as-creative-partner" TargetMode="External"/><Relationship Id="rId463" Type="http://schemas.openxmlformats.org/officeDocument/2006/relationships/hyperlink" Target="https://www.dentsu.com/in/en/our-news/dentsu-creative-bags-integrated-creative-mandate-for-popeyes-india" TargetMode="External"/><Relationship Id="rId464" Type="http://schemas.openxmlformats.org/officeDocument/2006/relationships/hyperlink" Target="https://www.dentsu.com/in/en/our-news/dentsu-creative-india-bags-digital-mandate-for-sony-entertainment-television" TargetMode="External"/><Relationship Id="rId465" Type="http://schemas.openxmlformats.org/officeDocument/2006/relationships/hyperlink" Target="https://www.socialsamosa.com/industry-updates/dentsu-creative-india-expands-mandate-ttk-healthcare-3587888" TargetMode="External"/><Relationship Id="rId466" Type="http://schemas.openxmlformats.org/officeDocument/2006/relationships/hyperlink" Target="https://www.storyboard18.com/agency-news/dentsu-wins-tvs-motor-media-mandate-ws-l-106734.htm" TargetMode="External"/><Relationship Id="rId467" Type="http://schemas.openxmlformats.org/officeDocument/2006/relationships/hyperlink" Target="https://www.afaqs.com/news/advertising/tvs-ntorq-celebrates-footballs-champions-through-the-streets-remember-12054342" TargetMode="External"/><Relationship Id="rId468" Type="http://schemas.openxmlformats.org/officeDocument/2006/relationships/hyperlink" Target="https://www.dentsu.com/in/en/our-news/dentsu-creative-isobar-wins-integrated-creative-mandate-for-forevermark" TargetMode="External"/><Relationship Id="rId469" Type="http://schemas.openxmlformats.org/officeDocument/2006/relationships/hyperlink" Target="https://www.afaqs.com/news/newbizwins/dentsu-creative-isobar-bags-integrated-creative-mandate-for-blackberrys-12249821" TargetMode="External"/><Relationship Id="rId470" Type="http://schemas.openxmlformats.org/officeDocument/2006/relationships/hyperlink" Target="https://www.medianews4u.com/dentsu-creative-isobar-bags-canon-indias-digital-and-e-commerce-mandate/" TargetMode="External"/><Relationship Id="rId471" Type="http://schemas.openxmlformats.org/officeDocument/2006/relationships/hyperlink" Target="https://www.afaqs.com/news/advertising/intels-latest-campaign-reboots-a-90s-tune-for-the-ai-generation-9610743" TargetMode="External"/><Relationship Id="rId472" Type="http://schemas.openxmlformats.org/officeDocument/2006/relationships/hyperlink" Target="https://www.storyboard18.com/agency-news/dentsu-creative-isobar-wins-bandhan-banks-creative-mandate-after-multi-agency-pitch-105098.htm" TargetMode="External"/><Relationship Id="rId473" Type="http://schemas.openxmlformats.org/officeDocument/2006/relationships/hyperlink" Target="https://www.medianews4u.com/dentsu-creative-isobar-and-krafton-india-elevate-bgmi-beyond-gaming-in-latest-campaign/" TargetMode="External"/><Relationship Id="rId474" Type="http://schemas.openxmlformats.org/officeDocument/2006/relationships/hyperlink" Target="https://www.campaignindia.in/article/dentsu-bags-integrated-marketing-mandate-for-hell-energy-drink/48skmntrs290bsxedvmpd2q6ww" TargetMode="External"/><Relationship Id="rId475" Type="http://schemas.openxmlformats.org/officeDocument/2006/relationships/hyperlink" Target="https://www.dentsu.com/in/en/our-news/swiggy-instamart-dentsu-creative-isobar-and-lifelong-heat-up-delhi-ncr-campaign" TargetMode="External"/><Relationship Id="rId476" Type="http://schemas.openxmlformats.org/officeDocument/2006/relationships/hyperlink" Target="https://www.campaignindia.in/article/dentsu-bags-integrated-marketing-mandate-for-hell-energy-drink/48skmntrs290bsxedvmpd2q6ww" TargetMode="External"/><Relationship Id="rId477" Type="http://schemas.openxmlformats.org/officeDocument/2006/relationships/hyperlink" Target="https://www.dentsu.com/in/en/our-news/papa-johns-india-appoints-dentsu-as-integrated-agency-partner" TargetMode="External"/><Relationship Id="rId478" Type="http://schemas.openxmlformats.org/officeDocument/2006/relationships/hyperlink" Target="https://www.afaqs.com/news/newbizwins/dentsu-creative-webchutney-wins-rak-ceramics-and-kludi-india-mandate-10500325" TargetMode="External"/><Relationship Id="rId479" Type="http://schemas.openxmlformats.org/officeDocument/2006/relationships/hyperlink" Target="https://www.medianews4u.com/dentsu-creative-webchutney-crafts-a-surreal-vrindavan-for-bhimas-raasleela-jewellery-film/" TargetMode="External"/><Relationship Id="rId480" Type="http://schemas.openxmlformats.org/officeDocument/2006/relationships/hyperlink" Target="https://www.medianews4u.com/canon-india-dentsu-creative-webchutney-unveil-go-beyond-campaign-to-inspire-young-creators/" TargetMode="External"/><Relationship Id="rId481" Type="http://schemas.openxmlformats.org/officeDocument/2006/relationships/hyperlink" Target="https://www.medianews4u.com/dsp-mutual-fund-dentsu-creative-webchutney-falco-robotics-launch-garuda-rakshak-to-safeguard-children-at-purna-maha-kumbh/" TargetMode="External"/><Relationship Id="rId482" Type="http://schemas.openxmlformats.org/officeDocument/2006/relationships/hyperlink" Target="https://www.storyboard18.com/agency-news/dentsu-creative-webchutney-wins-digital-mandate-of-godrej-professional-35235.htm" TargetMode="External"/><Relationship Id="rId483" Type="http://schemas.openxmlformats.org/officeDocument/2006/relationships/hyperlink" Target="https://www.afaqs.com/news/advertising/greenlam-turns-a-bollywood-classic-into-a-story-of-silent-admiration-12179969" TargetMode="External"/><Relationship Id="rId484" Type="http://schemas.openxmlformats.org/officeDocument/2006/relationships/hyperlink" Target="https://www.dentsu.com/in/en/our-news/dentsu-creative-webchutney-wins-strategy-and-creative-mandate-for-rak-ceramics-india-and-kludi-india" TargetMode="External"/><Relationship Id="rId485" Type="http://schemas.openxmlformats.org/officeDocument/2006/relationships/hyperlink" Target="https://www.medianews4u.com/laadli-media-and-advertising-awards-for-gender-sensitivity-2022-dentsu-webchutney-wins-grand-prix-for-tanishq/" TargetMode="External"/><Relationship Id="rId486" Type="http://schemas.openxmlformats.org/officeDocument/2006/relationships/hyperlink" Target="https://www.afaqs.com/news/advertising/ds-group-puts-catch-pink-rock-salt-in-the-spotlight-with-first-tvc-11745565" TargetMode="External"/><Relationship Id="rId487" Type="http://schemas.openxmlformats.org/officeDocument/2006/relationships/hyperlink" Target="https://www.dentsu.com/in/en/our-news/dentsu-creative-india-bags-integrated-creative-mandate-for-gemini-edibles-and-fats-india" TargetMode="External"/><Relationship Id="rId488" Type="http://schemas.openxmlformats.org/officeDocument/2006/relationships/hyperlink" Target="https://www.dentsu.com/in/en/our-news/dentsu-creative-webchutney-launches-new-campaign-for-iqoo-z11" TargetMode="External"/><Relationship Id="rId489" Type="http://schemas.openxmlformats.org/officeDocument/2006/relationships/hyperlink" Target="https://www.medianews4u.com/madhur-sugar-dentsu-creative-webchutney-transform-packaging-with-the-good-cut-for-a-greener-tomorrow/" TargetMode="External"/><Relationship Id="rId490" Type="http://schemas.openxmlformats.org/officeDocument/2006/relationships/hyperlink" Target="https://www.dentsu.com/in/en/our-news/dentsu-webchutney-wins-digital-mandate-for-make-my-trip" TargetMode="External"/><Relationship Id="rId491" Type="http://schemas.openxmlformats.org/officeDocument/2006/relationships/hyperlink" Target="https://www.medianews4u.com/nescafe-sunrise-launches-campaign-honoring-coffee-farmers/" TargetMode="External"/><Relationship Id="rId492" Type="http://schemas.openxmlformats.org/officeDocument/2006/relationships/hyperlink" Target="https://www.medianews4u.com/dentsu-creative-webchutney-new-holland-unveil-asli-hero-ki-asli-taaqat-to-honour-indias-farmers/" TargetMode="External"/><Relationship Id="rId493" Type="http://schemas.openxmlformats.org/officeDocument/2006/relationships/hyperlink" Target="https://www.storyboard18.com/agency-news/papa-johns-india-names-dentsu-as-integrated-agency-partner-80083.htm" TargetMode="External"/><Relationship Id="rId494" Type="http://schemas.openxmlformats.org/officeDocument/2006/relationships/hyperlink" Target="https://www.afaqs.com/news/digital/edstead-air-india-express-and-dentsu-se-unveil-voices-of-the-land-12126455" TargetMode="External"/><Relationship Id="rId495" Type="http://schemas.openxmlformats.org/officeDocument/2006/relationships/hyperlink" Target="https://www.afaqs.com/news/newbizwins/arena-media-india-wins-integrated-media-mandate-for-ashiana-housing-12533294" TargetMode="External"/><Relationship Id="rId496" Type="http://schemas.openxmlformats.org/officeDocument/2006/relationships/hyperlink" Target="https://www.medianews4u.com/jbl-marks-independence-day-with-two-print-first-campaigns-for-personal-and-home-audio/" TargetMode="External"/><Relationship Id="rId497" Type="http://schemas.openxmlformats.org/officeDocument/2006/relationships/hyperlink" Target="https://www.socialsamosa.com/2021/03/havas-creative-india-digital-communication-mandate-itc-bingo/" TargetMode="External"/><Relationship Id="rId498" Type="http://schemas.openxmlformats.org/officeDocument/2006/relationships/hyperlink" Target="https://www.medianews4u.com/burger-king-india-debuts-limited-time-korean-spicy-fest-menu/" TargetMode="External"/><Relationship Id="rId499" Type="http://schemas.openxmlformats.org/officeDocument/2006/relationships/hyperlink" Target="https://www.medianews4u.com/chinese-wok-awards-integrated-mandate-to-havas-creative-india-and-arena-media/" TargetMode="External"/><Relationship Id="rId500" Type="http://schemas.openxmlformats.org/officeDocument/2006/relationships/hyperlink" Target="https://www.afaqs.com/news/media/havas-creative-india-wins-creative-aor-mandate-for-eastman-auto-power-7594341" TargetMode="External"/><Relationship Id="rId501" Type="http://schemas.openxmlformats.org/officeDocument/2006/relationships/hyperlink" Target="https://www.medianews4u.com/harpic-launches-new-harpic-bathroom-ultra-cleaner-appoints-rohit-shetty-as-brand-ambassador/" TargetMode="External"/><Relationship Id="rId502" Type="http://schemas.openxmlformats.org/officeDocument/2006/relationships/hyperlink" Target="https://www.socialsamosa.com/cannes-lions/havas-cannes-lions-2024-mortein-mamaearth-campaigns-4596158" TargetMode="External"/><Relationship Id="rId503" Type="http://schemas.openxmlformats.org/officeDocument/2006/relationships/hyperlink" Target="https://www.afaqs.com/news/advertising/mamaearths-latest-campaign-showcases-the-beauty-of-glass-like-skin-with-its-rice-facewash" TargetMode="External"/><Relationship Id="rId504" Type="http://schemas.openxmlformats.org/officeDocument/2006/relationships/hyperlink" Target="https://www.medianews4u.com/moovs-campaign-stresses-pain-relief-commitment-for-all-ages/" TargetMode="External"/><Relationship Id="rId505" Type="http://schemas.openxmlformats.org/officeDocument/2006/relationships/hyperlink" Target="https://www.afaqs.com/tags/havas-creative-india" TargetMode="External"/><Relationship Id="rId506" Type="http://schemas.openxmlformats.org/officeDocument/2006/relationships/hyperlink" Target="https://www.exchange4media.com/advertising-news/muthoot-fincorp-launches-campaign-with-shah-rukh-khan-134851.html" TargetMode="External"/><Relationship Id="rId507" Type="http://schemas.openxmlformats.org/officeDocument/2006/relationships/hyperlink" Target="https://www.medianews4u.com/havas-creative-india-wins-indias-first-gold-at-cannes-lions-2025-for-ink-of-democracy/" TargetMode="External"/><Relationship Id="rId508" Type="http://schemas.openxmlformats.org/officeDocument/2006/relationships/hyperlink" Target="https://www.medianews4u.com/uti-mutual-funds-sip-karo-sipizen-bano-investor-education-campaign-encourages-investors-to-build-financial-discipline-through-consistent-sip-investing/" TargetMode="External"/><Relationship Id="rId509" Type="http://schemas.openxmlformats.org/officeDocument/2006/relationships/hyperlink" Target="https://www.afaqs.com/news/advertising/vanish-aims-to-make-uniforms-uniform-again-with-vanishthedifference-campaign" TargetMode="External"/><Relationship Id="rId510" Type="http://schemas.openxmlformats.org/officeDocument/2006/relationships/hyperlink" Target="https://www.medianews4u.com/the-betterwaytowax-campaign-is-veets-attempt-to-empower-women-with-confidence-and-offers-them-a-better-method-of-hair-removal/" TargetMode="External"/><Relationship Id="rId511" Type="http://schemas.openxmlformats.org/officeDocument/2006/relationships/hyperlink" Target="https://www.socialsamosa.com/marketing-shorts/joyalukkas-marketing-strategy-for-indias-costliest-wedding-season-yet-10901443" TargetMode="External"/><Relationship Id="rId512" Type="http://schemas.openxmlformats.org/officeDocument/2006/relationships/hyperlink" Target="https://www.afaqs.com/news/newbizwins/havas-media-network-bags-media-mandate-for-aakash-educational-services-11438357" TargetMode="External"/><Relationship Id="rId513" Type="http://schemas.openxmlformats.org/officeDocument/2006/relationships/hyperlink" Target="https://www.storyboard18.com/advertising/policybazaar-awards-rs-200-250-crore-media-mandate-to-havas-108043.htm" TargetMode="External"/><Relationship Id="rId514" Type="http://schemas.openxmlformats.org/officeDocument/2006/relationships/hyperlink" Target="https://www.medianews4u.com/hansgrohe-india-assigns-its-pr-duties-to-pr-pundit/" TargetMode="External"/><Relationship Id="rId515" Type="http://schemas.openxmlformats.org/officeDocument/2006/relationships/hyperlink" Target="https://www.medianews4u.com/bioderma-india-appoints-pr-pundit-as-its-communications-partner/" TargetMode="External"/><Relationship Id="rId516" Type="http://schemas.openxmlformats.org/officeDocument/2006/relationships/hyperlink" Target="https://www.manifest-media.in/marketing/070825/pr-pundit-havas-red-secures-communications-mandate-of-jbcn-group-of-sc.html" TargetMode="External"/><Relationship Id="rId517" Type="http://schemas.openxmlformats.org/officeDocument/2006/relationships/hyperlink" Target="https://www.medianews4u.com/orra-diamond-jewellery-has-appointed-pr-pundit-as-its-communication-partners-in-india/" TargetMode="External"/><Relationship Id="rId518" Type="http://schemas.openxmlformats.org/officeDocument/2006/relationships/hyperlink" Target="https://www.afaqs.com/news/advertising/cheil-india-rolls-out-trusted-by-india-campaign-for-galaxy-a-series-12030227" TargetMode="External"/><Relationship Id="rId519" Type="http://schemas.openxmlformats.org/officeDocument/2006/relationships/hyperlink" Target="https://www.storyboard18.com/agency-news/exclusive-cheil-india-secures-samsungs-consolidated-above-the-line-media-account-following-high-stakes-pitch-99615.htm" TargetMode="External"/><Relationship Id="rId520" Type="http://schemas.openxmlformats.org/officeDocument/2006/relationships/hyperlink" Target="https://www.afaqs.com/news/advertising/cheil-x-launches-ev-sahi-hai-campaign-to-promote-jsw-mg-electric-vehicles-9659781" TargetMode="External"/><Relationship Id="rId521" Type="http://schemas.openxmlformats.org/officeDocument/2006/relationships/hyperlink" Target="https://www.storyboard18.com/agency-news/pnb-metlife-consolidates-creative-mandate-with-cheil-x-india-81433.htm" TargetMode="External"/><Relationship Id="rId522" Type="http://schemas.openxmlformats.org/officeDocument/2006/relationships/hyperlink" Target="https://www.exchange4media.com/companies/cheil-x.html" TargetMode="External"/><Relationship Id="rId523" Type="http://schemas.openxmlformats.org/officeDocument/2006/relationships/hyperlink" Target="https://www.manifest-media.in/advertising/230524/cheil-india-named-as-the-creative-agency-for-luminous-power-technologi.html" TargetMode="External"/><Relationship Id="rId524" Type="http://schemas.openxmlformats.org/officeDocument/2006/relationships/hyperlink" Target="https://www.afaqs.com/news/newbizwins/experience-commerce-wins-social-media-mandate-for-iconiqa-hotels-resorts-11438545" TargetMode="External"/><Relationship Id="rId525" Type="http://schemas.openxmlformats.org/officeDocument/2006/relationships/hyperlink" Target="https://www.medianews4u.com/experience-commerce-renews-digital-mandate-with-mrf-tyres-for-12th-consecutive-year/" TargetMode="External"/><Relationship Id="rId526" Type="http://schemas.openxmlformats.org/officeDocument/2006/relationships/hyperlink" Target="https://www.medianews4u.com/cheils-experience-commerce-wins-digital-and-media-mandate-for-eveready/" TargetMode="External"/><Relationship Id="rId527" Type="http://schemas.openxmlformats.org/officeDocument/2006/relationships/hyperlink" Target="https://www.medianews4u.com/experience-commerce-secures-social-media-mandate-for-parle-candy-culture/" TargetMode="External"/><Relationship Id="rId528" Type="http://schemas.openxmlformats.org/officeDocument/2006/relationships/hyperlink" Target="https://www.socialbeat.in/work/" TargetMode="External"/><Relationship Id="rId529" Type="http://schemas.openxmlformats.org/officeDocument/2006/relationships/hyperlink" Target="https://www.socialbeat.in/work/" TargetMode="External"/><Relationship Id="rId530" Type="http://schemas.openxmlformats.org/officeDocument/2006/relationships/hyperlink" Target="https://www.medianews4u.com/social-beat-wins-digital-mandate-for-edtech-company-cialfo/" TargetMode="External"/><Relationship Id="rId531" Type="http://schemas.openxmlformats.org/officeDocument/2006/relationships/hyperlink" Target="https://www.afaqs.com/news/digital/social-beat-secures-digital-mandate-for-juicy-chemistry" TargetMode="External"/><Relationship Id="rId532" Type="http://schemas.openxmlformats.org/officeDocument/2006/relationships/hyperlink" Target="https://www.afaqs.com/news/ooh/social-beat-executes-pdooh-campaign-for-kalpataru-at-mumbai-airport-11806525" TargetMode="External"/><Relationship Id="rId533" Type="http://schemas.openxmlformats.org/officeDocument/2006/relationships/hyperlink" Target="https://www.afaqs.com/news/advertising/khazana-jewellery-chooses-social-beat-for-digital-mandate" TargetMode="External"/><Relationship Id="rId534" Type="http://schemas.openxmlformats.org/officeDocument/2006/relationships/hyperlink" Target="https://www.medianews4u.com/social-beat-secures-seo-and-content-mandate-for-pothys/" TargetMode="External"/><Relationship Id="rId535" Type="http://schemas.openxmlformats.org/officeDocument/2006/relationships/hyperlink" Target="https://www.medianews4u.com/social-beat-captures-fortunes-25-year-legacy-with-a-digital-campaign/" TargetMode="External"/><Relationship Id="rId536" Type="http://schemas.openxmlformats.org/officeDocument/2006/relationships/hyperlink" Target="https://www.medianews4u.com/radico-khaitan-appoints-adglobal360-as-integrated-digital-media-partner-to-strengthen-consumer-engagement/" TargetMode="External"/><Relationship Id="rId537" Type="http://schemas.openxmlformats.org/officeDocument/2006/relationships/hyperlink" Target="https://www.hakuhodo-global.com/news/hakuhodo-india-network-secures-16-prestigious-awards-at-e4m-automotive-marketing-awards-2026.html" TargetMode="External"/><Relationship Id="rId538" Type="http://schemas.openxmlformats.org/officeDocument/2006/relationships/hyperlink" Target="https://www.afaqs.com/news/newbizwins/adglobal360-wins-radico-khaitans-digital-media-mandate-12017046" TargetMode="External"/><Relationship Id="rId539" Type="http://schemas.openxmlformats.org/officeDocument/2006/relationships/hyperlink" Target="https://www.medianews4u.com/radico-khaitan-appoints-adglobal360-as-integrated-digital-media-partner-to-strengthen-consumer-engagement/" TargetMode="External"/><Relationship Id="rId540" Type="http://schemas.openxmlformats.org/officeDocument/2006/relationships/hyperlink" Target="https://www.medianews4u.com/radico-khaitan-appoints-adglobal360-as-integrated-digital-media-partner-to-strengthen-consumer-engagement/" TargetMode="External"/><Relationship Id="rId541" Type="http://schemas.openxmlformats.org/officeDocument/2006/relationships/hyperlink" Target="https://www.hakuhodo-global.com/news/hakuhodo-india-network-secures-16-prestigious-awards-at-e4m-automotive-marketing-awards-2026.html" TargetMode="External"/><Relationship Id="rId542" Type="http://schemas.openxmlformats.org/officeDocument/2006/relationships/hyperlink" Target="https://www.afaqs.com/news/advertising/hakuhodo-india-named-strategic-creative-partner-of-radico-khaitan-for-a-host-of-premium-products" TargetMode="External"/><Relationship Id="rId543" Type="http://schemas.openxmlformats.org/officeDocument/2006/relationships/hyperlink" Target="https://www.afaqs.com/news/newbizwins/dr-willmar-schwabes-dizester-assigns-creative-mandate-to-hakuhodowyng-10733385" TargetMode="External"/><Relationship Id="rId544" Type="http://schemas.openxmlformats.org/officeDocument/2006/relationships/hyperlink" Target="https://manifest-media.in/advertising/280526/hakuhodo-bags-creative-mandate-for-jindal-stainless.html" TargetMode="External"/><Relationship Id="rId545" Type="http://schemas.openxmlformats.org/officeDocument/2006/relationships/hyperlink" Target="https://www.hakuhodo-global.com/news/hakuhodo-india-network-secures-16-prestigious-awards-at-e4m-automotive-marketing-awards-2026.html" TargetMode="External"/><Relationship Id="rId546" Type="http://schemas.openxmlformats.org/officeDocument/2006/relationships/hyperlink" Target="https://www.hakuhodo-global.com/news/hakuhodo-india-network-secures-16-prestigious-awards-at-e4m-automotive-marketing-awards-2026.html" TargetMode="External"/><Relationship Id="rId547" Type="http://schemas.openxmlformats.org/officeDocument/2006/relationships/hyperlink" Target="https://www.hakuhodo-global.com/news/pmg-india-earns-agency-of-the-year-and-21-awards-at-wow-awards-asia-2026-marking-another-milestone-for-the-hakuhodo-international-collective.html" TargetMode="External"/><Relationship Id="rId548" Type="http://schemas.openxmlformats.org/officeDocument/2006/relationships/hyperlink" Target="https://www.hakuhodo-global.com/news/pmg-india-earns-agency-of-the-year-and-21-awards-at-wow-awards-asia-2026-marking-another-milestone-for-the-hakuhodo-international-collective.html" TargetMode="External"/><Relationship Id="rId549" Type="http://schemas.openxmlformats.org/officeDocument/2006/relationships/hyperlink" Target="https://www.hakuhodo-global.com/news/hakuhodo-india-network-secures-16-prestigious-awards-at-e4m-automotive-marketing-awards-2026.html" TargetMode="External"/><Relationship Id="rId550" Type="http://schemas.openxmlformats.org/officeDocument/2006/relationships/hyperlink" Target="https://www.hakuhodo-global.com/news/pmg-india-earns-agency-of-the-year-and-21-awards-at-wow-awards-asia-2026-marking-another-milestone-for-the-hakuhodo-international-collective.html" TargetMode="External"/><Relationship Id="rId551" Type="http://schemas.openxmlformats.org/officeDocument/2006/relationships/hyperlink" Target="https://www.afaqs.com/news/newbizwins/healthcare-global-enterprises-appoints-4am-worldwide-as-creative-brand-partner-12030869" TargetMode="External"/><Relationship Id="rId552" Type="http://schemas.openxmlformats.org/officeDocument/2006/relationships/hyperlink" Target="https://www.medianews4u.com/fabindia-appoints-80-db-mavericks-pr-consultancy/" TargetMode="External"/><Relationship Id="rId553" Type="http://schemas.openxmlformats.org/officeDocument/2006/relationships/hyperlink" Target="https://www.afaqs.com/news/newbizwins/80-db-communications-wins-the-pr-mandate-for-smytten-11720853" TargetMode="External"/><Relationship Id="rId554" Type="http://schemas.openxmlformats.org/officeDocument/2006/relationships/hyperlink" Target="https://www.medianews4u.com/a-simple-agency-wins-ooh-mandate-for-foxtale-featuring-shah-rukh-khan/" TargetMode="External"/><Relationship Id="rId555" Type="http://schemas.openxmlformats.org/officeDocument/2006/relationships/hyperlink" Target="https://www.afaqs.com/news/newbizwins/a-simple-agency-bags-foxtales-ooh-mandate-featuring-shah-rukh-khan-12394815" TargetMode="External"/><Relationship Id="rId556" Type="http://schemas.openxmlformats.org/officeDocument/2006/relationships/hyperlink" Target="https://www.exchange4media.com/pr-and-corporate-communication-news/itc-hotels-ropes-in-actimedia-as-pr-and-communications-partner-113939.html" TargetMode="External"/><Relationship Id="rId557" Type="http://schemas.openxmlformats.org/officeDocument/2006/relationships/hyperlink" Target="https://www.afaqs.com/news/newbizwins/air-canada-appoints-actimedia-pr-as-communications-partner-for-india-8686842" TargetMode="External"/><Relationship Id="rId558" Type="http://schemas.openxmlformats.org/officeDocument/2006/relationships/hyperlink" Target="https://www.medianews4u.com/senco-gold-diamonds-appoints-actimedia-pr-digital-as-official-pr-partner/" TargetMode="External"/><Relationship Id="rId559" Type="http://schemas.openxmlformats.org/officeDocument/2006/relationships/hyperlink" Target="https://www.adgully.com/post/611/mercedes-benz-india-awards-pr-mandate-to-adfactors-pr" TargetMode="External"/><Relationship Id="rId560" Type="http://schemas.openxmlformats.org/officeDocument/2006/relationships/hyperlink" Target="https://www.campaignindia.in/article/au-small-finance-bank-appoints-adfactors-pr-as-its-strategic-communications-partner/47xnxqj38v1a16xfs0r0z4nc5p" TargetMode="External"/><Relationship Id="rId561" Type="http://schemas.openxmlformats.org/officeDocument/2006/relationships/hyperlink" Target="https://www.afaqs.com/news/newbizwins/adlift-wins-ai-search-visibility-mandate-from-casagrand-for-tesseract-12255953" TargetMode="External"/><Relationship Id="rId562" Type="http://schemas.openxmlformats.org/officeDocument/2006/relationships/hyperlink" Target="https://www.medianews4u.com/adlift-bags-seo-mandate-for-indriya-aditya-birla-jewellery/" TargetMode="External"/><Relationship Id="rId563" Type="http://schemas.openxmlformats.org/officeDocument/2006/relationships/hyperlink" Target="https://www.afaqs.com/news/newbizwins/adlift-bags-seo-mandate-for-indriya-11885816" TargetMode="External"/><Relationship Id="rId564" Type="http://schemas.openxmlformats.org/officeDocument/2006/relationships/hyperlink" Target="https://www.campaignindia.in/article/tata-aia-marks-25-years-with-city-led-campaign/40h4xznpb8afwsycdf1j2w5n5e" TargetMode="External"/><Relationship Id="rId565" Type="http://schemas.openxmlformats.org/officeDocument/2006/relationships/hyperlink" Target="https://www.afaqs.com/corporate-communications-and-pr/alphabet-media-wins-the-pr-mandate-for-luxury-fashion-brand-saundh" TargetMode="External"/><Relationship Id="rId566" Type="http://schemas.openxmlformats.org/officeDocument/2006/relationships/hyperlink" Target="https://www.afaqs.com/news/advertising/hyatt-india-launches-new-fb-campaign-to-highlight-its-culinary-legacy-7777415" TargetMode="External"/><Relationship Id="rId567" Type="http://schemas.openxmlformats.org/officeDocument/2006/relationships/hyperlink" Target="https://www.afaqs.com/news/newbizwins/apostrophe-ventures-wins-tilaknagar-industries-pr-mandate-12228000" TargetMode="External"/><Relationship Id="rId568" Type="http://schemas.openxmlformats.org/officeDocument/2006/relationships/hyperlink" Target="https://www.medianews4u.com/tilaknagar-industries-appoints-apostrophe-ventures-as-corporate-and-brand-pr-partner/" TargetMode="External"/><Relationship Id="rId569" Type="http://schemas.openxmlformats.org/officeDocument/2006/relationships/hyperlink" Target="https://www.storyboard18.com/advertising/coca-colas-limca-shifts-creative-mandate-to-atom-network-93735.htm" TargetMode="External"/><Relationship Id="rId570" Type="http://schemas.openxmlformats.org/officeDocument/2006/relationships/hyperlink" Target="https://www.storyboard18.com/agency-news/antara-senior-living-appoints-bang-in-the-middle-as-its-creative-agency-33413.htm" TargetMode="External"/><Relationship Id="rId571" Type="http://schemas.openxmlformats.org/officeDocument/2006/relationships/hyperlink" Target="https://www.afaqs.com/news/advertising/groupe-seb-india-appoints-bang-in-the-middle-as-its-creative-agency" TargetMode="External"/><Relationship Id="rId572" Type="http://schemas.openxmlformats.org/officeDocument/2006/relationships/hyperlink" Target="https://www.afaqs.com/news/advertising/bang-in-the-middle-hollers-at-former-client-mendanta-for-using-a-campaign-idea-it-rejected-during-their-year-long-relationship" TargetMode="External"/><Relationship Id="rId573" Type="http://schemas.openxmlformats.org/officeDocument/2006/relationships/hyperlink" Target="https://www.afaqs.com/news/advertising/mothers-recipe-picks-bang-in-the-middle-to-service-its-mainline-creative-account" TargetMode="External"/><Relationship Id="rId574" Type="http://schemas.openxmlformats.org/officeDocument/2006/relationships/hyperlink" Target="https://www.bcwebwise.com/" TargetMode="External"/><Relationship Id="rId575" Type="http://schemas.openxmlformats.org/officeDocument/2006/relationships/hyperlink" Target="https://www.medianews4u.com/bc-web-wise-wins-digital-and-social-media-mandate-for-procam-internationals-hdor/" TargetMode="External"/><Relationship Id="rId576" Type="http://schemas.openxmlformats.org/officeDocument/2006/relationships/hyperlink" Target="https://www.bcwebwise.com/" TargetMode="External"/><Relationship Id="rId577" Type="http://schemas.openxmlformats.org/officeDocument/2006/relationships/hyperlink" Target="https://www.medianews4u.com/bc-web-wise-relaunches-gatsby-with-gottagroove-campaign/" TargetMode="External"/><Relationship Id="rId578" Type="http://schemas.openxmlformats.org/officeDocument/2006/relationships/hyperlink" Target="https://www.medianews4u.com/bc-web-wise-wins-digital-mandate-for-lic-housing-finance/" TargetMode="External"/><Relationship Id="rId579" Type="http://schemas.openxmlformats.org/officeDocument/2006/relationships/hyperlink" Target="https://www.medianews4u.com/mpokket-appoints-bc-web-wise-to-strengthen-ai-led-search-and-digital-discovery-strategy/" TargetMode="External"/><Relationship Id="rId580" Type="http://schemas.openxmlformats.org/officeDocument/2006/relationships/hyperlink" Target="https://www.medianews4u.com/bc-web-wise-secures-digital-mandate-for-mschief/" TargetMode="External"/><Relationship Id="rId581" Type="http://schemas.openxmlformats.org/officeDocument/2006/relationships/hyperlink" Target="https://www.medianews4u.com/bc-web-wise-tiger-balm-shine-spotlight-on-forest-guards-this-international-tigers-day/" TargetMode="External"/><Relationship Id="rId582" Type="http://schemas.openxmlformats.org/officeDocument/2006/relationships/hyperlink" Target="https://www.medianews4u.com/zuno-general-insurance-renews-digital-mandate-with-bc-web-wise-for-the-second-consecutive-year/" TargetMode="External"/><Relationship Id="rId583" Type="http://schemas.openxmlformats.org/officeDocument/2006/relationships/hyperlink" Target="https://www.medianews4u.com/beam-and-words-bags-social-media-mandate-for-luxury-designer-brand-tarun-tahiliani/" TargetMode="External"/><Relationship Id="rId584" Type="http://schemas.openxmlformats.org/officeDocument/2006/relationships/hyperlink" Target="https://www.medianews4u.com/indri-single-malt-whisky-gives-360-brand-mandate-to-blackcab-agency-network/" TargetMode="External"/><Relationship Id="rId585" Type="http://schemas.openxmlformats.org/officeDocument/2006/relationships/hyperlink" Target="https://www.afaqs.com/news/advertising/agoda-launches-ai-powered-campaign-with-ayushmann-khurrana-to-personalise-travel-ads-for-audiences" TargetMode="External"/><Relationship Id="rId586" Type="http://schemas.openxmlformats.org/officeDocument/2006/relationships/hyperlink" Target="https://www.afaqs.com/news/advertising/fibe-awards-its-digital-mandate-to-blink-digital" TargetMode="External"/><Relationship Id="rId587" Type="http://schemas.openxmlformats.org/officeDocument/2006/relationships/hyperlink" Target="https://www.afaqs.com/news/media/creative-agency-blue-vector-wins-the-social-media-mandate-for-volvo-cars-india" TargetMode="External"/><Relationship Id="rId588" Type="http://schemas.openxmlformats.org/officeDocument/2006/relationships/hyperlink" Target="https://www.campaignindia.in/article/pitch-update-coca-cola-mastercard-vinfast-sleepwell-and-more/42wq85ph1ex6qsf9ngpgb9ahxk" TargetMode="External"/><Relationship Id="rId589" Type="http://schemas.openxmlformats.org/officeDocument/2006/relationships/hyperlink" Target="https://www.afaqs.com/news/advertising/when-the-star-client-stumbles-building-resilience-in-indias-new-age-ad-agencies-10477604" TargetMode="External"/><Relationship Id="rId590" Type="http://schemas.openxmlformats.org/officeDocument/2006/relationships/hyperlink" Target="https://www.afaqs.com/news/advertising/ananya-panday-reads-the-riot-act-to-anurag-kashyap-in-a-tresemme-ad-10974026" TargetMode="External"/><Relationship Id="rId591" Type="http://schemas.openxmlformats.org/officeDocument/2006/relationships/hyperlink" Target="https://www.afaqs.com/news/advertising/when-the-star-client-stumbles-building-resilience-in-indias-new-age-ad-agencies-10477604" TargetMode="External"/><Relationship Id="rId592" Type="http://schemas.openxmlformats.org/officeDocument/2006/relationships/hyperlink" Target="https://www.afaqs.com/news/advertising/courtyard-by-marriott-gurugram-downtown-awards-its-creative-socialmedia-marketing-mandate-to-brand-catapult" TargetMode="External"/><Relationship Id="rId593" Type="http://schemas.openxmlformats.org/officeDocument/2006/relationships/hyperlink" Target="https://www.brandcatapult.in/" TargetMode="External"/><Relationship Id="rId594" Type="http://schemas.openxmlformats.org/officeDocument/2006/relationships/hyperlink" Target="https://www.afaqs.com/news/advertising/53191_kotak-mahindra-bank-plays-inclusion-card" TargetMode="External"/><Relationship Id="rId595" Type="http://schemas.openxmlformats.org/officeDocument/2006/relationships/hyperlink" Target="https://www.medianews4u.com/tag/chimpz-inc/" TargetMode="External"/><Relationship Id="rId596" Type="http://schemas.openxmlformats.org/officeDocument/2006/relationships/hyperlink" Target="https://www.communicateindia.com/" TargetMode="External"/><Relationship Id="rId597" Type="http://schemas.openxmlformats.org/officeDocument/2006/relationships/hyperlink" Target="https://www.communicateindia.com/" TargetMode="External"/><Relationship Id="rId598" Type="http://schemas.openxmlformats.org/officeDocument/2006/relationships/hyperlink" Target="https://www.afaqs.com/news/newbizwins/swiss-military-appoints-compass-communications-as-strategic-comms-partner-11224671" TargetMode="External"/><Relationship Id="rId599" Type="http://schemas.openxmlformats.org/officeDocument/2006/relationships/hyperlink" Target="https://www.socialsamosa.com/industry-updates/concept-pr-communications-mandate-runwal-enterprises-12062954" TargetMode="External"/><Relationship Id="rId600" Type="http://schemas.openxmlformats.org/officeDocument/2006/relationships/hyperlink" Target="https://www.afaqs.com/news/newbizwins/concept-communications-wins-creative-mandate-for-amfis-mutual-funds-sahi-hai-campaign-11024109" TargetMode="External"/><Relationship Id="rId601" Type="http://schemas.openxmlformats.org/officeDocument/2006/relationships/hyperlink" Target="https://www.afaqs.com/news/newbizwins/confiance-communications-secures-pr-mandate-for-raga-svara-wellness-retreat-9518188" TargetMode="External"/><Relationship Id="rId602" Type="http://schemas.openxmlformats.org/officeDocument/2006/relationships/hyperlink" Target="https://www.afaqs.com/news/newbizwins/confiance-communications-bags-communications-mandate-for-libertario-coffee-india-11777538" TargetMode="External"/><Relationship Id="rId603" Type="http://schemas.openxmlformats.org/officeDocument/2006/relationships/hyperlink" Target="https://www.afaqs.com/news/newbizwins/the-pant-project-names-confiance-communications-as-pr-partner-12186958" TargetMode="External"/><Relationship Id="rId604" Type="http://schemas.openxmlformats.org/officeDocument/2006/relationships/hyperlink" Target="https://www.afaqs.com/news/newbizwins/t&#252;rkiye-tourism-renews-india-pr-mandate-with-confiance-communications-11076007" TargetMode="External"/><Relationship Id="rId605" Type="http://schemas.openxmlformats.org/officeDocument/2006/relationships/hyperlink" Target="https://www.medianews4u.com/balaji-wafers-appoints-creativefuel-as-social-and-digital-partner/" TargetMode="External"/><Relationship Id="rId606" Type="http://schemas.openxmlformats.org/officeDocument/2006/relationships/hyperlink" Target="https://www.medianews4u.com/creativefuel-drives-multi-platform-digital-launch-for-jiohotstar-x-superman/" TargetMode="External"/><Relationship Id="rId607" Type="http://schemas.openxmlformats.org/officeDocument/2006/relationships/hyperlink" Target="https://www.afaqs.com/news/newbizwins/creativefuel-wins-social-media-digital-mandate-for-priyagold-11092247" TargetMode="External"/><Relationship Id="rId608" Type="http://schemas.openxmlformats.org/officeDocument/2006/relationships/hyperlink" Target="https://www.afaqs.com/news/newbizwins/creativeland-asia-delhi-bags-del-monte-indias-creative-mandate-12116891" TargetMode="External"/><Relationship Id="rId609" Type="http://schemas.openxmlformats.org/officeDocument/2006/relationships/hyperlink" Target="https://www.afaqs.com/news/advertising/creativeland-asia-rolls-out-vida-vaka-voom-anthem-for-hero-vida-11458758" TargetMode="External"/><Relationship Id="rId610" Type="http://schemas.openxmlformats.org/officeDocument/2006/relationships/hyperlink" Target="https://www.storyboard18.com/advertising/meh-rupay-kotak-and-caratlane-had-every-possible-advantage-their-campaigns-did-not-show-it-99583.htm" TargetMode="External"/><Relationship Id="rId611" Type="http://schemas.openxmlformats.org/officeDocument/2006/relationships/hyperlink" Target="https://www.afaqs.com/news/advertising/how-kotak-is-banking-on-ai-driven-content-to-stay-ahead-of-the-curve-8893952" TargetMode="External"/><Relationship Id="rId612" Type="http://schemas.openxmlformats.org/officeDocument/2006/relationships/hyperlink" Target="https://www.medianews4u.com/entourage-films-brings-jasprit-bumrahs-off-field-ease-to-life-in-uniqlos-newest-campaign-ad-film/" TargetMode="External"/><Relationship Id="rId613" Type="http://schemas.openxmlformats.org/officeDocument/2006/relationships/hyperlink" Target="https://www.afaqs.com/news/advertising/pizza-huts-no-interruption-only-satisfaction-campaign-unveils-melts-a-meal-for-on-the-go-consumers" TargetMode="External"/><Relationship Id="rId614" Type="http://schemas.openxmlformats.org/officeDocument/2006/relationships/hyperlink" Target="https://www.afaqs.com/news/newbizwins/creativeland-asia-wins-social-media-mandate-for-realme-11458316" TargetMode="External"/><Relationship Id="rId615" Type="http://schemas.openxmlformats.org/officeDocument/2006/relationships/hyperlink" Target="https://crosshairscommunication.com/case-studies/" TargetMode="External"/><Relationship Id="rId616" Type="http://schemas.openxmlformats.org/officeDocument/2006/relationships/hyperlink" Target="https://crosshairscommunication.com/clients/" TargetMode="External"/><Relationship Id="rId617" Type="http://schemas.openxmlformats.org/officeDocument/2006/relationships/hyperlink" Target="https://crosshairscommunication.com/clients/" TargetMode="External"/><Relationship Id="rId618" Type="http://schemas.openxmlformats.org/officeDocument/2006/relationships/hyperlink" Target="https://crosshairscommunication.com/clients/" TargetMode="External"/><Relationship Id="rId619" Type="http://schemas.openxmlformats.org/officeDocument/2006/relationships/hyperlink" Target="https://crosshairscommunication.com/case-studies/" TargetMode="External"/><Relationship Id="rId620" Type="http://schemas.openxmlformats.org/officeDocument/2006/relationships/hyperlink" Target="https://www.afaqs.com/corporate-communications-and-pr/crosshairs-communication-wins-pr-mandate-for-khurana-jewellery-house" TargetMode="External"/><Relationship Id="rId621" Type="http://schemas.openxmlformats.org/officeDocument/2006/relationships/hyperlink" Target="https://crosshairscommunication.com/case-studies/" TargetMode="External"/><Relationship Id="rId622" Type="http://schemas.openxmlformats.org/officeDocument/2006/relationships/hyperlink" Target="https://www.medianews4u.com/loccitane-awards-its-pr-mandate-to-crosshairs-communication/" TargetMode="External"/><Relationship Id="rId623" Type="http://schemas.openxmlformats.org/officeDocument/2006/relationships/hyperlink" Target="https://www.afaqs.com/corporate-communications-and-pr/crosshairs-communication-bags-pr-mandate-for-le-royal-monceau-raffles-paris-7594598" TargetMode="External"/><Relationship Id="rId624" Type="http://schemas.openxmlformats.org/officeDocument/2006/relationships/hyperlink" Target="https://crosshairscommunication.com/case-studies/" TargetMode="External"/><Relationship Id="rId625" Type="http://schemas.openxmlformats.org/officeDocument/2006/relationships/hyperlink" Target="https://crosshairscommunication.com/case-studies/" TargetMode="External"/><Relationship Id="rId626" Type="http://schemas.openxmlformats.org/officeDocument/2006/relationships/hyperlink" Target="https://www.afaqs.com/news/newbizwins/crosshairs-communication-bags-pr-mandate-for-raghavendra-rathore-jodhpur-8899894" TargetMode="External"/><Relationship Id="rId627" Type="http://schemas.openxmlformats.org/officeDocument/2006/relationships/hyperlink" Target="https://crosshairscommunication.com/clients/" TargetMode="External"/><Relationship Id="rId628" Type="http://schemas.openxmlformats.org/officeDocument/2006/relationships/hyperlink" Target="https://crosshairscommunication.com/clients/" TargetMode="External"/><Relationship Id="rId629" Type="http://schemas.openxmlformats.org/officeDocument/2006/relationships/hyperlink" Target="https://www.afaqs.com/corporate-communications-and-pr/crosshairs-communication-bags-pr-mandate-for-thomas-goode-co-in-india-7295230" TargetMode="External"/><Relationship Id="rId630" Type="http://schemas.openxmlformats.org/officeDocument/2006/relationships/hyperlink" Target="https://www.afaqs.com/corporate-communications-and-pr/crosshairs-communication-is-now-accor-indias-pr-partner" TargetMode="External"/><Relationship Id="rId631" Type="http://schemas.openxmlformats.org/officeDocument/2006/relationships/hyperlink" Target="https://crosshairscommunication.com/case-studies/" TargetMode="External"/><Relationship Id="rId632" Type="http://schemas.openxmlformats.org/officeDocument/2006/relationships/hyperlink" Target="https://crosshairscommunication.com/case-studies/" TargetMode="External"/><Relationship Id="rId633" Type="http://schemas.openxmlformats.org/officeDocument/2006/relationships/hyperlink" Target="https://crosshairscommunication.com/clients/" TargetMode="External"/><Relationship Id="rId634" Type="http://schemas.openxmlformats.org/officeDocument/2006/relationships/hyperlink" Target="https://crosshairscommunication.com/clients/" TargetMode="External"/><Relationship Id="rId635" Type="http://schemas.openxmlformats.org/officeDocument/2006/relationships/hyperlink" Target="https://www.afaqs.com/news/advertising/axis-bank-shows-what-happens-when-open-becomes-the-new-normal-12559223" TargetMode="External"/><Relationship Id="rId636" Type="http://schemas.openxmlformats.org/officeDocument/2006/relationships/hyperlink" Target="https://www.afaqs.com/news/advertising/gulf-pride-dhoni-12480108" TargetMode="External"/><Relationship Id="rId637" Type="http://schemas.openxmlformats.org/officeDocument/2006/relationships/hyperlink" Target="https://www.afaqs.com/news/advertising/too-yumm-revamps-brand-positioning-introduces-twisties-snack-in-new-ad" TargetMode="External"/><Relationship Id="rId638" Type="http://schemas.openxmlformats.org/officeDocument/2006/relationships/hyperlink" Target="https://www.afaqs.com/news/advertising/urbn-appoints-curativity-as-creative-partner" TargetMode="External"/><Relationship Id="rId639" Type="http://schemas.openxmlformats.org/officeDocument/2006/relationships/hyperlink" Target="https://www.medianews4u.com/curry-nation-wins-integrated-digital-and-growth-mandates-across-jewellery-technology-and-kitchenware/" TargetMode="External"/><Relationship Id="rId640" Type="http://schemas.openxmlformats.org/officeDocument/2006/relationships/hyperlink" Target="https://www.medianews4u.com/curry-nation-wins-integrated-digital-and-growth-mandates-across-jewellery-technology-and-kitchenware/" TargetMode="External"/><Relationship Id="rId641" Type="http://schemas.openxmlformats.org/officeDocument/2006/relationships/hyperlink" Target="https://www.medianews4u.com/tag/cut-the-crap/" TargetMode="External"/><Relationship Id="rId642" Type="http://schemas.openxmlformats.org/officeDocument/2006/relationships/hyperlink" Target="https://www.medianews4u.com/digital-refresh-networks-bags-the-digital-mandate-for-mia-by-tanishq-motherhood-ivf-and-ikounsellor/" TargetMode="External"/><Relationship Id="rId643" Type="http://schemas.openxmlformats.org/officeDocument/2006/relationships/hyperlink" Target="https://www.medianews4u.com/digital-refresh-networks-bags-the-digital-mandate-for-haribol/" TargetMode="External"/><Relationship Id="rId644" Type="http://schemas.openxmlformats.org/officeDocument/2006/relationships/hyperlink" Target="https://www.afaqs.com/tags/digital-refresh-networks" TargetMode="External"/><Relationship Id="rId645" Type="http://schemas.openxmlformats.org/officeDocument/2006/relationships/hyperlink" Target="https://www.medianews4u.com/digital-refresh-networks-wins-digital-mandate-for-nissin-geki-korean-noodles/" TargetMode="External"/><Relationship Id="rId646" Type="http://schemas.openxmlformats.org/officeDocument/2006/relationships/hyperlink" Target="https://dnanetworks.com/our-work/corporate-events/" TargetMode="External"/><Relationship Id="rId647" Type="http://schemas.openxmlformats.org/officeDocument/2006/relationships/hyperlink" Target="https://dnanetworks.com/our-work/special-events/" TargetMode="External"/><Relationship Id="rId648" Type="http://schemas.openxmlformats.org/officeDocument/2006/relationships/hyperlink" Target="https://www.medianews4u.com/dvio-digital-wins-the-creative-and-digital-marketing-mandate-for-theobroma/" TargetMode="External"/><Relationship Id="rId649" Type="http://schemas.openxmlformats.org/officeDocument/2006/relationships/hyperlink" Target="https://www.afaqs.com/news/newbizwins/gant-india-partners-with-emporiom-digital-to-drive-digital-growth-8975364" TargetMode="External"/><Relationship Id="rId650" Type="http://schemas.openxmlformats.org/officeDocument/2006/relationships/hyperlink" Target="https://www.afaqs.com/news/newbizwins/enormous-wins-creative-mandate-for-bombay-shaving-company-11133665" TargetMode="External"/><Relationship Id="rId651" Type="http://schemas.openxmlformats.org/officeDocument/2006/relationships/hyperlink" Target="https://www.afaqs.com/news/newbizwins/enormous-wins-creative-mandate-for-bombay-shaving-company-11133665" TargetMode="External"/><Relationship Id="rId652" Type="http://schemas.openxmlformats.org/officeDocument/2006/relationships/hyperlink" Target="https://www.afaqs.com/news/newbizwins/enormous-wins-the-integrated-creative-mandate-for-duroflex-and-sleepyhead-10061432" TargetMode="External"/><Relationship Id="rId653" Type="http://schemas.openxmlformats.org/officeDocument/2006/relationships/hyperlink" Target="https://www.afaqs.com/news/advertising/how-enormous-is-winning-most-of-its-new-business-without-pitching-10996334" TargetMode="External"/><Relationship Id="rId654" Type="http://schemas.openxmlformats.org/officeDocument/2006/relationships/hyperlink" Target="https://www.afaqs.com/news/advertising/nua-launches-new-campaign-on-pad-irritation-with-enormous-11822719" TargetMode="External"/><Relationship Id="rId655" Type="http://schemas.openxmlformats.org/officeDocument/2006/relationships/hyperlink" Target="https://www.afaqs.com/news/advertising/dish-tv-turns-small-switches-into-always-on-viewing-11735391" TargetMode="External"/><Relationship Id="rId656" Type="http://schemas.openxmlformats.org/officeDocument/2006/relationships/hyperlink" Target="https://www.afaqs.com/news/advertising/how-enormous-is-winning-most-of-its-new-business-without-pitching-10996334" TargetMode="External"/><Relationship Id="rId657" Type="http://schemas.openxmlformats.org/officeDocument/2006/relationships/hyperlink" Target="https://www.afaqs.com/news/advertising/lahori-zeera-returns-with-a-sequel-not-a-reboot-10993407" TargetMode="External"/><Relationship Id="rId658" Type="http://schemas.openxmlformats.org/officeDocument/2006/relationships/hyperlink" Target="https://www.afaqs.com/news/advertising/how-enormous-is-winning-most-of-its-new-business-without-pitching-10996334" TargetMode="External"/><Relationship Id="rId659" Type="http://schemas.openxmlformats.org/officeDocument/2006/relationships/hyperlink" Target="https://www.afaqs.com/news/advertising/enormous-highlights-ralson-tyres-durability-in-new-campaign-11805738" TargetMode="External"/><Relationship Id="rId660" Type="http://schemas.openxmlformats.org/officeDocument/2006/relationships/hyperlink" Target="https://www.afaqs.com/news/advertising/how-enormous-is-winning-most-of-its-new-business-without-pitching-10996334" TargetMode="External"/><Relationship Id="rId661" Type="http://schemas.openxmlformats.org/officeDocument/2006/relationships/hyperlink" Target="https://www.afaqs.com/news/advertising/how-enormous-is-winning-most-of-its-new-business-without-pitching-10996334" TargetMode="External"/><Relationship Id="rId662" Type="http://schemas.openxmlformats.org/officeDocument/2006/relationships/hyperlink" Target="https://www.ethinos.com/" TargetMode="External"/><Relationship Id="rId663" Type="http://schemas.openxmlformats.org/officeDocument/2006/relationships/hyperlink" Target="https://www.afaqs.com/news/advertising/50574_everest-brand-solutions-retains-creative-mandate-of-ddfs" TargetMode="External"/><Relationship Id="rId664" Type="http://schemas.openxmlformats.org/officeDocument/2006/relationships/hyperlink" Target="https://www.afaqs.com/news/advertising/famous-innovations-wins-5-major-mandates-in-h2-strengthens-geographical-expansion-11727022" TargetMode="External"/><Relationship Id="rId665" Type="http://schemas.openxmlformats.org/officeDocument/2006/relationships/hyperlink" Target="https://www.afaqs.com/news/advertising/famous-innovations-wins-5-major-mandates-in-h2-strengthens-geographical-expansion-11727022" TargetMode="External"/><Relationship Id="rId666" Type="http://schemas.openxmlformats.org/officeDocument/2006/relationships/hyperlink" Target="https://www.afaqs.com/news/advertising/famous-innovations-wins-5-major-mandates-in-h2-strengthens-geographical-expansion-11727022" TargetMode="External"/><Relationship Id="rId667" Type="http://schemas.openxmlformats.org/officeDocument/2006/relationships/hyperlink" Target="https://www.afaqs.com/news/advertising/famous-innovations-wins-5-major-mandates-in-h2-strengthens-geographical-expansion-11727022" TargetMode="External"/><Relationship Id="rId668" Type="http://schemas.openxmlformats.org/officeDocument/2006/relationships/hyperlink" Target="https://bestmediainfo.com/2023/10/mia-by-tanishq-s-for-the-star-in-you-campaign-inspires-individuals-to-embrace-their-inner-radiance" TargetMode="External"/><Relationship Id="rId669" Type="http://schemas.openxmlformats.org/officeDocument/2006/relationships/hyperlink" Target="https://www.afaqs.com/news/advertising/sebamed-draws-a-line-between-hair-fall-and-hair-loss-in-new-campaign-12162719" TargetMode="External"/><Relationship Id="rId670" Type="http://schemas.openxmlformats.org/officeDocument/2006/relationships/hyperlink" Target="https://www.afaqs.com/news/newbizwins/famous-innovations-to-lead-communications-for-world-pickleball-league-9521850" TargetMode="External"/><Relationship Id="rId671" Type="http://schemas.openxmlformats.org/officeDocument/2006/relationships/hyperlink" Target="https://www.afaqs.com/news/advertising/famous-innovations-wins-5-major-mandates-in-h2-strengthens-geographical-expansion-11727022" TargetMode="External"/><Relationship Id="rId672" Type="http://schemas.openxmlformats.org/officeDocument/2006/relationships/hyperlink" Target="https://www.afaqs.com/news/advertising/famous-innovations-wins-5-major-mandates-in-h2-strengthens-geographical-expansion-11727022" TargetMode="External"/><Relationship Id="rId673" Type="http://schemas.openxmlformats.org/officeDocument/2006/relationships/hyperlink" Target="https://www.afaqs.com/news/advertising/famous-innovations-wins-5-major-mandates-in-h2-strengthens-geographical-expansion-11727022" TargetMode="External"/><Relationship Id="rId674" Type="http://schemas.openxmlformats.org/officeDocument/2006/relationships/hyperlink" Target="https://www.afaqs.com/news/advertising/famous-innovations-wins-5-major-mandates-in-h2-strengthens-geographical-expansion-11727022" TargetMode="External"/><Relationship Id="rId675" Type="http://schemas.openxmlformats.org/officeDocument/2006/relationships/hyperlink" Target="https://www.afaqs.com/news/newbizwins/famous-innovations-wins-the-creative-duties-of-nilkamal-sleep-9496503" TargetMode="External"/><Relationship Id="rId676" Type="http://schemas.openxmlformats.org/officeDocument/2006/relationships/hyperlink" Target="https://www.afaqs.com/news/advertising/oppo-reveals-full-aawara-gang-story-with-siddhant-ishaan-pooja-following-ranbir-kapoors-teaser-9442028" TargetMode="External"/><Relationship Id="rId677" Type="http://schemas.openxmlformats.org/officeDocument/2006/relationships/hyperlink" Target="https://www.afaqs.com/news/newbizwins/laneige-appoints-filter-coffee-co-as-its-digital-communication-partner-in-india-8941193" TargetMode="External"/><Relationship Id="rId678" Type="http://schemas.openxmlformats.org/officeDocument/2006/relationships/hyperlink" Target="https://www.medianews4u.com/first-sight-wings-digital-mandate-of-luxury-chocolate-brand-smoor/" TargetMode="External"/><Relationship Id="rId679" Type="http://schemas.openxmlformats.org/officeDocument/2006/relationships/hyperlink" Target="https://www.medianews4u.com/senco-gold-diamonds-launches-aapkashukriya-campaign-honouring-artisan-craftsmanship/" TargetMode="External"/><Relationship Id="rId680" Type="http://schemas.openxmlformats.org/officeDocument/2006/relationships/hyperlink" Target="https://www.socialsamosa.com/industry-updates/glad-u-came-pr-mandate-world-luxury-chamber-of-commerce-12575269" TargetMode="External"/><Relationship Id="rId681" Type="http://schemas.openxmlformats.org/officeDocument/2006/relationships/hyperlink" Target="https://www.afaqs.com/corporate-communications-and-pr/glad-u-came-wins-pr-mandate-for-eze-perfumes-a-sawai-fragrance-venture" TargetMode="External"/><Relationship Id="rId682" Type="http://schemas.openxmlformats.org/officeDocument/2006/relationships/hyperlink" Target="https://www.medianews4u.com/glad-u-came-bagged-the-pr-mandate-of-park-avenue-for-lakme-fashion-week-x-fdci/" TargetMode="External"/><Relationship Id="rId683" Type="http://schemas.openxmlformats.org/officeDocument/2006/relationships/hyperlink" Target="https://www.afaqs.com/news/newbizwins/gozoop-creative-to-handle-cookieman-indias-digital-and-creative-mandate-10940065" TargetMode="External"/><Relationship Id="rId684" Type="http://schemas.openxmlformats.org/officeDocument/2006/relationships/hyperlink" Target="https://www.medianews4u.com/gozoop-hawk-bags-digital-customer-service-mandate-for-godrej-properties/" TargetMode="External"/><Relationship Id="rId685" Type="http://schemas.openxmlformats.org/officeDocument/2006/relationships/hyperlink" Target="https://www.medianews4u.com/gozoop-creative-launches-msme-day-campaign-for-tata-tele-business-services/" TargetMode="External"/><Relationship Id="rId686" Type="http://schemas.openxmlformats.org/officeDocument/2006/relationships/hyperlink" Target="https://www.grapesworldwide.com/" TargetMode="External"/><Relationship Id="rId687" Type="http://schemas.openxmlformats.org/officeDocument/2006/relationships/hyperlink" Target="https://www.grapesworldwide.com/" TargetMode="External"/><Relationship Id="rId688" Type="http://schemas.openxmlformats.org/officeDocument/2006/relationships/hyperlink" Target="https://www.grapesworldwide.com/" TargetMode="External"/><Relationship Id="rId689" Type="http://schemas.openxmlformats.org/officeDocument/2006/relationships/hyperlink" Target="https://www.grapesworldwide.com/" TargetMode="External"/><Relationship Id="rId690" Type="http://schemas.openxmlformats.org/officeDocument/2006/relationships/hyperlink" Target="https://www.grapesworldwide.com/" TargetMode="External"/><Relationship Id="rId691" Type="http://schemas.openxmlformats.org/officeDocument/2006/relationships/hyperlink" Target="https://www.grapesworldwide.com/" TargetMode="External"/><Relationship Id="rId692" Type="http://schemas.openxmlformats.org/officeDocument/2006/relationships/hyperlink" Target="https://www.grapesworldwide.com/" TargetMode="External"/><Relationship Id="rId693" Type="http://schemas.openxmlformats.org/officeDocument/2006/relationships/hyperlink" Target="https://www.grapesworldwide.com/" TargetMode="External"/><Relationship Id="rId694" Type="http://schemas.openxmlformats.org/officeDocument/2006/relationships/hyperlink" Target="https://www.grapesworldwide.com/" TargetMode="External"/><Relationship Id="rId695" Type="http://schemas.openxmlformats.org/officeDocument/2006/relationships/hyperlink" Target="https://www.grapesworldwide.com/" TargetMode="External"/><Relationship Id="rId696" Type="http://schemas.openxmlformats.org/officeDocument/2006/relationships/hyperlink" Target="https://www.grapesworldwide.com/" TargetMode="External"/><Relationship Id="rId697" Type="http://schemas.openxmlformats.org/officeDocument/2006/relationships/hyperlink" Target="https://www.grapesworldwide.com/" TargetMode="External"/><Relationship Id="rId698" Type="http://schemas.openxmlformats.org/officeDocument/2006/relationships/hyperlink" Target="https://www.medianews4u.com/grapes-worldwide-bags-digital-mandate-for-livwell/" TargetMode="External"/><Relationship Id="rId699" Type="http://schemas.openxmlformats.org/officeDocument/2006/relationships/hyperlink" Target="https://www.grapesworldwide.com/case-study/samsonite-autonomic" TargetMode="External"/><Relationship Id="rId700" Type="http://schemas.openxmlformats.org/officeDocument/2006/relationships/hyperlink" Target="https://www.medianews4u.com/grapes-worldwide-crafts-quirky-stories-for-bikanos-dil-ki-mano-enjoy-bikano-campaign/" TargetMode="External"/><Relationship Id="rId701" Type="http://schemas.openxmlformats.org/officeDocument/2006/relationships/hyperlink" Target="https://www.medianews4u.com/grapes-worldwide-crafts-real-time-ai-powered-campaign-pokos-day-out-for-mamypoko-pants/" TargetMode="External"/><Relationship Id="rId702" Type="http://schemas.openxmlformats.org/officeDocument/2006/relationships/hyperlink" Target="https://www.medianews4u.com/grapes-worldwide-crafts-new-kuch-bhi-campaign-for-vibhor-oils/" TargetMode="External"/><Relationship Id="rId703" Type="http://schemas.openxmlformats.org/officeDocument/2006/relationships/hyperlink" Target="https://www.afaqs.com/news/newbizwins/greenhonchos-wins-digital-mandate-for-blackberrys-9476792" TargetMode="External"/><Relationship Id="rId704" Type="http://schemas.openxmlformats.org/officeDocument/2006/relationships/hyperlink" Target="https://www.afaqs.com/news/newbizwins/hashtag-orange-bags-marketing-mandate-for-frankfinn-12505549" TargetMode="External"/><Relationship Id="rId705" Type="http://schemas.openxmlformats.org/officeDocument/2006/relationships/hyperlink" Target="https://www.afaqs.com/news/newbizwins/hashtag-orange-wins-digital-mandate-for-aparna-venster-and-okotech-9632214" TargetMode="External"/><Relationship Id="rId706" Type="http://schemas.openxmlformats.org/officeDocument/2006/relationships/hyperlink" Target="https://www.medianews4u.com/gaurang-menon-steps-down-from-hashtag-orange-after-building-mumbai-business/" TargetMode="External"/><Relationship Id="rId707" Type="http://schemas.openxmlformats.org/officeDocument/2006/relationships/hyperlink" Target="https://www.hashtagorange.in/case-studies" TargetMode="External"/><Relationship Id="rId708" Type="http://schemas.openxmlformats.org/officeDocument/2006/relationships/hyperlink" Target="https://www.hashtagorange.in/case-studies" TargetMode="External"/><Relationship Id="rId709" Type="http://schemas.openxmlformats.org/officeDocument/2006/relationships/hyperlink" Target="https://www.medianews4u.com/gaurang-menon-steps-down-from-hashtag-orange-after-building-mumbai-business/" TargetMode="External"/><Relationship Id="rId710" Type="http://schemas.openxmlformats.org/officeDocument/2006/relationships/hyperlink" Target="https://www.afaqs.com/news/newbizwins/hashtag-orange-wins-digital-mandate-for-roca-8988699" TargetMode="External"/><Relationship Id="rId711" Type="http://schemas.openxmlformats.org/officeDocument/2006/relationships/hyperlink" Target="https://www.medianews4u.com/hashtag-orange-secures-safetree-mandate-to-build-indias-first-fertility-insurance-brand/" TargetMode="External"/><Relationship Id="rId712" Type="http://schemas.openxmlformats.org/officeDocument/2006/relationships/hyperlink" Target="https://www.medianews4u.com/gaurang-menon-steps-down-from-hashtag-orange-after-building-mumbai-business/" TargetMode="External"/><Relationship Id="rId713" Type="http://schemas.openxmlformats.org/officeDocument/2006/relationships/hyperlink" Target="https://www.medianews4u.com/hashtag-orange-unveils-dum-bhi-bharosa-bhi-campaign-for-escorts-kubotas-mu-series/" TargetMode="External"/><Relationship Id="rId714" Type="http://schemas.openxmlformats.org/officeDocument/2006/relationships/hyperlink" Target="https://www.afaqs.com/news/newbizwins/hashtag-orange-bags-marketing-mandate-for-frankfinn-12505549" TargetMode="External"/><Relationship Id="rId715" Type="http://schemas.openxmlformats.org/officeDocument/2006/relationships/hyperlink" Target="https://www.medianews4u.com/gaurang-menon-steps-down-from-hashtag-orange-after-building-mumbai-business/" TargetMode="External"/><Relationship Id="rId716" Type="http://schemas.openxmlformats.org/officeDocument/2006/relationships/hyperlink" Target="https://www.medianews4u.com/gaurang-menon-steps-down-from-hashtag-orange-after-building-mumbai-business/" TargetMode="External"/><Relationship Id="rId717" Type="http://schemas.openxmlformats.org/officeDocument/2006/relationships/hyperlink" Target="https://www.afaqs.com/news/newbizwins/hashtag-orange-bags-marketing-mandate-for-frankfinn-12505549" TargetMode="External"/><Relationship Id="rId718" Type="http://schemas.openxmlformats.org/officeDocument/2006/relationships/hyperlink" Target="https://www.socialsamosa.com/industry-updates/hashtag-orange-zuno-insurances-communications-mandate-9402773" TargetMode="External"/><Relationship Id="rId719" Type="http://schemas.openxmlformats.org/officeDocument/2006/relationships/hyperlink" Target="https://www.socialsamosa.com/industry-updates/tanishq-joins-chatgpt-ads-audience-discovery-consideration-12568214" TargetMode="External"/><Relationship Id="rId720" Type="http://schemas.openxmlformats.org/officeDocument/2006/relationships/hyperlink" Target="https://www.afaqs.com/news/newbizwins/hiveminds-bags-integrated-digital-mandate-for-dr-reddys-laboratories-12040344" TargetMode="External"/><Relationship Id="rId721" Type="http://schemas.openxmlformats.org/officeDocument/2006/relationships/hyperlink" Target="https://www.medianews4u.com/bacardi-launches-casa-bacardi-its-your-mood-its-your-summer-to-celebrate-indias-summer-state-of-mind/" TargetMode="External"/><Relationship Id="rId722" Type="http://schemas.openxmlformats.org/officeDocument/2006/relationships/hyperlink" Target="https://www.afaqs.com/news/newbizwins/hovers-wins-performance-marketing-mandate-for-pn-gadgil-sons-8984830" TargetMode="External"/><Relationship Id="rId723" Type="http://schemas.openxmlformats.org/officeDocument/2006/relationships/hyperlink" Target="https://www.afaqs.com/news/newbizwins/hypothesis-by-oml-wins-influencer-marketing-mandate-for-ather-energy-8916060" TargetMode="External"/><Relationship Id="rId724" Type="http://schemas.openxmlformats.org/officeDocument/2006/relationships/hyperlink" Target="https://www.socialsamosa.com/industry-updates/icubeswire-digital-mandate-luxury-real-estate-brand-central-park-9368637" TargetMode="External"/><Relationship Id="rId725" Type="http://schemas.openxmlformats.org/officeDocument/2006/relationships/hyperlink" Target="https://www.medianews4u.com/icubeswire-bags-global-media-mandate-for-wozoyo/" TargetMode="External"/><Relationship Id="rId726" Type="http://schemas.openxmlformats.org/officeDocument/2006/relationships/hyperlink" Target="https://www.afaqs.com/news/newbizwins/louis-stitch-ropes-in-image-stereo-for-pr-communications-mandate-9602128" TargetMode="External"/><Relationship Id="rId727" Type="http://schemas.openxmlformats.org/officeDocument/2006/relationships/hyperlink" Target="https://www.afaqs.com/news/newbizwins/image-stereo-wins-the-strategic-pr-brand-mandate-for-som-distilleries-breweries-9360384" TargetMode="External"/><Relationship Id="rId728" Type="http://schemas.openxmlformats.org/officeDocument/2006/relationships/hyperlink" Target="https://www.socialsamosa.com/2019/12/imarti-media-vlcc-social-media-mandate/" TargetMode="External"/><Relationship Id="rId729" Type="http://schemas.openxmlformats.org/officeDocument/2006/relationships/hyperlink" Target="https://www.afaqs.com/news/newbizwins/infectious-advertising-to-handle-the-integrated-mandate-for-bkt-tyres-in-india-11169533" TargetMode="External"/><Relationship Id="rId730" Type="http://schemas.openxmlformats.org/officeDocument/2006/relationships/hyperlink" Target="https://www.afaqs.com/news/advertising/bkt-tyres-launches-elevate-your-drive-campaign-with-ranveer-singh-11209237" TargetMode="External"/><Relationship Id="rId731" Type="http://schemas.openxmlformats.org/officeDocument/2006/relationships/hyperlink" Target="https://www.afaqs.com/news/newbizwins/jack-in-the-box-worldwide-wins-social-media-mandate-for-kotak-mahindra-prime-9306900" TargetMode="External"/><Relationship Id="rId732" Type="http://schemas.openxmlformats.org/officeDocument/2006/relationships/hyperlink" Target="https://www.medianews4u.com/the-third-edition-of-netflix-and-kommunes-voices-of-tomorrow-nurtures-lgbtqia-and-senior-adult-voice-talent/" TargetMode="External"/><Relationship Id="rId733" Type="http://schemas.openxmlformats.org/officeDocument/2006/relationships/hyperlink" Target="https://www.afaqs.com/news/newbizwins/liqvd-asia-bags-social-media-and-orm-mandate-for-narayana-health-12226137" TargetMode="External"/><Relationship Id="rId734" Type="http://schemas.openxmlformats.org/officeDocument/2006/relationships/hyperlink" Target="https://www.afaqs.com/news/newbizwins/liqvd-asia-bags-digital-communications-mandate-for-woodland-11187958" TargetMode="External"/><Relationship Id="rId735" Type="http://schemas.openxmlformats.org/officeDocument/2006/relationships/hyperlink" Target="https://www.afaqs.com/news/newbizwins/liqvd-asia-bags-digital-communications-mandate-for-woodland-11187958" TargetMode="External"/><Relationship Id="rId736" Type="http://schemas.openxmlformats.org/officeDocument/2006/relationships/hyperlink" Target="https://www.afaqs.com/news/newbizwins/wozoyo-appoints-liqvd-asia-as-digital-marketing-partner-12183708" TargetMode="External"/><Relationship Id="rId737" Type="http://schemas.openxmlformats.org/officeDocument/2006/relationships/hyperlink" Target="https://www.afaqs.com/news/newbizwins/liqvd-asia-bags-four-new-mandates-11255145" TargetMode="External"/><Relationship Id="rId738" Type="http://schemas.openxmlformats.org/officeDocument/2006/relationships/hyperlink" Target="https://www.afaqs.com/news/newbizwins/liqvd-asia-bags-four-new-mandates-11255145" TargetMode="External"/><Relationship Id="rId739" Type="http://schemas.openxmlformats.org/officeDocument/2006/relationships/hyperlink" Target="https://lyxelandflamingo.com/" TargetMode="External"/><Relationship Id="rId740" Type="http://schemas.openxmlformats.org/officeDocument/2006/relationships/hyperlink" Target="https://lyxelandflamingo.com/case-studies/seo/converse-india-seo-organic-growth-case-study/" TargetMode="External"/><Relationship Id="rId741" Type="http://schemas.openxmlformats.org/officeDocument/2006/relationships/hyperlink" Target="https://lyxelandflamingo.com/case-studies/retention/kimirica-retention-marketing-lifecycle-automation-case-study/" TargetMode="External"/><Relationship Id="rId742" Type="http://schemas.openxmlformats.org/officeDocument/2006/relationships/hyperlink" Target="https://lyxelandflamingo.com/case-studies/retention/o3/" TargetMode="External"/><Relationship Id="rId743" Type="http://schemas.openxmlformats.org/officeDocument/2006/relationships/hyperlink" Target="https://lyxelandflamingo.com/case-studies/third-party-marketplaces/united-colors-of-benetton-diwali-ecommerce-performance-case-study/" TargetMode="External"/><Relationship Id="rId744" Type="http://schemas.openxmlformats.org/officeDocument/2006/relationships/hyperlink" Target="https://www.medianews4u.com/big-bowl-taps-lyxelflamingo-as-social-and-media-partner-to-drive-digital-led-growth/" TargetMode="External"/><Relationship Id="rId745" Type="http://schemas.openxmlformats.org/officeDocument/2006/relationships/hyperlink" Target="https://lyxelandflamingo.com/case-studies/seo/kurlon-geo-seo-ai-visibility/" TargetMode="External"/><Relationship Id="rId746" Type="http://schemas.openxmlformats.org/officeDocument/2006/relationships/hyperlink" Target="https://www.afaqs.com/news/newbizwins/maars-communicates-wins-strategic-communications-mandate-for-studio-blo-12256823" TargetMode="External"/><Relationship Id="rId747" Type="http://schemas.openxmlformats.org/officeDocument/2006/relationships/hyperlink" Target="https://www.madchatter.in/" TargetMode="External"/><Relationship Id="rId748" Type="http://schemas.openxmlformats.org/officeDocument/2006/relationships/hyperlink" Target="https://www.medianews4u.com/madchatter-bags-pr-mandate-of-p2p-lending-platform-rang-de/" TargetMode="External"/><Relationship Id="rId749" Type="http://schemas.openxmlformats.org/officeDocument/2006/relationships/hyperlink" Target="https://www.afaqs.com/news/advertising/madison-loop-wins-the-integrated-account-of-oberoi-realty" TargetMode="External"/><Relationship Id="rId750" Type="http://schemas.openxmlformats.org/officeDocument/2006/relationships/hyperlink" Target="https://www.afaqs.com/news/advertising/madison-bmb-integrates-with-madison-loop" TargetMode="External"/><Relationship Id="rId751" Type="http://schemas.openxmlformats.org/officeDocument/2006/relationships/hyperlink" Target="https://www.afaqs.com/news/advertising/madison-bmb-integrates-with-madison-loop" TargetMode="External"/><Relationship Id="rId752" Type="http://schemas.openxmlformats.org/officeDocument/2006/relationships/hyperlink" Target="https://www.socialsamosa.com/media-samosa/madison-media-alpha-pilgrim-india-media-aor-6140769" TargetMode="External"/><Relationship Id="rId753" Type="http://schemas.openxmlformats.org/officeDocument/2006/relationships/hyperlink" Target="https://www.medianews4u.com/moms-starbucks-conduct-a-3d-anamorphic-campaign-in-bangalore-to-spotlight-the-blonde-roast/" TargetMode="External"/><Relationship Id="rId754" Type="http://schemas.openxmlformats.org/officeDocument/2006/relationships/hyperlink" Target="https://www.afaqs.com/news/newbizwins/jindal-stainless-appoints-madison-media-as-its-media-aor-11797436" TargetMode="External"/><Relationship Id="rId755" Type="http://schemas.openxmlformats.org/officeDocument/2006/relationships/hyperlink" Target="https://www.storyboard18.com/agency-news/dentsu-wins-tvs-motor-media-mandate-ws-l-106734.htm" TargetMode="External"/><Relationship Id="rId756" Type="http://schemas.openxmlformats.org/officeDocument/2006/relationships/hyperlink" Target="https://www.afaqs.com/news/advertising/makani-creatives-wins-integrated-creative-mandate-for-florsheim-shoes-7451769" TargetMode="External"/><Relationship Id="rId757" Type="http://schemas.openxmlformats.org/officeDocument/2006/relationships/hyperlink" Target="https://www.afaqs.com/news/advertising/irus-eyewear-and-kartik-aaryan-urge-viewers-to-look-again-to-challenge-misconceptions-about-gen-z" TargetMode="External"/><Relationship Id="rId758" Type="http://schemas.openxmlformats.org/officeDocument/2006/relationships/hyperlink" Target="https://www.afaqs.com/news/advertising/shoppers-stop-empowers-women-to-embrace-their-choices-fearlessly-with-dontstop-campaign" TargetMode="External"/><Relationship Id="rId759" Type="http://schemas.openxmlformats.org/officeDocument/2006/relationships/hyperlink" Target="https://www.afaqs.com/news/advertising/makani-creatives-challenges-gender-stereotypes-with-give-her-space-campaign-for-american-tourister" TargetMode="External"/><Relationship Id="rId760" Type="http://schemas.openxmlformats.org/officeDocument/2006/relationships/hyperlink" Target="https://www.afaqs.com/news/advertising/makani-creatives-wins-creative-mandate-for-stimulus-and-eeken" TargetMode="External"/><Relationship Id="rId761" Type="http://schemas.openxmlformats.org/officeDocument/2006/relationships/hyperlink" Target="https://www.medianews4u.com/ajio-launches-because-fashion-campaign-celebrating-bold-style-choices-with-big-bold-sale/" TargetMode="External"/><Relationship Id="rId762" Type="http://schemas.openxmlformats.org/officeDocument/2006/relationships/hyperlink" Target="https://monk-e.in/" TargetMode="External"/><Relationship Id="rId763" Type="http://schemas.openxmlformats.org/officeDocument/2006/relationships/hyperlink" Target="https://monk-e.in/" TargetMode="External"/><Relationship Id="rId764" Type="http://schemas.openxmlformats.org/officeDocument/2006/relationships/hyperlink" Target="https://www.medianews4u.com/monks-interactive-wins-the-pr-mandate-of-the-fern-hotels-resorts/" TargetMode="External"/><Relationship Id="rId765" Type="http://schemas.openxmlformats.org/officeDocument/2006/relationships/hyperlink" Target="https://www.goodadsmatter.com/post/moonshot" TargetMode="External"/><Relationship Id="rId766" Type="http://schemas.openxmlformats.org/officeDocument/2006/relationships/hyperlink" Target="https://www.afaqs.com/tags/moonshot" TargetMode="External"/><Relationship Id="rId767" Type="http://schemas.openxmlformats.org/officeDocument/2006/relationships/hyperlink" Target="https://www.goodadsmatter.com/post/moonshot" TargetMode="External"/><Relationship Id="rId768" Type="http://schemas.openxmlformats.org/officeDocument/2006/relationships/hyperlink" Target="https://www.manifest-media.in/advertising/081025/indiaa-awards-2025-moonshot-and-ogilvy-dominate-with-four-wins-each.html" TargetMode="External"/><Relationship Id="rId769" Type="http://schemas.openxmlformats.org/officeDocument/2006/relationships/hyperlink" Target="https://www.goodadsmatter.com/post/moonshot" TargetMode="External"/><Relationship Id="rId770" Type="http://schemas.openxmlformats.org/officeDocument/2006/relationships/hyperlink" Target="https://www.manifest-media.in/advertising/081025/indiaa-awards-2025-moonshot-and-ogilvy-dominate-with-four-wins-each.html" TargetMode="External"/><Relationship Id="rId771" Type="http://schemas.openxmlformats.org/officeDocument/2006/relationships/hyperlink" Target="https://www.goodadsmatter.com/post/moonshot" TargetMode="External"/><Relationship Id="rId772" Type="http://schemas.openxmlformats.org/officeDocument/2006/relationships/hyperlink" Target="https://www.manifest-media.in/advertising/081025/indiaa-awards-2025-moonshot-and-ogilvy-dominate-with-four-wins-each.html" TargetMode="External"/><Relationship Id="rId773" Type="http://schemas.openxmlformats.org/officeDocument/2006/relationships/hyperlink" Target="https://www.goodadsmatter.com/post/moonshot" TargetMode="External"/><Relationship Id="rId774" Type="http://schemas.openxmlformats.org/officeDocument/2006/relationships/hyperlink" Target="https://www.afaqs.com/tags/moonshot" TargetMode="External"/><Relationship Id="rId775" Type="http://schemas.openxmlformats.org/officeDocument/2006/relationships/hyperlink" Target="https://www.goodadsmatter.com/post/moonshot" TargetMode="External"/><Relationship Id="rId776" Type="http://schemas.openxmlformats.org/officeDocument/2006/relationships/hyperlink" Target="https://www.manifest-media.in/advertising/081025/indiaa-awards-2025-moonshot-and-ogilvy-dominate-with-four-wins-each.html" TargetMode="External"/><Relationship Id="rId777" Type="http://schemas.openxmlformats.org/officeDocument/2006/relationships/hyperlink" Target="https://www.afaqs.com/tags/moonshot" TargetMode="External"/><Relationship Id="rId778" Type="http://schemas.openxmlformats.org/officeDocument/2006/relationships/hyperlink" Target="https://www.campaignindia.in/article/pixel-perfect-how-nash8-turned-indigo-axis-bank-credit-card-launch-into-a-game-worth-playing/4p09sj3s31zrztgj67esjzmwdj" TargetMode="External"/><Relationship Id="rId779" Type="http://schemas.openxmlformats.org/officeDocument/2006/relationships/hyperlink" Target="https://www.medianews4u.com/oktobuzz-wins-digital-marketing-mandate-of-westside/" TargetMode="External"/><Relationship Id="rId780" Type="http://schemas.openxmlformats.org/officeDocument/2006/relationships/hyperlink" Target="https://www.afaqs.com/news/advertising/one-hand-clap-the-agency-that-got-ms-dhoni-to-re-enact-ranbir-kapoors-animal-8970115" TargetMode="External"/><Relationship Id="rId781" Type="http://schemas.openxmlformats.org/officeDocument/2006/relationships/hyperlink" Target="https://www.afaqs.com/news/advertising/one-hand-clap-the-agency-that-got-ms-dhoni-to-re-enact-ranbir-kapoors-animal-8970115" TargetMode="External"/><Relationship Id="rId782" Type="http://schemas.openxmlformats.org/officeDocument/2006/relationships/hyperlink" Target="https://www.afaqs.com/news/advertising/one-hand-clap-the-agency-that-got-ms-dhoni-to-re-enact-ranbir-kapoors-animal-8970115" TargetMode="External"/><Relationship Id="rId783" Type="http://schemas.openxmlformats.org/officeDocument/2006/relationships/hyperlink" Target="https://www.afaqs.com/news/advertising/one-hand-clap-the-agency-that-got-ms-dhoni-to-re-enact-ranbir-kapoors-animal-8970115" TargetMode="External"/><Relationship Id="rId784" Type="http://schemas.openxmlformats.org/officeDocument/2006/relationships/hyperlink" Target="https://www.afaqs.com/news/advertising/underneat-turns-wardrobe-drama-into-a-superhero-story-with-underwoman-11082470" TargetMode="External"/><Relationship Id="rId785" Type="http://schemas.openxmlformats.org/officeDocument/2006/relationships/hyperlink" Target="https://www.afaqs.com/news/advertising/one-hand-clap-the-agency-that-got-ms-dhoni-to-re-enact-ranbir-kapoors-animal-8970115" TargetMode="External"/><Relationship Id="rId786" Type="http://schemas.openxmlformats.org/officeDocument/2006/relationships/hyperlink" Target="https://www.afaqs.com/news/advertising/when-the-star-client-stumbles-building-resilience-in-indias-new-age-ad-agencies-10477604" TargetMode="External"/><Relationship Id="rId787" Type="http://schemas.openxmlformats.org/officeDocument/2006/relationships/hyperlink" Target="https://www.afaqs.com/news/newbizwins/pepper-communications-group-wins-pr-mandate-for-timbertales-luxury-resort-8629292" TargetMode="External"/><Relationship Id="rId788" Type="http://schemas.openxmlformats.org/officeDocument/2006/relationships/hyperlink" Target="https://www.afaqs.com/news/newbizwins/pollinate-labs-wins-the-rebranding-mandate-for-4700bc-12506207" TargetMode="External"/><Relationship Id="rId789" Type="http://schemas.openxmlformats.org/officeDocument/2006/relationships/hyperlink" Target="https://www.medianews4u.com/popkorn-bags-creative-mandate-for-the-coffee-bean-tea-leaf-india/" TargetMode="External"/><Relationship Id="rId790" Type="http://schemas.openxmlformats.org/officeDocument/2006/relationships/hyperlink" Target="https://www.medianews4u.com/prius-communications-leads-pr-and-digital-mandate-for-delhi-times-fashion-week-2026-for-seventh-consecutive-year/" TargetMode="External"/><Relationship Id="rId791" Type="http://schemas.openxmlformats.org/officeDocument/2006/relationships/hyperlink" Target="https://www.afaqs.com/news/newbizwins/prohed-bags-performance-marketing-mandate-for-vianaar-11220895" TargetMode="External"/><Relationship Id="rId792" Type="http://schemas.openxmlformats.org/officeDocument/2006/relationships/hyperlink" Target="https://www.pulpstrategy.com/?portfolio=the-heroines-journey-beyond-by-zoya" TargetMode="External"/><Relationship Id="rId793" Type="http://schemas.openxmlformats.org/officeDocument/2006/relationships/hyperlink" Target="https://www.pulpstrategy.com/" TargetMode="External"/><Relationship Id="rId794" Type="http://schemas.openxmlformats.org/officeDocument/2006/relationships/hyperlink" Target="https://www.pulpstrategy.com/?portfolio=chooseblackforwhite-dabur-charcoals-bold-narrative" TargetMode="External"/><Relationship Id="rId795" Type="http://schemas.openxmlformats.org/officeDocument/2006/relationships/hyperlink" Target="https://www.afaqs.com/news/advertising/jsw-mg-motor-indias-ganesh-chaturthi-film-shows-how-cars-become-part-of-family-traditions-9758951" TargetMode="External"/><Relationship Id="rId796" Type="http://schemas.openxmlformats.org/officeDocument/2006/relationships/hyperlink" Target="https://www.medianews4u.com/punt-creative-bags-communications-mandate-for-pizzaexpress-india/" TargetMode="External"/><Relationship Id="rId797" Type="http://schemas.openxmlformats.org/officeDocument/2006/relationships/hyperlink" Target="https://www.afaqs.com/news/newbizwins/punt-creative-wins-communication-mandate-for-pizzaexpress-india-12235291" TargetMode="External"/><Relationship Id="rId798" Type="http://schemas.openxmlformats.org/officeDocument/2006/relationships/hyperlink" Target="https://www.afaqs.com/news/newbizwins/punt-creative-bags-digital-duties-for-piramal-consumer-healthcares-flagship-brands-9762988" TargetMode="External"/><Relationship Id="rId799" Type="http://schemas.openxmlformats.org/officeDocument/2006/relationships/hyperlink" Target="https://quirkhead.ae/" TargetMode="External"/><Relationship Id="rId800" Type="http://schemas.openxmlformats.org/officeDocument/2006/relationships/hyperlink" Target="https://quirkhead.ae/" TargetMode="External"/><Relationship Id="rId801" Type="http://schemas.openxmlformats.org/officeDocument/2006/relationships/hyperlink" Target="https://quirkhead.ae/" TargetMode="External"/><Relationship Id="rId802" Type="http://schemas.openxmlformats.org/officeDocument/2006/relationships/hyperlink" Target="https://www.afaqs.com/news/newbizwins/quirk-head-becomes-social-media-and-creative-design-partner-for-marriott-udaipur-and-jim-corbett-9014286" TargetMode="External"/><Relationship Id="rId803" Type="http://schemas.openxmlformats.org/officeDocument/2006/relationships/hyperlink" Target="https://www.storyboard18.com/brand-marketing/exclusive-netflix-indias-influencer-mandate-under-review-96486.htm" TargetMode="External"/><Relationship Id="rId804" Type="http://schemas.openxmlformats.org/officeDocument/2006/relationships/hyperlink" Target="https://www.storyboard18.com/agency-news/exclusive-bmw-india-appoints-vmls-contract-advertising-india-as-creative-agency-87842.htm" TargetMode="External"/><Relationship Id="rId805" Type="http://schemas.openxmlformats.org/officeDocument/2006/relationships/hyperlink" Target="https://www.exchange4media.com/advertising-news/rediffusion-collaborates-with-ihcl-for-launch-of-she-remains-the-taj-120348.html" TargetMode="External"/><Relationship Id="rId806" Type="http://schemas.openxmlformats.org/officeDocument/2006/relationships/hyperlink" Target="https://www.medianews4u.com/rediffusion-crafts-heartwarming-saas-bahu-campaign-for-liebherr-with-neena-gupta/" TargetMode="External"/><Relationship Id="rId807" Type="http://schemas.openxmlformats.org/officeDocument/2006/relationships/hyperlink" Target="https://www.storyboard18.com/agency-news/rediffusion-wins-creative-mandate-for-nippon-india-mutual-fund-46728.htm" TargetMode="External"/><Relationship Id="rId808" Type="http://schemas.openxmlformats.org/officeDocument/2006/relationships/hyperlink" Target="https://www.medianews4u.com/rediffusion-bags-creative-mandate-for-glucon-d/" TargetMode="External"/><Relationship Id="rId809" Type="http://schemas.openxmlformats.org/officeDocument/2006/relationships/hyperlink" Target="https://www.medianews4u.com/rediffusion-bags-creative-media-mandate-for-keya-foods/" TargetMode="External"/><Relationship Id="rId810" Type="http://schemas.openxmlformats.org/officeDocument/2006/relationships/hyperlink" Target="https://www.afaqs.com/news/advertising/parles-new-ad-showcases-londonderry-as-a-generational-symbol-of-love-8449297" TargetMode="External"/><Relationship Id="rId811" Type="http://schemas.openxmlformats.org/officeDocument/2006/relationships/hyperlink" Target="https://www.afaqs.com/news/newbizwins/rediffusion-kolkata-awarded-creative-mandate-for-prabhuji-9009602" TargetMode="External"/><Relationship Id="rId812" Type="http://schemas.openxmlformats.org/officeDocument/2006/relationships/hyperlink" Target="https://www.afaqs.com/news/advertising/rediffusion-raids-create-an-ai-film-for-danones-protinex-9331706" TargetMode="External"/><Relationship Id="rId813" Type="http://schemas.openxmlformats.org/officeDocument/2006/relationships/hyperlink" Target="https://www.afaqs.com/news/advertising/rediffusion-unveils-ai-generated-christmas-film-for-tata-power-8543786" TargetMode="External"/><Relationship Id="rId814" Type="http://schemas.openxmlformats.org/officeDocument/2006/relationships/hyperlink" Target="https://www.medianews4u.com/sephora-india-retains-repindia-as-its-social-media-partner/" TargetMode="External"/><Relationship Id="rId815" Type="http://schemas.openxmlformats.org/officeDocument/2006/relationships/hyperlink" Target="https://www.afaqs.com/news/newbizwins/repindia-bags-integrated-creative-mandate-for-oppo-india-10541040" TargetMode="External"/><Relationship Id="rId816" Type="http://schemas.openxmlformats.org/officeDocument/2006/relationships/hyperlink" Target="https://www.afaqs.com/news/newbizwins/ardent-alcobev-partners-with-roll-dot-agency-for-dram-bell-whiskys-india-debut-8729582" TargetMode="External"/><Relationship Id="rId817" Type="http://schemas.openxmlformats.org/officeDocument/2006/relationships/hyperlink" Target="https://www.afaqs.com/news/newbizwins/ruder-finn-india-wins-communications-mandate-for-oneplus-india-11111756" TargetMode="External"/><Relationship Id="rId818" Type="http://schemas.openxmlformats.org/officeDocument/2006/relationships/hyperlink" Target="https://www.medianews4u.com/savvytree-renews-helios-by-titans-social-media-mandate-for-3rd-year/" TargetMode="External"/><Relationship Id="rId819" Type="http://schemas.openxmlformats.org/officeDocument/2006/relationships/hyperlink" Target="https://www.afaqs.com/news/advertising/alcon-introduces-precision1-contact-lenses-in-india-with-a-new-launch-campaign-9014962" TargetMode="External"/><Relationship Id="rId820" Type="http://schemas.openxmlformats.org/officeDocument/2006/relationships/hyperlink" Target="https://www.afaqs.com/news/advertising/reliance-jewels-unveils-vindhya-collection-for-akshaya-tritiya" TargetMode="External"/><Relationship Id="rId821" Type="http://schemas.openxmlformats.org/officeDocument/2006/relationships/hyperlink" Target="https://www.afaqs.com/news/advertising/sportz-village-advocates-for-sports-in-schools-in-its-new-campaign" TargetMode="External"/><Relationship Id="rId822" Type="http://schemas.openxmlformats.org/officeDocument/2006/relationships/hyperlink" Target="https://www.schbang.com/casestudies/indriya-went-from-zero-to-50m-views-in-a-year-heres-how" TargetMode="External"/><Relationship Id="rId823" Type="http://schemas.openxmlformats.org/officeDocument/2006/relationships/hyperlink" Target="https://www.socialsamosa.com/industry-updates/akshay-gurnani-exits-schbang-harshil-sohil-karia-full-control-8772881" TargetMode="External"/><Relationship Id="rId824" Type="http://schemas.openxmlformats.org/officeDocument/2006/relationships/hyperlink" Target="https://www.schbang.com/news-centre" TargetMode="External"/><Relationship Id="rId825" Type="http://schemas.openxmlformats.org/officeDocument/2006/relationships/hyperlink" Target="https://www.afaqs.com/news/advertising/idfc-first-banks-campaign-with-sumeet-vyas-questions-banking-norms-12041058" TargetMode="External"/><Relationship Id="rId826" Type="http://schemas.openxmlformats.org/officeDocument/2006/relationships/hyperlink" Target="https://www.afaqs.com/news/advertising/idfc-first-banks-campaign-with-sumeet-vyas-questions-banking-norms-12041058" TargetMode="External"/><Relationship Id="rId827" Type="http://schemas.openxmlformats.org/officeDocument/2006/relationships/hyperlink" Target="https://www.schbang.com/news-centre" TargetMode="External"/><Relationship Id="rId828" Type="http://schemas.openxmlformats.org/officeDocument/2006/relationships/hyperlink" Target="https://www.socialsamosa.com/industry-updates/akshay-gurnani-exits-schbang-harshil-sohil-karia-full-control-8772881" TargetMode="External"/><Relationship Id="rId829" Type="http://schemas.openxmlformats.org/officeDocument/2006/relationships/hyperlink" Target="https://www.medianews4u.com/louis-philippe-bets-on-cultural-credibility-over-celebrity-influence-in-new-digital-campaign/" TargetMode="External"/><Relationship Id="rId830" Type="http://schemas.openxmlformats.org/officeDocument/2006/relationships/hyperlink" Target="https://www.afaqs.com/news/advertising/louis-philippe-brings-kenny-sebastian-into-new-onam-campaign-12436755" TargetMode="External"/><Relationship Id="rId831" Type="http://schemas.openxmlformats.org/officeDocument/2006/relationships/hyperlink" Target="https://www.schbang.com/work" TargetMode="External"/><Relationship Id="rId832" Type="http://schemas.openxmlformats.org/officeDocument/2006/relationships/hyperlink" Target="https://www.schbang.com/work" TargetMode="External"/><Relationship Id="rId833" Type="http://schemas.openxmlformats.org/officeDocument/2006/relationships/hyperlink" Target="https://www.schbang.com/work" TargetMode="External"/><Relationship Id="rId834" Type="http://schemas.openxmlformats.org/officeDocument/2006/relationships/hyperlink" Target="https://www.medianews4u.com/specta-quartz-surfaces-partners-with-jim-sarbh-to-spotlight-quartz-through-new-campaign/" TargetMode="External"/><Relationship Id="rId835" Type="http://schemas.openxmlformats.org/officeDocument/2006/relationships/hyperlink" Target="https://www.schbang.com/news-centre" TargetMode="External"/><Relationship Id="rId836" Type="http://schemas.openxmlformats.org/officeDocument/2006/relationships/hyperlink" Target="https://www.socialsamosa.com/industry-updates/akshay-gurnani-exits-schbang-harshil-sohil-karia-full-control-8772881" TargetMode="External"/><Relationship Id="rId837" Type="http://schemas.openxmlformats.org/officeDocument/2006/relationships/hyperlink" Target="https://www.afaqs.com/news/advertising/britannia-the-laughing-cow-launches-snacking-ka-new-angle-campaign-10981152" TargetMode="External"/><Relationship Id="rId838" Type="http://schemas.openxmlformats.org/officeDocument/2006/relationships/hyperlink" Target="https://www.medianews4u.com/schbang-brings-quirky-shopper-personas-to-life-for-amazon-indias-great-freedom-sale/" TargetMode="External"/><Relationship Id="rId839" Type="http://schemas.openxmlformats.org/officeDocument/2006/relationships/hyperlink" Target="https://www.medianews4u.com/tag/schbang/" TargetMode="External"/><Relationship Id="rId840" Type="http://schemas.openxmlformats.org/officeDocument/2006/relationships/hyperlink" Target="https://www.schbang.com/news-centre" TargetMode="External"/><Relationship Id="rId841" Type="http://schemas.openxmlformats.org/officeDocument/2006/relationships/hyperlink" Target="https://www.afaqs.com/tags/schbang?page=2" TargetMode="External"/><Relationship Id="rId842" Type="http://schemas.openxmlformats.org/officeDocument/2006/relationships/hyperlink" Target="https://www.socialsamosa.com/industry-updates/akshay-gurnani-exits-schbang-harshil-sohil-karia-full-control-8772881" TargetMode="External"/><Relationship Id="rId843" Type="http://schemas.openxmlformats.org/officeDocument/2006/relationships/hyperlink" Target="https://www.schbang.com/news-centre" TargetMode="External"/><Relationship Id="rId844" Type="http://schemas.openxmlformats.org/officeDocument/2006/relationships/hyperlink" Target="https://www.schbang.com/work" TargetMode="External"/><Relationship Id="rId845" Type="http://schemas.openxmlformats.org/officeDocument/2006/relationships/hyperlink" Target="https://www.socialsamosa.com/industry-updates/akshay-gurnani-exits-schbang-harshil-sohil-karia-full-control-8772881" TargetMode="External"/><Relationship Id="rId846" Type="http://schemas.openxmlformats.org/officeDocument/2006/relationships/hyperlink" Target="https://www.afaqs.com/news/advertising/schbang-bags-the-social-media-mandate-for-sharechat-and-moj" TargetMode="External"/><Relationship Id="rId847" Type="http://schemas.openxmlformats.org/officeDocument/2006/relationships/hyperlink" Target="https://www.schbang.com/news-centre" TargetMode="External"/><Relationship Id="rId848" Type="http://schemas.openxmlformats.org/officeDocument/2006/relationships/hyperlink" Target="https://www.medianews4u.com/scribbld-bags-digital-mandate-for-brushers-co/" TargetMode="External"/><Relationship Id="rId849" Type="http://schemas.openxmlformats.org/officeDocument/2006/relationships/hyperlink" Target="https://www.afaqs.com/news/newbizwins/scribbld-wins-digital-and-social-media-mandate-for-foot-locker-india-10279212" TargetMode="External"/><Relationship Id="rId850" Type="http://schemas.openxmlformats.org/officeDocument/2006/relationships/hyperlink" Target="https://www.afaqs.com/news/newbizwins/scribbld-wins-performance-marketing-mandate-for-suzette-gourmet-11871446" TargetMode="External"/><Relationship Id="rId851" Type="http://schemas.openxmlformats.org/officeDocument/2006/relationships/hyperlink" Target="https://www.medianews4u.com/scribbld-wins-playnxt-and-terrapy-mandates-expands-consumer-and-lifestyle-brand-portfolio/" TargetMode="External"/><Relationship Id="rId852" Type="http://schemas.openxmlformats.org/officeDocument/2006/relationships/hyperlink" Target="https://www.medianews4u.com/sga-growth-advisors-wins-pr-and-social-media-mandate-for-renee-cosmetics/" TargetMode="External"/><Relationship Id="rId853" Type="http://schemas.openxmlformats.org/officeDocument/2006/relationships/hyperlink" Target="https://www.medianews4u.com/manyavar-mohey-onboards-rashmika-mandanna-vijay-deverakonda-as-its-brand-ambassadors-for-its-new-campaign-made-for-each-other/" TargetMode="External"/><Relationship Id="rId854" Type="http://schemas.openxmlformats.org/officeDocument/2006/relationships/hyperlink" Target="https://www.campaignindia.in/article/happilo-appoints-sideways-for-its-creative-mandate/4xy5wmxrg1rzbvvd76w7t1c1nx" TargetMode="External"/><Relationship Id="rId855" Type="http://schemas.openxmlformats.org/officeDocument/2006/relationships/hyperlink" Target="https://www.afaqs.com/tags/sideways-consulting" TargetMode="External"/><Relationship Id="rId856" Type="http://schemas.openxmlformats.org/officeDocument/2006/relationships/hyperlink" Target="https://www.afaqs.com/tags/sideways-consulting" TargetMode="External"/><Relationship Id="rId857" Type="http://schemas.openxmlformats.org/officeDocument/2006/relationships/hyperlink" Target="https://www.afaqs.com/news/advertising/sideways-bags-creative-mandate-for-pidilites-haisha-paints" TargetMode="External"/><Relationship Id="rId858" Type="http://schemas.openxmlformats.org/officeDocument/2006/relationships/hyperlink" Target="https://socheers.in/" TargetMode="External"/><Relationship Id="rId859" Type="http://schemas.openxmlformats.org/officeDocument/2006/relationships/hyperlink" Target="https://socheers.in/" TargetMode="External"/><Relationship Id="rId860" Type="http://schemas.openxmlformats.org/officeDocument/2006/relationships/hyperlink" Target="https://socheers.in/" TargetMode="External"/><Relationship Id="rId861" Type="http://schemas.openxmlformats.org/officeDocument/2006/relationships/hyperlink" Target="https://www.afaqs.com/news/advertising/socheers-wins-digital-mandate-for-asus-india" TargetMode="External"/><Relationship Id="rId862" Type="http://schemas.openxmlformats.org/officeDocument/2006/relationships/hyperlink" Target="https://www.afaqs.com/news/mktg/broadway-launches-pune-store-with-culture-led-campaign-by-socheers-11775191" TargetMode="External"/><Relationship Id="rId863" Type="http://schemas.openxmlformats.org/officeDocument/2006/relationships/hyperlink" Target="https://www.afaqs.com/news/mktg/broadway-launches-pune-store-with-culture-led-campaign-by-socheers-11775191" TargetMode="External"/><Relationship Id="rId864" Type="http://schemas.openxmlformats.org/officeDocument/2006/relationships/hyperlink" Target="https://socheers.in/work" TargetMode="External"/><Relationship Id="rId865" Type="http://schemas.openxmlformats.org/officeDocument/2006/relationships/hyperlink" Target="https://socheers.in/work" TargetMode="External"/><Relationship Id="rId866" Type="http://schemas.openxmlformats.org/officeDocument/2006/relationships/hyperlink" Target="https://socheers.in/work" TargetMode="External"/><Relationship Id="rId867" Type="http://schemas.openxmlformats.org/officeDocument/2006/relationships/hyperlink" Target="https://socheers.in/work" TargetMode="External"/><Relationship Id="rId868" Type="http://schemas.openxmlformats.org/officeDocument/2006/relationships/hyperlink" Target="https://socheers.in/work" TargetMode="External"/><Relationship Id="rId869" Type="http://schemas.openxmlformats.org/officeDocument/2006/relationships/hyperlink" Target="https://www.afaqs.com/tags/social-panga" TargetMode="External"/><Relationship Id="rId870" Type="http://schemas.openxmlformats.org/officeDocument/2006/relationships/hyperlink" Target="https://www.afaqs.com/news/newbizwins/social-panga-wins-digital-mandate-for-devans-beer-gin-brands-12426681" TargetMode="External"/><Relationship Id="rId871" Type="http://schemas.openxmlformats.org/officeDocument/2006/relationships/hyperlink" Target="https://www.afaqs.com/news/newbizwins/social-panga-wins-digital-mandate-for-devans-beer-gin-brands-12426681" TargetMode="External"/><Relationship Id="rId872" Type="http://schemas.openxmlformats.org/officeDocument/2006/relationships/hyperlink" Target="https://www.medianews4u.com/social-panga-bags-social-media-mandate-for-tata-aig/" TargetMode="External"/><Relationship Id="rId873" Type="http://schemas.openxmlformats.org/officeDocument/2006/relationships/hyperlink" Target="https://www.medianews4u.com/van-heusens-innerwear-range-onboards-social-panga-as-its-social-media-marketing-partner/" TargetMode="External"/><Relationship Id="rId874" Type="http://schemas.openxmlformats.org/officeDocument/2006/relationships/hyperlink" Target="https://www.afaqs.com/news/advertising/amazon-now-takes-a-dig-at-quick-commerce-charges-with-new-campaign-12226512" TargetMode="External"/><Relationship Id="rId875" Type="http://schemas.openxmlformats.org/officeDocument/2006/relationships/hyperlink" Target="https://www.socialsamosa.com/industry-updates/social-panga-digital-creative-communication-mandates-balaji-wafers-6695929" TargetMode="External"/><Relationship Id="rId876" Type="http://schemas.openxmlformats.org/officeDocument/2006/relationships/hyperlink" Target="https://www.medianews4u.com/miniklub-and-social-panga-launch-the-happy-parenting-strategy-campaign-celebrating-modern-fatherhood/" TargetMode="External"/><Relationship Id="rId877" Type="http://schemas.openxmlformats.org/officeDocument/2006/relationships/hyperlink" Target="https://www.afaqs.com/news/newbizwins/social-panga-wins-the-marketing-mandate-for-neo-by-nippon-paint-9480460" TargetMode="External"/><Relationship Id="rId878" Type="http://schemas.openxmlformats.org/officeDocument/2006/relationships/hyperlink" Target="https://www.socialsamosa.com/industry-updates/spek-digital-creative-marketing-mandate-birdys-9607484" TargetMode="External"/><Relationship Id="rId879" Type="http://schemas.openxmlformats.org/officeDocument/2006/relationships/hyperlink" Target="https://www.medianews4u.com/story-digital-wins-the-digital-creative-mandate-for-riya-perfumes/" TargetMode="External"/><Relationship Id="rId880" Type="http://schemas.openxmlformats.org/officeDocument/2006/relationships/hyperlink" Target="https://www.medianews4u.com/story-digital-wins-creative-digital-partner-mandate-for-wozoyo-india/" TargetMode="External"/><Relationship Id="rId881" Type="http://schemas.openxmlformats.org/officeDocument/2006/relationships/hyperlink" Target="https://www.afaqs.com/news/newbizwins" TargetMode="External"/><Relationship Id="rId882" Type="http://schemas.openxmlformats.org/officeDocument/2006/relationships/hyperlink" Target="https://www.afaqs.com/news/newbizwins/sunny-side-up-wins-creative-mandate-for-william-penns-lapis-bard-10881552" TargetMode="External"/><Relationship Id="rId883" Type="http://schemas.openxmlformats.org/officeDocument/2006/relationships/hyperlink" Target="https://www.storyboard18.com/agency-news/sw-network-wins-full-digital-mandate-for-mini-india-87868.htm" TargetMode="External"/><Relationship Id="rId884" Type="http://schemas.openxmlformats.org/officeDocument/2006/relationships/hyperlink" Target="https://www.afaqs.com/news/newbizwins/sw-network-retains-creative-and-digital-mandate-for-nexus-select-citywalk-delhi-9316678" TargetMode="External"/><Relationship Id="rId885" Type="http://schemas.openxmlformats.org/officeDocument/2006/relationships/hyperlink" Target="https://www.medianews4u.com/sociowash-secures-d2c-media-mandate-for-ageasy/" TargetMode="External"/><Relationship Id="rId886" Type="http://schemas.openxmlformats.org/officeDocument/2006/relationships/hyperlink" Target="https://www.afaqs.com/news/newbizwins/sw-network-bags-creative-mandate-for-anytime-fitness-india-9530353" TargetMode="External"/><Relationship Id="rId887" Type="http://schemas.openxmlformats.org/officeDocument/2006/relationships/hyperlink" Target="https://www.afaqs.com/news/newbizwins/sw-network-wins-fila-and-foot-locker-mandates-from-metro-brands-10812995" TargetMode="External"/><Relationship Id="rId888" Type="http://schemas.openxmlformats.org/officeDocument/2006/relationships/hyperlink" Target="https://www.medianews4u.com/sw-network-bags-creative-mandate-for-fila-and-foot-locker-from-metro-brands/" TargetMode="External"/><Relationship Id="rId889" Type="http://schemas.openxmlformats.org/officeDocument/2006/relationships/hyperlink" Target="https://www.afaqs.com/news/newbizwins/sw-network-wins-fila-and-foot-locker-mandates-from-metro-brands-10812995" TargetMode="External"/><Relationship Id="rId890" Type="http://schemas.openxmlformats.org/officeDocument/2006/relationships/hyperlink" Target="https://www.afaqs.com/news/newbizwins/sw-network-wins-fila-and-foot-locker-mandates-from-metro-brands-10812995" TargetMode="External"/><Relationship Id="rId891" Type="http://schemas.openxmlformats.org/officeDocument/2006/relationships/hyperlink" Target="https://www.afaqs.com/news/newbizwins/sw-network-wins-integrated-digital-mandate-for-fujifilms-instax-in-india-9336522" TargetMode="External"/><Relationship Id="rId892" Type="http://schemas.openxmlformats.org/officeDocument/2006/relationships/hyperlink" Target="https://www.afaqs.com/news/newbizwins/sw-network-bags-garden-varelis-performance-marketing-mandate-12425632" TargetMode="External"/><Relationship Id="rId893" Type="http://schemas.openxmlformats.org/officeDocument/2006/relationships/hyperlink" Target="https://www.medianews4u.com/sw-network-flipkart-and-motorola-reimagine-tech-launches-with-swarovski-studded-360-campaign-for-razr-60/" TargetMode="External"/><Relationship Id="rId894" Type="http://schemas.openxmlformats.org/officeDocument/2006/relationships/hyperlink" Target="https://www.afaqs.com/news/branded-content/nykaa-wanderlust-enters-microdrama-space-with-hotel-wanderlust-12584987" TargetMode="External"/><Relationship Id="rId895" Type="http://schemas.openxmlformats.org/officeDocument/2006/relationships/hyperlink" Target="https://www.medianews4u.com/sociowash-wins-mandate-of-titans-licensed-watch-brands-kenneth-cole-new-york-and-tommy-hilfiger/" TargetMode="External"/><Relationship Id="rId896" Type="http://schemas.openxmlformats.org/officeDocument/2006/relationships/hyperlink" Target="https://www.medianews4u.com/sociowash-wins-mandate-of-titans-licensed-watch-brands-kenneth-cole-new-york-and-tommy-hilfiger/" TargetMode="External"/><Relationship Id="rId897" Type="http://schemas.openxmlformats.org/officeDocument/2006/relationships/hyperlink" Target="https://www.medianews4u.com/sociowash-bags-the-creative-mandate-for-indrive/" TargetMode="External"/><Relationship Id="rId898" Type="http://schemas.openxmlformats.org/officeDocument/2006/relationships/hyperlink" Target="https://www.afaqs.com/news/newbizwins/sw-network-bags-social-media-mandate-for-lava-mobiles-11258403" TargetMode="External"/><Relationship Id="rId899" Type="http://schemas.openxmlformats.org/officeDocument/2006/relationships/hyperlink" Target="https://www.afaqs.com/news/newbizwins/livpure-appoints-sw-network-to-handle-digital-communications-11705112" TargetMode="External"/><Relationship Id="rId900" Type="http://schemas.openxmlformats.org/officeDocument/2006/relationships/hyperlink" Target="https://www.afaqs.com/news/newbizwins/sw-networks-youthbeat-bags-mandate-for-myntra-style-squad-campaign-11157365" TargetMode="External"/><Relationship Id="rId901" Type="http://schemas.openxmlformats.org/officeDocument/2006/relationships/hyperlink" Target="https://www.medianews4u.com/forest-essentials-launches-take-your-time-campaign-celebrating-slow-beauty-and-rituals/" TargetMode="External"/><Relationship Id="rId902" Type="http://schemas.openxmlformats.org/officeDocument/2006/relationships/hyperlink" Target="https://www.goodadsmatter.com/post/talented" TargetMode="External"/><Relationship Id="rId903" Type="http://schemas.openxmlformats.org/officeDocument/2006/relationships/hyperlink" Target="https://www.goodadsmatter.com/post/talented" TargetMode="External"/><Relationship Id="rId904" Type="http://schemas.openxmlformats.org/officeDocument/2006/relationships/hyperlink" Target="https://www.afaqs.com/news/advertising/the-hindu-turns-the-star-rating-on-its-readers-this-labour-day-11785404" TargetMode="External"/><Relationship Id="rId905" Type="http://schemas.openxmlformats.org/officeDocument/2006/relationships/hyperlink" Target="https://www.goodadsmatter.com/post/talented" TargetMode="External"/><Relationship Id="rId906" Type="http://schemas.openxmlformats.org/officeDocument/2006/relationships/hyperlink" Target="https://www.storyboard18.com/brand-makers/from-talented-to-moonshot-the-new-age-agencies-redefining-advertising-in-india-86794.htm" TargetMode="External"/><Relationship Id="rId907" Type="http://schemas.openxmlformats.org/officeDocument/2006/relationships/hyperlink" Target="https://campaignbriefasia.com/2026/09/09/talented-casts-cars24s-ceo-in-a-legendary-new-role-as-king-vikram-in-latest-campaign/" TargetMode="External"/><Relationship Id="rId908" Type="http://schemas.openxmlformats.org/officeDocument/2006/relationships/hyperlink" Target="https://www.goodadsmatter.com/post/talented" TargetMode="External"/><Relationship Id="rId909" Type="http://schemas.openxmlformats.org/officeDocument/2006/relationships/hyperlink" Target="https://www.afaqs.com/news/advertising/duolingo-enters-punjab-with-ullu-da-pattha-campaign-for-english-course-12501089" TargetMode="External"/><Relationship Id="rId910" Type="http://schemas.openxmlformats.org/officeDocument/2006/relationships/hyperlink" Target="https://www.afaqs.com/news/advertising/flipkart-trades-celebs-for-local-faces-in-kolkata-big-billion-days-ad-12564903" TargetMode="External"/><Relationship Id="rId911" Type="http://schemas.openxmlformats.org/officeDocument/2006/relationships/hyperlink" Target="https://www.medianews4u.com/pantaloons-names-samantha-ruth-prabhu-as-its-first-ever-brand-ambassador-launches-festive-campaign-spark-your-imagination/" TargetMode="External"/><Relationship Id="rId912" Type="http://schemas.openxmlformats.org/officeDocument/2006/relationships/hyperlink" Target="https://www.afaqs.com/news/advertising/when-beera-became-jeera-how-talented-crafted-a-rd-burman-earworm-for-rimzims-return-11159354" TargetMode="External"/><Relationship Id="rId913" Type="http://schemas.openxmlformats.org/officeDocument/2006/relationships/hyperlink" Target="https://campaignbriefasia.com/2026/08/17/talented-turns-the-back-of-billboards-into-a-symbol-of-support-for-star-health-insurance/" TargetMode="External"/><Relationship Id="rId914" Type="http://schemas.openxmlformats.org/officeDocument/2006/relationships/hyperlink" Target="https://www.goodadsmatter.com/post/talented" TargetMode="External"/><Relationship Id="rId915" Type="http://schemas.openxmlformats.org/officeDocument/2006/relationships/hyperlink" Target="https://www.medianews4u.com/team-pumpkin-wins-alphathetas-digital-mandate-to-drive-online-presence/" TargetMode="External"/><Relationship Id="rId916" Type="http://schemas.openxmlformats.org/officeDocument/2006/relationships/hyperlink" Target="https://www.medianews4u.com/kickers-partners-with-team-pumpkin-to-build-digital-presence-in-india/" TargetMode="External"/><Relationship Id="rId917" Type="http://schemas.openxmlformats.org/officeDocument/2006/relationships/hyperlink" Target="https://www.medianews4u.com/koche-awards-marketing-mandate-to-team-pumpkin/" TargetMode="External"/><Relationship Id="rId918" Type="http://schemas.openxmlformats.org/officeDocument/2006/relationships/hyperlink" Target="https://www.socialsamosa.com/industry-updates/team-pumpkin-social-media-mandate-kotak-securities-6950753" TargetMode="External"/><Relationship Id="rId919" Type="http://schemas.openxmlformats.org/officeDocument/2006/relationships/hyperlink" Target="https://www.medianews4u.com/plum-goodness-retains-team-pumpkin-for-performance-marketing/" TargetMode="External"/><Relationship Id="rId920" Type="http://schemas.openxmlformats.org/officeDocument/2006/relationships/hyperlink" Target="https://www.afaqs.com/news/newbizwins/royaloak-appoints-team-pumpkin-as-digital-marketing-partner-12065166" TargetMode="External"/><Relationship Id="rId921" Type="http://schemas.openxmlformats.org/officeDocument/2006/relationships/hyperlink" Target="https://www.afaqs.com/news/newbizwins/team-pumpkin-bags-social-media-mandate-for-lavie-sport-12256990" TargetMode="External"/><Relationship Id="rId922" Type="http://schemas.openxmlformats.org/officeDocument/2006/relationships/hyperlink" Target="https://www.medianews4u.com/team-pumpkin-appointed-pr-agency-souled-store/" TargetMode="External"/><Relationship Id="rId923" Type="http://schemas.openxmlformats.org/officeDocument/2006/relationships/hyperlink" Target="https://www.afaqs.com/news/newbizwins/techmagnate-bags-seo-mandate-for-axis-max-life-insurance-8706353" TargetMode="External"/><Relationship Id="rId924" Type="http://schemas.openxmlformats.org/officeDocument/2006/relationships/hyperlink" Target="https://www.afaqs.com/news/advertising/tgthr-launches-an-integrated-campaign-for-ultraviolettes-f77-mach-2-7235171" TargetMode="External"/><Relationship Id="rId925" Type="http://schemas.openxmlformats.org/officeDocument/2006/relationships/hyperlink" Target="https://www.afaqs.com/news/advertising/when-the-star-client-stumbles-building-resilience-in-indias-new-age-ad-agencies-10477604" TargetMode="External"/><Relationship Id="rId926" Type="http://schemas.openxmlformats.org/officeDocument/2006/relationships/hyperlink" Target="https://www.medianews4u.com/the-minimalist-wins-strategic-communications-mandate-from-afc-furniture-solutions/" TargetMode="External"/><Relationship Id="rId927" Type="http://schemas.openxmlformats.org/officeDocument/2006/relationships/hyperlink" Target="https://www.medianews4u.com/the-minimalist-bags-creative-and-social-media-mandate-for-schwarzkopf-india/" TargetMode="External"/><Relationship Id="rId928" Type="http://schemas.openxmlformats.org/officeDocument/2006/relationships/hyperlink" Target="https://www.afaqs.com/news/newbizwins/eveready-appoints-the-minimalist-as-its-digital-agency-partner-10596647" TargetMode="External"/><Relationship Id="rId929" Type="http://schemas.openxmlformats.org/officeDocument/2006/relationships/hyperlink" Target="https://www.afaqs.com/news/newbizwins/the-minimalist-wins-integrated-digital-mandate-for-tyresnmore-12249540" TargetMode="External"/><Relationship Id="rId930" Type="http://schemas.openxmlformats.org/officeDocument/2006/relationships/hyperlink" Target="https://www.afaqs.com/news/advertising/when-the-star-client-stumbles-building-resilience-in-indias-new-age-ad-agencies-10477604" TargetMode="External"/><Relationship Id="rId931" Type="http://schemas.openxmlformats.org/officeDocument/2006/relationships/hyperlink" Target="https://www.afaqs.com/news/advertising/when-the-star-client-stumbles-building-resilience-in-indias-new-age-ad-agencies-10477604" TargetMode="External"/><Relationship Id="rId932" Type="http://schemas.openxmlformats.org/officeDocument/2006/relationships/hyperlink" Target="https://www.afaqs.com/news/newbizwins/the-other-circle-bags-pr-mandate-for-the-astor-goa-9504708" TargetMode="External"/><Relationship Id="rId933" Type="http://schemas.openxmlformats.org/officeDocument/2006/relationships/hyperlink" Target="https://www.afaqs.com/news/newbizwins/modi-illva-appoints-the-reppro-as-strategic-communications-partner-11857700" TargetMode="External"/><Relationship Id="rId934" Type="http://schemas.openxmlformats.org/officeDocument/2006/relationships/hyperlink" Target="https://www.afaqs.com/news/advertising/vicky-kaushal-stars-in-birla-estates-real-advise-campaign" TargetMode="External"/><Relationship Id="rId935" Type="http://schemas.openxmlformats.org/officeDocument/2006/relationships/hyperlink" Target="https://www.afaqs.com/news/advertising/the-think-tank-secures-creative-mandate-for-kanakia-group" TargetMode="External"/><Relationship Id="rId936" Type="http://schemas.openxmlformats.org/officeDocument/2006/relationships/hyperlink" Target="https://www.indianweb2.com/2026/07/accenture-in-advanced-talks-to-acquire.html" TargetMode="External"/><Relationship Id="rId937" Type="http://schemas.openxmlformats.org/officeDocument/2006/relationships/hyperlink" Target="https://www.afaqs.com/news/advertising/bsh-home-appliances-partners-with-the-womb-to-improve-brand-equity-7347140" TargetMode="External"/><Relationship Id="rId938" Type="http://schemas.openxmlformats.org/officeDocument/2006/relationships/hyperlink" Target="https://www.afaqs.com/news/advertising/mahindra-lifespaces-moves-beyond-amenities-in-its-latest-campaign-12051467" TargetMode="External"/><Relationship Id="rId939" Type="http://schemas.openxmlformats.org/officeDocument/2006/relationships/hyperlink" Target="https://www.afaqs.com/news/advertising/why-mahindras-thar-roxx-is-courting-womenwithout-letting-go-of-its-core-identity-12229682" TargetMode="External"/><Relationship Id="rId940" Type="http://schemas.openxmlformats.org/officeDocument/2006/relationships/hyperlink" Target="https://www.indianweb2.com/2026/07/accenture-in-advanced-talks-to-acquire.html" TargetMode="External"/><Relationship Id="rId941" Type="http://schemas.openxmlformats.org/officeDocument/2006/relationships/hyperlink" Target="https://www.indianweb2.com/2026/07/accenture-in-advanced-talks-to-acquire.html" TargetMode="External"/><Relationship Id="rId942" Type="http://schemas.openxmlformats.org/officeDocument/2006/relationships/hyperlink" Target="https://www.indianweb2.com/2026/07/accenture-in-advanced-talks-to-acquire.html" TargetMode="External"/><Relationship Id="rId943" Type="http://schemas.openxmlformats.org/officeDocument/2006/relationships/hyperlink" Target="https://www.afaqs.com/news/mktg/dinshaws-draws-on-kamblis-journey-for-dildaaribut-how-far-is-too-far-11771596" TargetMode="External"/><Relationship Id="rId944" Type="http://schemas.openxmlformats.org/officeDocument/2006/relationships/hyperlink" Target="https://www.afaqs.com/news/newbizwins/gullak-appoints-the-womb-as-its-strategic-and-creative-partner-12215182" TargetMode="External"/><Relationship Id="rId945" Type="http://schemas.openxmlformats.org/officeDocument/2006/relationships/hyperlink" Target="https://www.afaqs.com/news/advertising/the-womb-wins-nilkamals-brand-communications-mandate-7305118" TargetMode="External"/><Relationship Id="rId946" Type="http://schemas.openxmlformats.org/officeDocument/2006/relationships/hyperlink" Target="https://www.indianweb2.com/2026/07/accenture-in-advanced-talks-to-acquire.html" TargetMode="External"/><Relationship Id="rId947" Type="http://schemas.openxmlformats.org/officeDocument/2006/relationships/hyperlink" Target="https://www.afaqs.com/news/advertising/rasna-launches-thick-concentrate-rasna-rich-with-a-nostalgic-campaign-8865647" TargetMode="External"/><Relationship Id="rId948" Type="http://schemas.openxmlformats.org/officeDocument/2006/relationships/hyperlink" Target="https://www.indianweb2.com/2026/07/accenture-in-advanced-talks-to-acquire.html" TargetMode="External"/><Relationship Id="rId949" Type="http://schemas.openxmlformats.org/officeDocument/2006/relationships/hyperlink" Target="https://www.indianweb2.com/2026/07/accenture-in-advanced-talks-to-acquire.html" TargetMode="External"/><Relationship Id="rId950" Type="http://schemas.openxmlformats.org/officeDocument/2006/relationships/hyperlink" Target="https://www.indianweb2.com/2026/07/accenture-in-advanced-talks-to-acquire.html" TargetMode="External"/><Relationship Id="rId951" Type="http://schemas.openxmlformats.org/officeDocument/2006/relationships/hyperlink" Target="https://www.afaqs.com/news/newbizwins/the-womb-wins-wonder-cements-creative-and-strategy-mandate-11878818" TargetMode="External"/><Relationship Id="rId952" Type="http://schemas.openxmlformats.org/officeDocument/2006/relationships/hyperlink" Target="https://manifest-media.in/advertising/270526/the-womb-bags-wonder-cements-brand-strategy-and-creative-mandate.html" TargetMode="External"/><Relationship Id="rId953" Type="http://schemas.openxmlformats.org/officeDocument/2006/relationships/hyperlink" Target="https://www.afaqs.com/news/advertising/baidyanath-rhuma-oil-ad-is-a-new-take-on-pain-relief" TargetMode="External"/><Relationship Id="rId954" Type="http://schemas.openxmlformats.org/officeDocument/2006/relationships/hyperlink" Target="https://www.afaqs.com/news/advertising/truecaller-awards-creative-duties-to-thinkstr" TargetMode="External"/><Relationship Id="rId955" Type="http://schemas.openxmlformats.org/officeDocument/2006/relationships/hyperlink" Target="https://www.afaqs.com/news/newbizwins/three-fourth-solutions-wins-marketing-mandate-for-chandrani-pearls-12204750" TargetMode="External"/><Relationship Id="rId956" Type="http://schemas.openxmlformats.org/officeDocument/2006/relationships/hyperlink" Target="https://www.storyboard18.com/agency-news/ather-energy-onboards-tilt-brand-solutions-as-their-brand-and-communications-agency-33891.htm" TargetMode="External"/><Relationship Id="rId957" Type="http://schemas.openxmlformats.org/officeDocument/2006/relationships/hyperlink" Target="https://www.afaqs.com/news/newbizwins/enamor-appoints-tilt-brand-solutions-as-its-brand-communications-aor-8888963" TargetMode="External"/><Relationship Id="rId958" Type="http://schemas.openxmlformats.org/officeDocument/2006/relationships/hyperlink" Target="https://www.afaqs.com/news/advertising/alia-bhatt-ranbir-kapoor-find-every-reason-to-shop-in-myntras-bff-campaign-12583285" TargetMode="External"/><Relationship Id="rId959" Type="http://schemas.openxmlformats.org/officeDocument/2006/relationships/hyperlink" Target="https://www.afaqs.com/news/advertising/bajaj-promises-toughness-and-and-day-one-feel-in-its-summer-campaign-8892367" TargetMode="External"/><Relationship Id="rId960" Type="http://schemas.openxmlformats.org/officeDocument/2006/relationships/hyperlink" Target="https://www.afaqs.com/news/advertising/when-the-star-client-stumbles-building-resilience-in-indias-new-age-ad-agencies-10477604" TargetMode="External"/><Relationship Id="rId961" Type="http://schemas.openxmlformats.org/officeDocument/2006/relationships/hyperlink" Target="https://www.storyboard18.com/agency-news/santoor-appoints-tilt-brand-solutions-as-agency-on-record-95223.htm" TargetMode="External"/><Relationship Id="rId962" Type="http://schemas.openxmlformats.org/officeDocument/2006/relationships/hyperlink" Target="https://www.medianews4u.com/toaster-insea-launches-full-funnel-digital-campaign-for-tira-beauty-to-engage-multi-generational-audiences/" TargetMode="External"/><Relationship Id="rId963" Type="http://schemas.openxmlformats.org/officeDocument/2006/relationships/hyperlink" Target="https://www.afaqs.com/news/newbizwins/toaster-insea-wins-social-mandate-for-godfather-beer-10788216" TargetMode="External"/><Relationship Id="rId964" Type="http://schemas.openxmlformats.org/officeDocument/2006/relationships/hyperlink" Target="https://www.medianews4u.com/tonic-worldwide-wins-digital-mandate-for-tilaknagars-monarch-legacy-edition-luxury-brandy/" TargetMode="External"/><Relationship Id="rId965" Type="http://schemas.openxmlformats.org/officeDocument/2006/relationships/hyperlink" Target="https://www.afaqs.com/news/advertising/motilal-oswal-financial-servicess-new-ad-warns-against-bad-financial-advice-9306490" TargetMode="External"/><Relationship Id="rId966" Type="http://schemas.openxmlformats.org/officeDocument/2006/relationships/hyperlink" Target="https://www.medianews4u.com/tonic-worldwide-wins-digital-mandate-for-pcpl/" TargetMode="External"/><Relationship Id="rId967" Type="http://schemas.openxmlformats.org/officeDocument/2006/relationships/hyperlink" Target="https://www.tonicworldwide.com/work/seven-islands-whisky-bombay-brand-launch-case-study" TargetMode="External"/><Relationship Id="rId968" Type="http://schemas.openxmlformats.org/officeDocument/2006/relationships/hyperlink" Target="https://www.tonicworldwide.com/" TargetMode="External"/><Relationship Id="rId969" Type="http://schemas.openxmlformats.org/officeDocument/2006/relationships/hyperlink" Target="https://www.tonicworldwide.com/" TargetMode="External"/><Relationship Id="rId970" Type="http://schemas.openxmlformats.org/officeDocument/2006/relationships/hyperlink" Target="https://www.tonicworldwide.com/" TargetMode="External"/><Relationship Id="rId971" Type="http://schemas.openxmlformats.org/officeDocument/2006/relationships/hyperlink" Target="https://www.afaqs.com/news/newbizwins/tonic-worldwide-wins-airpay-moneys-digital-marketing-mandate-12029612" TargetMode="External"/><Relationship Id="rId972" Type="http://schemas.openxmlformats.org/officeDocument/2006/relationships/hyperlink" Target="https://www.afaqs.com/tags/tonic-worldwide" TargetMode="External"/><Relationship Id="rId973" Type="http://schemas.openxmlformats.org/officeDocument/2006/relationships/hyperlink" Target="https://www.medianews4u.com/fiesta-india-condoms-film-conceptualised-and-executed-by-tonic-worldwide-leverages-gen-z-pop-culture-and-aims-to-redefine-category-messaging/" TargetMode="External"/><Relationship Id="rId974" Type="http://schemas.openxmlformats.org/officeDocument/2006/relationships/hyperlink" Target="https://www.afaqs.com/news/newbizwins/kurlon-appoints-tonic-worldwide-as-digital-marketing-partner-12013101" TargetMode="External"/><Relationship Id="rId975" Type="http://schemas.openxmlformats.org/officeDocument/2006/relationships/hyperlink" Target="https://www.afaqs.com/tags/tonic-worldwide" TargetMode="External"/><Relationship Id="rId976" Type="http://schemas.openxmlformats.org/officeDocument/2006/relationships/hyperlink" Target="https://www.afaqs.com/marketing/nicmar-appoints-tonic-worldwide-as-integrated-digital-marketing-partner-10560074" TargetMode="External"/><Relationship Id="rId977" Type="http://schemas.openxmlformats.org/officeDocument/2006/relationships/hyperlink" Target="https://www.afaqs.com/tags/tonic-worldwide" TargetMode="External"/><Relationship Id="rId978" Type="http://schemas.openxmlformats.org/officeDocument/2006/relationships/hyperlink" Target="https://www.value360india.com/" TargetMode="External"/><Relationship Id="rId979" Type="http://schemas.openxmlformats.org/officeDocument/2006/relationships/hyperlink" Target="https://www.medianews4u.com/verve-media-bags-digital-and-creative-mandate-for-maple-india/" TargetMode="External"/><Relationship Id="rId980" Type="http://schemas.openxmlformats.org/officeDocument/2006/relationships/hyperlink" Target="https://www.medianews4u.com/verve-media-bags-digital-mandate-for-vedas-fund/" TargetMode="External"/><Relationship Id="rId981" Type="http://schemas.openxmlformats.org/officeDocument/2006/relationships/hyperlink" Target="https://www.medianews4u.com/verve-media-bags-social-media-mandate-for-rasoi-raga/" TargetMode="External"/><Relationship Id="rId982" Type="http://schemas.openxmlformats.org/officeDocument/2006/relationships/hyperlink" Target="https://www.medianews4u.com/verve-media-bags-video-strategy-and-content-creation-mandate-for-shriram-general-insurance/" TargetMode="External"/><Relationship Id="rId983" Type="http://schemas.openxmlformats.org/officeDocument/2006/relationships/hyperlink" Target="https://www.medianews4u.com/verve-media-turns-everyday-style-into-shared-moments-with-snitch-campaign-on-cinema-screens-nationwide/" TargetMode="External"/><Relationship Id="rId984" Type="http://schemas.openxmlformats.org/officeDocument/2006/relationships/hyperlink" Target="https://www.socialsamosa.com/2022/02/viral-pitch-influencer-marketing-mandate-lotus-herbals/" TargetMode="External"/><Relationship Id="rId985" Type="http://schemas.openxmlformats.org/officeDocument/2006/relationships/hyperlink" Target="https://www.webenza.com/" TargetMode="External"/><Relationship Id="rId986" Type="http://schemas.openxmlformats.org/officeDocument/2006/relationships/hyperlink" Target="https://www.webenza.com/" TargetMode="External"/><Relationship Id="rId987" Type="http://schemas.openxmlformats.org/officeDocument/2006/relationships/hyperlink" Target="https://www.webenza.com/" TargetMode="External"/><Relationship Id="rId988" Type="http://schemas.openxmlformats.org/officeDocument/2006/relationships/hyperlink" Target="https://www.medianews4u.com/webenza-secures-digital-creative-mandate-for-joy-personal-care/" TargetMode="External"/><Relationship Id="rId989" Type="http://schemas.openxmlformats.org/officeDocument/2006/relationships/hyperlink" Target="https://www.whiteriversmedia.com/" TargetMode="External"/><Relationship Id="rId990" Type="http://schemas.openxmlformats.org/officeDocument/2006/relationships/hyperlink" Target="https://www.medianews4u.com/white-rivers-media-wins-25-business-accounts-in-2023s-q4/" TargetMode="External"/><Relationship Id="rId991" Type="http://schemas.openxmlformats.org/officeDocument/2006/relationships/hyperlink" Target="https://www.whiteriversmedia.com/" TargetMode="External"/><Relationship Id="rId992" Type="http://schemas.openxmlformats.org/officeDocument/2006/relationships/hyperlink" Target="https://www.afaqs.com/news/newbizwins/white-rivers-media-to-lead-digital-creative-mandate-for-toi-metro-editions-9316924" TargetMode="External"/><Relationship Id="rId993" Type="http://schemas.openxmlformats.org/officeDocument/2006/relationships/hyperlink" Target="https://www.medianews4u.com/white-rivers-media-wins-digital-creative-mandate-for-times-of-indias-metro-supplements/" TargetMode="External"/><Relationship Id="rId994" Type="http://schemas.openxmlformats.org/officeDocument/2006/relationships/hyperlink" Target="https://www.medianews4u.com/white-rivers-media-wins-25-business-accounts-in-2023s-q4/" TargetMode="External"/><Relationship Id="rId995" Type="http://schemas.openxmlformats.org/officeDocument/2006/relationships/hyperlink" Target="https://www.medianews4u.com/ds-groups-pulse-candy-brings-maha-kumbh-to-life-with-ai-powered-storytelling-immersive-experiences/" TargetMode="External"/><Relationship Id="rId996" Type="http://schemas.openxmlformats.org/officeDocument/2006/relationships/hyperlink" Target="https://www.afaqs.com/news/newbizwins/white-rivers-media-wins-smfg-india-credits-digital-mandate-10917627" TargetMode="External"/><Relationship Id="rId997" Type="http://schemas.openxmlformats.org/officeDocument/2006/relationships/hyperlink" Target="https://www.afaqs.com/news/newbizwins/white-rivers-media-wins-smfg-india-credits-digital-mandate-10917627" TargetMode="External"/><Relationship Id="rId998" Type="http://schemas.openxmlformats.org/officeDocument/2006/relationships/hyperlink" Target="https://www.medianews4u.com/white-rivers-media-wins-25-business-accounts-in-2023s-q4/" TargetMode="External"/><Relationship Id="rId999" Type="http://schemas.openxmlformats.org/officeDocument/2006/relationships/hyperlink" Target="https://www.medianews4u.com/wieden-kennedy-india-wins-casio-g-shocks-creative-mandate/" TargetMode="External"/><Relationship Id="rId1000" Type="http://schemas.openxmlformats.org/officeDocument/2006/relationships/hyperlink" Target="https://www.storyboard18.com/brand-makers/the-accidental-agency-how-wit-chai-swapped-vanity-metrics-for-business-growth-to-land-starbucks-and-icici-bank-91910.htm" TargetMode="External"/><Relationship Id="rId1001" Type="http://schemas.openxmlformats.org/officeDocument/2006/relationships/hyperlink" Target="https://www.afaqs.com/news/newbizwins/audi-india-appoints-wondrlab-as-brand-communication-partner-11216364" TargetMode="External"/><Relationship Id="rId1002" Type="http://schemas.openxmlformats.org/officeDocument/2006/relationships/hyperlink" Target="https://www.medianews4u.com/ajio-and-wondrlab-launch-a-multi-starrer-festive-film-this-is-how-we-festival/" TargetMode="External"/><Relationship Id="rId1003" Type="http://schemas.openxmlformats.org/officeDocument/2006/relationships/hyperlink" Target="https://www.afaqs.com/news/advertising/hettich-finds-possibilities-beyond-storage-in-new-campaign-with-wondrlab-12430362" TargetMode="External"/><Relationship Id="rId1004" Type="http://schemas.openxmlformats.org/officeDocument/2006/relationships/hyperlink" Target="https://www.medianews4u.com/sephora-india-names-yellow-as-its-official-creative-agency/" TargetMode="External"/><Relationship Id="rId1005" Type="http://schemas.openxmlformats.org/officeDocument/2006/relationships/hyperlink" Target="https://www.storyboard18.com/agency-news/jaguar-land-rovers-launches-global-creative-agency-review-post-rebrand-65006.htm" TargetMode="External"/><Relationship Id="rId1006" Type="http://schemas.openxmlformats.org/officeDocument/2006/relationships/hyperlink" Target="https://www.storyboard18.com/advertising/wpp-finally-clinches-jaguar-land-rovers-global-mandate-86357.htm" TargetMode="External"/><Relationship Id="rId1007" Type="http://schemas.openxmlformats.org/officeDocument/2006/relationships/hyperlink" Target="https://www.medianews4u.com/innocean-india-bags-digital-social-media-mandate-for-gianchand-single-malt/" TargetMode="External"/><Relationship Id="rId1008" Type="http://schemas.openxmlformats.org/officeDocument/2006/relationships/hyperlink" Target="https://www.afaqs.com/news/newbizwins/innocean-india-wins-digital-and-social-mandate-for-gianchand-single-malt-12539501" TargetMode="External"/><Relationship Id="rId1009" Type="http://schemas.openxmlformats.org/officeDocument/2006/relationships/hyperlink" Target="https://www.storyboard18.com/agency-news/non-auto-business-nears-one-third-of-innocean-india-revenue-target-50-in-three-years-111037.htm" TargetMode="External"/><Relationship Id="rId1010" Type="http://schemas.openxmlformats.org/officeDocument/2006/relationships/hyperlink" Target="https://www.campaignindia.in/article/kia-seltos-campaign-builds-badass-identity-through-integrated-storytelling/4x2pkfh8eenqww367gj0cwagxk" TargetMode="External"/><Relationship Id="rId1011" Type="http://schemas.openxmlformats.org/officeDocument/2006/relationships/hyperlink" Target="https://www.afaqs.com/news/newbizwins/np-digital-india-wins-content-marketing-mandate-for-kotak-securities-8751172" TargetMode="External"/><Relationship Id="rId1012" Type="http://schemas.openxmlformats.org/officeDocument/2006/relationships/hyperlink" Target="https://www.socialsamosa.com/industry-updates/titan-partners-qoruz-data-driven-influencer-marketing-8758644" TargetMode="External"/><Relationship Id="rId1013" Type="http://schemas.openxmlformats.org/officeDocument/2006/relationships/hyperlink" Target="https://www.storyboard18.com/brand-makers/360-one-appoints-raghav-iyengar-as-ceo-designate-of-asset-business-36564.htm" TargetMode="External"/><Relationship Id="rId1014" Type="http://schemas.openxmlformats.org/officeDocument/2006/relationships/hyperlink" Target="https://www.campaignindia.in/article/accor-launches-all-for-love-celebrations-platform/4p466y39g5pxbtyrn5k9981fns" TargetMode="External"/><Relationship Id="rId1015" Type="http://schemas.openxmlformats.org/officeDocument/2006/relationships/hyperlink" Target="https://www.campaignindia.in/article/dlf-malls-launches-phygital-summer-up-campaign/4pvgt96ejphfhssc00m9ec3vmp" TargetMode="External"/><Relationship Id="rId1016" Type="http://schemas.openxmlformats.org/officeDocument/2006/relationships/hyperlink" Target="https://www.afaqs.com/people-spotting/ducati-india-elevates-amit-chauhan-to-head-of-marketing-11805878" TargetMode="External"/><Relationship Id="rId1017" Type="http://schemas.openxmlformats.org/officeDocument/2006/relationships/hyperlink" Target="https://www.afaqs.com/news/mktg/elan-group-onboards-shah-rukh-khan-as-brand-ambassador-8750776" TargetMode="External"/><Relationship Id="rId1018" Type="http://schemas.openxmlformats.org/officeDocument/2006/relationships/hyperlink" Target="https://www.medianews4u.com/estee-lauder-launches-india-campaign-for-advanced-night-repair-spotlights-nighttime-skin-recovery/" TargetMode="External"/><Relationship Id="rId1019" Type="http://schemas.openxmlformats.org/officeDocument/2006/relationships/hyperlink" Target="https://www.afaqs.com/people-spotting/himanshu-raj-joins-juniper-green-energy-experion-developers-as-vp-communications-8598890" TargetMode="External"/><Relationship Id="rId1020" Type="http://schemas.openxmlformats.org/officeDocument/2006/relationships/hyperlink" Target="https://www.afaqs.com/people-spotting/noopur-khandekar-joins-galeries-lafayette-india-as-brand-marketing-head-12391643" TargetMode="External"/><Relationship Id="rId1021" Type="http://schemas.openxmlformats.org/officeDocument/2006/relationships/hyperlink" Target="https://www.medianews4u.com/diageo-india-usl-to-acquire-nao-spirits-maker-of-greater-than-and-hapusa-craft-gins/" TargetMode="External"/><Relationship Id="rId1022" Type="http://schemas.openxmlformats.org/officeDocument/2006/relationships/hyperlink" Target="https://www.afaqs.com/news/advertising/house-of-hiranandani-unveils-tomorrowmatters-campaign-with-ambitious-5-year-sustainability-goals" TargetMode="External"/><Relationship Id="rId1023" Type="http://schemas.openxmlformats.org/officeDocument/2006/relationships/hyperlink" Target="https://www.campaignindia.in/article/welcomhotel-itc-dwarka-appoints-marketing-communications-lead/4bpd5zctc5zat1p7hd8cs87g5a" TargetMode="External"/><Relationship Id="rId1024" Type="http://schemas.openxmlformats.org/officeDocument/2006/relationships/hyperlink" Target="https://www.afaqs.com/people-spotting/itc-hotels-appoints-rajiv-singh-as-head-food-beverages-marketing-12250848" TargetMode="External"/><Relationship Id="rId1025" Type="http://schemas.openxmlformats.org/officeDocument/2006/relationships/hyperlink" Target="https://www.storyboard18.com/brand-marketing/taj-gvk-hotels-to-become-krishna-gvk-hotels-taj-gvk-hotels-to-become-krishna-gvk-hotels-ws-l-106223.htm" TargetMode="External"/><Relationship Id="rId1026" Type="http://schemas.openxmlformats.org/officeDocument/2006/relationships/hyperlink" Target="https://www.socialsamosa.com/industry-updates/lodha-sneha-shenoy-avp-brand-marketing-11871387" TargetMode="External"/><Relationship Id="rId1027" Type="http://schemas.openxmlformats.org/officeDocument/2006/relationships/hyperlink" Target="https://www.medianews4u.com/longitude-77-by-pernod-ricard-india-redefines-diwali-gifting-with-craft-and-culture/" TargetMode="External"/><Relationship Id="rId1028" Type="http://schemas.openxmlformats.org/officeDocument/2006/relationships/hyperlink" Target="https://www.medianews4u.com/m3m-appoints-nitin-singh-as-head-of-marketing/" TargetMode="External"/><Relationship Id="rId1029" Type="http://schemas.openxmlformats.org/officeDocument/2006/relationships/hyperlink" Target="https://www.afaqs.com/people-spotting/mercedes-benz-india-elevates-nandita-godbole-as-head-of-marketing-12159853" TargetMode="External"/><Relationship Id="rId1030" Type="http://schemas.openxmlformats.org/officeDocument/2006/relationships/hyperlink" Target="https://www.afaqs.com/news/mktg/mercedes-benz-india-joins-indian-padel-tour-as-title-partner-12215772" TargetMode="External"/><Relationship Id="rId1031" Type="http://schemas.openxmlformats.org/officeDocument/2006/relationships/hyperlink" Target="https://www.afaqs.com/news/media/network18-partners-with-nuvama-group-9348775" TargetMode="External"/><Relationship Id="rId1032" Type="http://schemas.openxmlformats.org/officeDocument/2006/relationships/hyperlink" Target="https://www.medianews4u.com/oberoi-realty-uses-storytelling-over-salesmanship-to-reinforce-the-exclusivity-of-three-sixty-west/" TargetMode="External"/><Relationship Id="rId1033" Type="http://schemas.openxmlformats.org/officeDocument/2006/relationships/hyperlink" Target="https://www.afaqs.com/people-spotting/piramal-realty-appoints-abhijeet-maheshwari-as-ceo" TargetMode="External"/><Relationship Id="rId1034" Type="http://schemas.openxmlformats.org/officeDocument/2006/relationships/hyperlink" Target="https://www.afaqs.com/people-spotting/&#353;koda-india-appoints-ashutosh-dixit-as-brand-director-of-porsche-india-11802850" TargetMode="External"/><Relationship Id="rId1035" Type="http://schemas.openxmlformats.org/officeDocument/2006/relationships/hyperlink" Target="https://www.afaqs.com/people-spotting/rakesh-setia-joins-runwal-as-ceo-for-luxury-segment-after-7-year-stint-at-rustomjee-11742410" TargetMode="External"/><Relationship Id="rId1036" Type="http://schemas.openxmlformats.org/officeDocument/2006/relationships/hyperlink" Target="https://www.storyboard18.com/brand-makers/kunal-sharma-named-sazerac-india-managing-director-ws-l-110645.htm" TargetMode="External"/><Relationship Id="rId1037" Type="http://schemas.openxmlformats.org/officeDocument/2006/relationships/hyperlink" Target="https://www.afaqs.com/people-spotting/ashish-bajaj-to-lead-brand-and-communications-at-sobha-limited-10563656" TargetMode="External"/><Relationship Id="rId1038" Type="http://schemas.openxmlformats.org/officeDocument/2006/relationships/hyperlink" Target="https://www.medianews4u.com/radico-khaitan-doing-an-integrated-campaign-to-celebrate-its-debut-in-the-luxury-vodka-segment-with-the-spirit-of-kashmyr/" TargetMode="External"/><Relationship Id="rId1039" Type="http://schemas.openxmlformats.org/officeDocument/2006/relationships/hyperlink" Target="https://www.medianews4u.com/tata-cliq-luxury-turns-festive-shopping-into-an-investigation-with-festive-investigation-bureau/" TargetMode="External"/><Relationship Id="rId1040" Type="http://schemas.openxmlformats.org/officeDocument/2006/relationships/hyperlink" Target="https://www.manifest-media.in/marketing/240926/natural-diamond-council-relaunches-as-the-diamond-collective-with-new.html" TargetMode="External"/><Relationship Id="rId1041" Type="http://schemas.openxmlformats.org/officeDocument/2006/relationships/hyperlink" Target="https://www.socialsamosa.com/industry-updates/shweta-jain-steps-down-cmo-sales-officer-the-leela-palaces-9356489" TargetMode="External"/><Relationship Id="rId1042" Type="http://schemas.openxmlformats.org/officeDocument/2006/relationships/hyperlink" Target="https://www.agencyreporter.com/oberoi-hotels-appoints-mirum-india-for-marketing-cloud-services/" TargetMode="External"/><Relationship Id="rId1043" Type="http://schemas.openxmlformats.org/officeDocument/2006/relationships/hyperlink" Target="https://www.socialsamosa.com/campaign-spot/volvo-celebrates-innovation-road-safety-auto-expo-2025-8663302" TargetMode="External"/><Relationship Id="rId1044" Type="http://schemas.openxmlformats.org/officeDocument/2006/relationships/hyperlink" Target="https://www.medianews4u.com/zoyas-latest-campaign-paints-a-portrait-of-renewal-in-kashmirs-valley/" TargetMode="External"/><Relationship Id="rId1045" Type="http://schemas.openxmlformats.org/officeDocument/2006/relationships/hyperlink" Target="https://www.socialsamosa.com/industry-updates/adani-realty-harinder-dhillon-head-sales-marketing-delhi-ncr-11903616" TargetMode="External"/><Relationship Id="rId1046" Type="http://schemas.openxmlformats.org/officeDocument/2006/relationships/hyperlink" Target="https://www.medianews4u.com/atish-negi-appointed-brand-director-at-adidas-india/" TargetMode="External"/><Relationship Id="rId1047" Type="http://schemas.openxmlformats.org/officeDocument/2006/relationships/hyperlink" Target="https://www.afaqs.com/people-spotting/partha-ghosh-exits-air-india-after-three-and-a-half-years-12558443" TargetMode="External"/><Relationship Id="rId1048" Type="http://schemas.openxmlformats.org/officeDocument/2006/relationships/hyperlink" Target="https://www.afaqs.com/people-spotting/akasa-air-appoints-aditi-roy-as-head-of-corporate-communications-csr-11457862" TargetMode="External"/><Relationship Id="rId1049" Type="http://schemas.openxmlformats.org/officeDocument/2006/relationships/hyperlink" Target="https://www.afaqs.com/corporate-communications-and-pr/arvind-appoints-swagat-lakku-as-head-of-corporate-communications-12588593" TargetMode="External"/><Relationship Id="rId1050" Type="http://schemas.openxmlformats.org/officeDocument/2006/relationships/hyperlink" Target="https://www.afaqs.com/people-spotting/arvind-smartspaces-appoints-ankit-dave-as-head-of-marketing-12583232" TargetMode="External"/><Relationship Id="rId1051" Type="http://schemas.openxmlformats.org/officeDocument/2006/relationships/hyperlink" Target="https://www.campaignindia.in/article/axis-max-life-launches-retirement-campaign-with-rohit-sharma/4j3ybrfqnf3vzy15bx4mj0t55d" TargetMode="External"/><Relationship Id="rId1052" Type="http://schemas.openxmlformats.org/officeDocument/2006/relationships/hyperlink" Target="https://www.afaqs.com/people-spotting/bacardi-appoints-mahesh-kanchan-as-md-for-india-southeast-asia-12162120" TargetMode="External"/><Relationship Id="rId1053" Type="http://schemas.openxmlformats.org/officeDocument/2006/relationships/hyperlink" Target="https://www.storyboard18.com/brand-marketing/bajaj-finserv-rebrands-insurance-arms-after-full-ownership-acquisition-82190.htm" TargetMode="External"/><Relationship Id="rId1054" Type="http://schemas.openxmlformats.org/officeDocument/2006/relationships/hyperlink" Target="https://www.medianews4u.com/bellavitas-campaign-deo-bachche-lagate-hai-aims-to-reposition-perfumes-as-a-luxurious-upgrade-to-deodorants/" TargetMode="External"/><Relationship Id="rId1055" Type="http://schemas.openxmlformats.org/officeDocument/2006/relationships/hyperlink" Target="https://www.storyboard18.com/brand-marketing/boney-kapoor-bhutani-infras-noida-film-city-to-drive-hospitality-retail-investments-as-construction-nears-101963.htm" TargetMode="External"/><Relationship Id="rId1056" Type="http://schemas.openxmlformats.org/officeDocument/2006/relationships/hyperlink" Target="https://www.afaqs.com/people-spotting/bira-91-founder-ankur-jain-steps-down-after-lender-settlement-12187504" TargetMode="External"/><Relationship Id="rId1057" Type="http://schemas.openxmlformats.org/officeDocument/2006/relationships/hyperlink" Target="https://www.medianews4u.com/blenders-pride-fashion-tour-powered-by-fdci-sets-fashions-next-move-with-new-campaign/" TargetMode="External"/><Relationship Id="rId1058" Type="http://schemas.openxmlformats.org/officeDocument/2006/relationships/hyperlink" Target="https://www.medianews4u.com/bluestones-strokesofgenius-campaign-embraces-the-idea-that-jewellery-is-wearable-art/" TargetMode="External"/><Relationship Id="rId1059" Type="http://schemas.openxmlformats.org/officeDocument/2006/relationships/hyperlink" Target="https://www.socialsamosa.com/industry-updates/candere-smriti-mandhana-brand-ambassador-12116181" TargetMode="External"/><Relationship Id="rId1060" Type="http://schemas.openxmlformats.org/officeDocument/2006/relationships/hyperlink" Target="https://www.storyboard18.com/brand-marketing/club-mahindra-to-rebrand-as-club-m-enters-leisure-hospitality-with-rs-1000-crore-investment-84498.htm" TargetMode="External"/><Relationship Id="rId1061" Type="http://schemas.openxmlformats.org/officeDocument/2006/relationships/hyperlink" Target="https://www.storyboard18.com/brand-makers/nothing-ceo-india-needs-engineering-not-just-manufacturing-ws-l-111110.htm" TargetMode="External"/><Relationship Id="rId1062" Type="http://schemas.openxmlformats.org/officeDocument/2006/relationships/hyperlink" Target="https://www.socialsamosa.com/campaign-spot/cred-biometric-upi-payments-absurd-ad-campaign-12146112" TargetMode="External"/><Relationship Id="rId1063" Type="http://schemas.openxmlformats.org/officeDocument/2006/relationships/hyperlink" Target="https://www.medianews4u.com/cult-fit-ropes-in-ranveer-singh-reimagines-fitness-advertising/" TargetMode="External"/><Relationship Id="rId1064" Type="http://schemas.openxmlformats.org/officeDocument/2006/relationships/hyperlink" Target="https://www.afaqs.com/people-spotting/dailyobjects-appoints-zeenah-vilcassim-as-global-chief-marketing-officer-12570725" TargetMode="External"/><Relationship Id="rId1065" Type="http://schemas.openxmlformats.org/officeDocument/2006/relationships/hyperlink" Target="https://bestmediainfo.com/mediainfo/mediainfo-marketing/dbs-initiates-creative-agency-review-across-six-asia-pacific-markets-including-india-11700883" TargetMode="External"/><Relationship Id="rId1066" Type="http://schemas.openxmlformats.org/officeDocument/2006/relationships/hyperlink" Target="https://www.afaqs.com/people-spotting/faber-castell-india-appoints-sunaina-haldar-as-director-marketing-11223305" TargetMode="External"/><Relationship Id="rId1067" Type="http://schemas.openxmlformats.org/officeDocument/2006/relationships/hyperlink" Target="https://www.afaqs.com/people-spotting/ferrero-elevates-maria-luciani-to-head-of-marketing-11124915" TargetMode="External"/><Relationship Id="rId1068" Type="http://schemas.openxmlformats.org/officeDocument/2006/relationships/hyperlink" Target="https://www.afaqs.com/people-spotting/forever-new-appoints-shifali-singh-as-country-director-india-11111573" TargetMode="External"/><Relationship Id="rId1069" Type="http://schemas.openxmlformats.org/officeDocument/2006/relationships/hyperlink" Target="https://www.socialsamosa.com/industry-updates/giva-pulls-raksha-bandhan-ad-featuring-kriti-sanon-after-social-media-backlash-12436871" TargetMode="External"/><Relationship Id="rId1070" Type="http://schemas.openxmlformats.org/officeDocument/2006/relationships/hyperlink" Target="https://www.socialsamosa.com/indian-social-media-case-studies/case-study-godrej-properties-drones-laser-show-pune-real-estate-debut-11003916" TargetMode="External"/><Relationship Id="rId1071" Type="http://schemas.openxmlformats.org/officeDocument/2006/relationships/hyperlink" Target="https://www.medianews4u.com/diageo-india-usl-to-acquire-nao-spirits-maker-of-greater-than-and-hapusa-craft-gins/" TargetMode="External"/><Relationship Id="rId1072" Type="http://schemas.openxmlformats.org/officeDocument/2006/relationships/hyperlink" Target="https://www.storyboard18.com/brand-marketing/ipo-bound-groww-allocates-rs-225-crore-for-brand-building-rs-205-crore-on-subsidiaries-81220.htm" TargetMode="External"/><Relationship Id="rId1073" Type="http://schemas.openxmlformats.org/officeDocument/2006/relationships/hyperlink" Target="https://www.storyboard18.com/brand-marketing/exclusive-vinfast-backed-gsm-calls-creative-media-pitch-ahead-of-india-ride-hailing-launch-87951.htm" TargetMode="External"/><Relationship Id="rId1074" Type="http://schemas.openxmlformats.org/officeDocument/2006/relationships/hyperlink" Target="https://www.afaqs.com/news/mktg/harley-davidson-india-names-ahaan-panday-as-brand-ambassador-10884803" TargetMode="External"/><Relationship Id="rId1075" Type="http://schemas.openxmlformats.org/officeDocument/2006/relationships/hyperlink" Target="https://www.storyboard18.com/brand-marketing/hdfc-life-enters-microdrama-with-new-term-insurance-campaign-ws-l-111463.htm" TargetMode="External"/><Relationship Id="rId1076" Type="http://schemas.openxmlformats.org/officeDocument/2006/relationships/hyperlink" Target="https://www.campaignindia.in/article/hdfc-mutual-fund-s-barni-se-azadi-puts-women-centre-stage/4vwx7gdgw1vn60g41yqv07k1mc" TargetMode="External"/><Relationship Id="rId1077" Type="http://schemas.openxmlformats.org/officeDocument/2006/relationships/hyperlink" Target="https://www.afaqs.com/people-spotting/heads-up-for-tails-appoints-shrutie-kher-as-head-of-marketing-11876783" TargetMode="External"/><Relationship Id="rId1078" Type="http://schemas.openxmlformats.org/officeDocument/2006/relationships/hyperlink" Target="https://www.socialsamosa.com/industry-updates/heer-by-giva-anushka-sharma-face-of-brand-11826100" TargetMode="External"/><Relationship Id="rId1079" Type="http://schemas.openxmlformats.org/officeDocument/2006/relationships/hyperlink" Target="https://www.afaqs.com/people-spotting/hero-motocorp-appoints-anuj-dua-as-chief-business-officer-premium-segment-12227118" TargetMode="External"/><Relationship Id="rId1080" Type="http://schemas.openxmlformats.org/officeDocument/2006/relationships/hyperlink" Target="https://www.afaqs.com/people-spotting/hero-realty-cmo-karan-kumar-moves-on-12211162" TargetMode="External"/><Relationship Id="rId1081" Type="http://schemas.openxmlformats.org/officeDocument/2006/relationships/hyperlink" Target="https://www.medianews4u.com/honasa-consumer-names-saahil-nayar-as-business-head-senior-vice-president-to-lead-emerging-brands/" TargetMode="External"/><Relationship Id="rId1082" Type="http://schemas.openxmlformats.org/officeDocument/2006/relationships/hyperlink" Target="https://www.afaqs.com/news/advertising/icici-prudentials-mothers-day-campaign-urges-smart-investing-9052419" TargetMode="External"/><Relationship Id="rId1083" Type="http://schemas.openxmlformats.org/officeDocument/2006/relationships/hyperlink" Target="https://www.afaqs.com/people-spotting/indigo-appoints-mayank-kumar-as-head-of-content-creative-marketing-12514196" TargetMode="External"/><Relationship Id="rId1084" Type="http://schemas.openxmlformats.org/officeDocument/2006/relationships/hyperlink" Target="https://www.afaqs.com/people-spotting/deepesh-chhabra-joins-indusind-bank-as-head-of-marketing-and-partnerships-11786241" TargetMode="External"/><Relationship Id="rId1085" Type="http://schemas.openxmlformats.org/officeDocument/2006/relationships/hyperlink" Target="https://www.afaqs.com/people-spotting/jsw-mg-motor-india-appoints-parth-jindal-as-chairman-12458026" TargetMode="External"/><Relationship Id="rId1086" Type="http://schemas.openxmlformats.org/officeDocument/2006/relationships/hyperlink" Target="https://www.afaqs.com/people-spotting/k-raheja-group-appoints-vijayta-nikhil-raheja-as-ceo-12208087" TargetMode="External"/><Relationship Id="rId1087" Type="http://schemas.openxmlformats.org/officeDocument/2006/relationships/hyperlink" Target="https://www.medianews4u.com/nykaa-names-sukhleen-aneja-as-svp-and-business-head-for-kay-beauty/" TargetMode="External"/><Relationship Id="rId1088" Type="http://schemas.openxmlformats.org/officeDocument/2006/relationships/hyperlink" Target="https://www.manifest-media.in/marketing/240926/libas-expands-beyond-apparel-with-jewellery-launch.html" TargetMode="External"/><Relationship Id="rId1089" Type="http://schemas.openxmlformats.org/officeDocument/2006/relationships/hyperlink" Target="https://www.medianews4u.com/limelight-lab-grown-diamonds-announces-vertical-integration-inr-250-cr-fundraise-to-accelerate-growth/" TargetMode="External"/><Relationship Id="rId1090" Type="http://schemas.openxmlformats.org/officeDocument/2006/relationships/hyperlink" Target="https://www.afaqs.com/people-spotting/lovechild-by-masaba-appoints-joel-thottan-as-marketing-lead-11834518" TargetMode="External"/><Relationship Id="rId1091" Type="http://schemas.openxmlformats.org/officeDocument/2006/relationships/hyperlink" Target="https://www.storyboard18.com/brand-marketing/makemytrip-has-a-warning-for-every-cmo-in-india-101991.htm" TargetMode="External"/><Relationship Id="rId1092" Type="http://schemas.openxmlformats.org/officeDocument/2006/relationships/hyperlink" Target="https://www.afaqs.com/people-spotting/sneha-kanukolanu-joins-mia-by-tanishq-as-marketing-lead-12158434" TargetMode="External"/><Relationship Id="rId1093" Type="http://schemas.openxmlformats.org/officeDocument/2006/relationships/hyperlink" Target="https://www.storyboard18.com/brand-makers/myntra-cmo-sunder-balasubramanian-exits-after-4-years-ws-l-111600.htm" TargetMode="External"/><Relationship Id="rId1094" Type="http://schemas.openxmlformats.org/officeDocument/2006/relationships/hyperlink" Target="https://www.afaqs.com/people-spotting/neemans-appoints-akshit-dhingra-as-vp-brand-marketing-12030001" TargetMode="External"/><Relationship Id="rId1095" Type="http://schemas.openxmlformats.org/officeDocument/2006/relationships/hyperlink" Target="https://www.medianews4u.com/nike-takes-to-mumbai-streets-with-born-to-beat-the-odds-campaign-celebrating-self-belief-among-indian-athletes/" TargetMode="External"/><Relationship Id="rId1096" Type="http://schemas.openxmlformats.org/officeDocument/2006/relationships/hyperlink" Target="https://www.medianews4u.com/nykaas-new-at-nykaa-campaign-spotlights-latest-beauty-launches-through-playful-warehouse-heist/" TargetMode="External"/><Relationship Id="rId1097" Type="http://schemas.openxmlformats.org/officeDocument/2006/relationships/hyperlink" Target="https://www.medianews4u.com/nykaa-fashion-names-ishaan-khatter-shanaya-kapoor-as-new-faces-of-the-brand/" TargetMode="External"/><Relationship Id="rId1098" Type="http://schemas.openxmlformats.org/officeDocument/2006/relationships/hyperlink" Target="https://www.afaqs.com/people-spotting/origen-realty-appoints-poulomi-ray-as-chief-marketing-officer-11737049" TargetMode="External"/><Relationship Id="rId1099" Type="http://schemas.openxmlformats.org/officeDocument/2006/relationships/hyperlink" Target="https://www.afaqs.com/people-spotting/oziva-appoints-abhishek-agrawal-as-chief-growth-officer-12443459" TargetMode="External"/><Relationship Id="rId1100" Type="http://schemas.openxmlformats.org/officeDocument/2006/relationships/hyperlink" Target="https://www.medianews4u.com/pernod-ricard-india-appoints-debasree-dasgupta-as-cmo-and-global-business-development-head/" TargetMode="External"/><Relationship Id="rId1101" Type="http://schemas.openxmlformats.org/officeDocument/2006/relationships/hyperlink" Target="https://www.storyboard18.com/agency-news/philips-home-appliances-invites-creative-agencies-for-new-brand-mandates-107318.htm" TargetMode="External"/><Relationship Id="rId1102" Type="http://schemas.openxmlformats.org/officeDocument/2006/relationships/hyperlink" Target="https://www.medianews4u.com/p-n-gadgil-and-sons-welcomes-sonali-bendre-as-brand-ambassador/" TargetMode="External"/><Relationship Id="rId1103" Type="http://schemas.openxmlformats.org/officeDocument/2006/relationships/hyperlink" Target="https://www.campaignindia.in/article/prestige-group-launches-rise-with-us-campaign/4k6yqh6a2a759y8zhexzz7ryxm" TargetMode="External"/><Relationship Id="rId1104" Type="http://schemas.openxmlformats.org/officeDocument/2006/relationships/hyperlink" Target="https://www.medianews4u.com/puma-india-brings-virat-kohli-rcb-stars-and-viral-fan-together-for-rcbeverywhere-campaign/" TargetMode="External"/><Relationship Id="rId1105" Type="http://schemas.openxmlformats.org/officeDocument/2006/relationships/hyperlink" Target="https://www.storyboard18.com/brand-marketing/radisson-targets-160-hotels-19500-rooms-in-india-by-2026-amid-expansion-push-97096.htm" TargetMode="External"/><Relationship Id="rId1106" Type="http://schemas.openxmlformats.org/officeDocument/2006/relationships/hyperlink" Target="https://www.afaqs.com/people-spotting/vineet-shah-joins-raymond-lifestyle-as-head-omnichannel-media-12573726" TargetMode="External"/><Relationship Id="rId1107" Type="http://schemas.openxmlformats.org/officeDocument/2006/relationships/hyperlink" Target="https://www.afaqs.com/people-spotting/raymond-realty-appoints-karishma-mehta-as-cluster-head-marketing-12204838" TargetMode="External"/><Relationship Id="rId1108" Type="http://schemas.openxmlformats.org/officeDocument/2006/relationships/hyperlink" Target="https://www.afaqs.com/people-spotting/razorpay-elevates-apuarv-sethi-to-cmo-11837471" TargetMode="External"/><Relationship Id="rId1109" Type="http://schemas.openxmlformats.org/officeDocument/2006/relationships/hyperlink" Target="https://www.storyboard18.com/brand-makers/royal-enfields-ev-chief-mario-alvisi-steps-down-amid-strategic-shift-report-83207.htm" TargetMode="External"/><Relationship Id="rId1110" Type="http://schemas.openxmlformats.org/officeDocument/2006/relationships/hyperlink" Target="https://www.afaqs.com/people-spotting/samsung-india-promotes-shirish-agarwal-as-head-of-marketing-for-mx-business-11846627" TargetMode="External"/><Relationship Id="rId1111" Type="http://schemas.openxmlformats.org/officeDocument/2006/relationships/hyperlink" Target="https://www.campaignindia.in/article/sattva-group-launches-festive-brand-campaign-featuring-sima-taparia/43d1w83x5p5wfxzgdj8fyeqf5f" TargetMode="External"/><Relationship Id="rId1112" Type="http://schemas.openxmlformats.org/officeDocument/2006/relationships/hyperlink" Target="https://www.storyboard18.com/agency-news/exclusive-shaadi-coms-media-planning-mandate-up-for-review-96177.htm" TargetMode="External"/><Relationship Id="rId1113" Type="http://schemas.openxmlformats.org/officeDocument/2006/relationships/hyperlink" Target="https://www.socialsamosa.com/industry-updates/caratlane-shaya-shreya-ghoshal-brand-ambassador-12575545" TargetMode="External"/><Relationship Id="rId1114" Type="http://schemas.openxmlformats.org/officeDocument/2006/relationships/hyperlink" Target="https://www.socialsamosa.com/industry-updates/signature-global-imran-shaikh-gm-marketing-communication-10884838" TargetMode="External"/><Relationship Id="rId1115" Type="http://schemas.openxmlformats.org/officeDocument/2006/relationships/hyperlink" Target="https://www.afaqs.com/news/brands/is-jsws-volkswagen-deal-the-start-of-a-new-homegrown-auto-giant-12189046" TargetMode="External"/><Relationship Id="rId1116" Type="http://schemas.openxmlformats.org/officeDocument/2006/relationships/hyperlink" Target="https://www.afaqs.com/people-spotting/shanu-singh-rejoins-standard-chartered-as-head-marketing-wrb-india-11805501" TargetMode="External"/><Relationship Id="rId1117" Type="http://schemas.openxmlformats.org/officeDocument/2006/relationships/hyperlink" Target="https://www.medianews4u.com/sugar-cosmetics-digital-campaign-unites-celebrities-of-diverse-backgrounds/" TargetMode="External"/><Relationship Id="rId1118" Type="http://schemas.openxmlformats.org/officeDocument/2006/relationships/hyperlink" Target="https://www.medianews4u.com/sula-vineyards-appoints-chaitanya-rathi-as-non-executive-director/" TargetMode="External"/><Relationship Id="rId1119" Type="http://schemas.openxmlformats.org/officeDocument/2006/relationships/hyperlink" Target="https://www.storyboard18.com/brand-marketing/tata-motors-passenger-vehicles-rebrands-as-tata-cars-for-customer-facing-identity-109089.htm" TargetMode="External"/><Relationship Id="rId1120" Type="http://schemas.openxmlformats.org/officeDocument/2006/relationships/hyperlink" Target="https://www.afaqs.com/people-spotting/tata-motors-appoints-ejaz-takey-as-head-of-suv-marketing-11999514" TargetMode="External"/><Relationship Id="rId1121" Type="http://schemas.openxmlformats.org/officeDocument/2006/relationships/hyperlink" Target="https://www.medianews4u.com/tata-realty-and-tata-housing-appoint-gaurav-jain-as-managing-director-and-ceo/" TargetMode="External"/><Relationship Id="rId1122" Type="http://schemas.openxmlformats.org/officeDocument/2006/relationships/hyperlink" Target="https://www.medianews4u.com/tata-starbucks-introduces-a-film-spotlighting-indian-single-origin-coffee/" TargetMode="External"/><Relationship Id="rId1123" Type="http://schemas.openxmlformats.org/officeDocument/2006/relationships/hyperlink" Target="https://www.socialsamosa.com/industry-updates/harmeet-singh-the-body-shop-milestone-celebration-11879802" TargetMode="External"/><Relationship Id="rId1124" Type="http://schemas.openxmlformats.org/officeDocument/2006/relationships/hyperlink" Target="https://www.medianews4u.com/the-house-of-abhinandan-lodha-launches-new-campaign-for-the-sarayu-in-ayodhyaji-featuring-ranbir-kapoor/" TargetMode="External"/><Relationship Id="rId1125" Type="http://schemas.openxmlformats.org/officeDocument/2006/relationships/hyperlink" Target="https://www.medianews4u.com/third-wave-coffee-names-akshat-arora-as-marketing-director/" TargetMode="External"/><Relationship Id="rId1126" Type="http://schemas.openxmlformats.org/officeDocument/2006/relationships/hyperlink" Target="https://www.afaqs.com/news/advertising/thomas-cook-india-taps-kartik-aaryan-to-promote-borderless-travel-card-8920861" TargetMode="External"/><Relationship Id="rId1127" Type="http://schemas.openxmlformats.org/officeDocument/2006/relationships/hyperlink" Target="https://www.storyboard18.com/brand-makers/vijay-deverakonda-launches-skincare-brand-unhype-ws-l-110493.htm" TargetMode="External"/><Relationship Id="rId1128" Type="http://schemas.openxmlformats.org/officeDocument/2006/relationships/hyperlink" Target="https://www.medianews4u.com/van-heusen-looking-to-push-creative-boundaries-with-a-new-campaign-frame-to-redefine-new-eveningwear-sub-brand-vh-evening/" TargetMode="External"/><Relationship Id="rId1129" Type="http://schemas.openxmlformats.org/officeDocument/2006/relationships/hyperlink" Target="https://www.afaqs.com/people-spotting/virgio-appoints-hansa-nigam-as-chief-marketing-officer-12138383" TargetMode="External"/><Relationship Id="rId1130" Type="http://schemas.openxmlformats.org/officeDocument/2006/relationships/hyperlink" Target="https://www.storyboard18.com/agency-news/vistara-bookings-to-stop-from-next-week-onwards-merger-with-air-india-from-12-nov-40965.htm" TargetMode="External"/><Relationship Id="rId1131" Type="http://schemas.openxmlformats.org/officeDocument/2006/relationships/hyperlink" Target="https://www.manifest-media.in/marketing/280926/karun-arora-ends-five-year-stint-at-vivo.html" TargetMode="External"/><Relationship Id="rId1132" Type="http://schemas.openxmlformats.org/officeDocument/2006/relationships/hyperlink" Target="https://www.afaqs.com/news/advertising/yes-bank-rolls-out-score-kya-hua-campaign-to-drive-credit-score-awareness-10813534" TargetMode="External"/><Relationship Id="rId1133" Type="http://schemas.openxmlformats.org/officeDocument/2006/relationships/hyperlink" Target="https://www.storyboard18.com/brand-marketing/zerodha-kills-its-new-age-media-network-zero1-exposing-the-limits-of-the-finfluencer-boom-95898.htm" TargetMode="External"/><Relationship Id="rId1134" Type="http://schemas.openxmlformats.org/officeDocument/2006/relationships/hyperlink" Target="https://www.afaqs.com/people-spotting/ashish-mishra-parts-ways-with-acko-after-nearly-six-years-as-cmo-11745894" TargetMode="External"/><Relationship Id="rId1135" Type="http://schemas.openxmlformats.org/officeDocument/2006/relationships/hyperlink" Target="https://www.afaqs.com/people-spotting/ageas-federal-life-insurance-names-erum-kidwai-as-cmo-11876935" TargetMode="External"/><Relationship Id="rId1136" Type="http://schemas.openxmlformats.org/officeDocument/2006/relationships/hyperlink" Target="https://www.campaignindia.in/article/akasa-air-s-anti-advertising-playbook-winning-skies-through-unscripted-customer-moments/495j1wvysejyaz0b2xztdradws" TargetMode="External"/><Relationship Id="rId1137" Type="http://schemas.openxmlformats.org/officeDocument/2006/relationships/hyperlink" Target="https://www.storyboard18.com/brand-makers/bharatpe-names-yugal-tiwari-chief-product-and-marketing-officer-ws-l-110693.htm" TargetMode="External"/><Relationship Id="rId1138" Type="http://schemas.openxmlformats.org/officeDocument/2006/relationships/hyperlink" Target="https://www.afaqs.com/people-spotting/boat-names-vedansh-kumar-as-chief-marketing-officer-12003685" TargetMode="External"/><Relationship Id="rId1139" Type="http://schemas.openxmlformats.org/officeDocument/2006/relationships/hyperlink" Target="https://www.afaqs.com/people-spotting/dabur-names-herjit-s-bhalla-india-ceo-mohit-malhotra-global-ceo-11124785" TargetMode="External"/><Relationship Id="rId1140" Type="http://schemas.openxmlformats.org/officeDocument/2006/relationships/hyperlink" Target="https://www.medianews4u.com/decathlon-launches-kiprun-in-india-with-more-runs-more-life-campaign/" TargetMode="External"/><Relationship Id="rId1141" Type="http://schemas.openxmlformats.org/officeDocument/2006/relationships/hyperlink" Target="https://www.afaqs.com/people-spotting/dream11-cmo-vikrant-mudaliar-steps-down-12116888" TargetMode="External"/><Relationship Id="rId1142" Type="http://schemas.openxmlformats.org/officeDocument/2006/relationships/hyperlink" Target="https://www.afaqs.com/people-spotting/excitel-broadband-appoints-aditya-jain-as-chief-marketing-officer-12186970" TargetMode="External"/><Relationship Id="rId1143" Type="http://schemas.openxmlformats.org/officeDocument/2006/relationships/hyperlink" Target="https://www.ihcltata.com/press-room/ihcl-enters-into-strategic-partnership-for-10-hotels-and-1000-plus-keys-expanding-the-ginger-brand-in-south-india" TargetMode="External"/><Relationship Id="rId1144" Type="http://schemas.openxmlformats.org/officeDocument/2006/relationships/hyperlink" Target="https://www.afaqs.com/people-spotting/glenmark-pharmaceuticals-appoints-priyanka-tewari-as-head-of-marketing-12490366" TargetMode="External"/><Relationship Id="rId1145" Type="http://schemas.openxmlformats.org/officeDocument/2006/relationships/hyperlink" Target="https://www.afaqs.com/people-spotting/sudhir-sitapati-quits-gcpl-as-md-and-ceo-aasif-malbari-named-successor-12250851" TargetMode="External"/><Relationship Id="rId1146" Type="http://schemas.openxmlformats.org/officeDocument/2006/relationships/hyperlink" Target="https://www.storyboard18.com/agency-news/haier-india-media-mandate-under-review-ws-l-105850.htm" TargetMode="External"/><Relationship Id="rId1147" Type="http://schemas.openxmlformats.org/officeDocument/2006/relationships/hyperlink" Target="https://www.afaqs.com/people-spotting/indigo-appoints-mayank-kumar-as-head-of-content-creative-marketing-12514196" TargetMode="External"/><Relationship Id="rId1148" Type="http://schemas.openxmlformats.org/officeDocument/2006/relationships/hyperlink" Target="https://www.storyboard18.com/brand-makers/jupiter-money-names-adityan-kayalakal-as-vp-head-of-marketing-66226.htm" TargetMode="External"/><Relationship Id="rId1149" Type="http://schemas.openxmlformats.org/officeDocument/2006/relationships/hyperlink" Target="https://www.afaqs.com/people-spotting/yum-brands-appoints-rishab-mukherjee-as-cmo-for-kfc-south-asia-12141444" TargetMode="External"/><Relationship Id="rId1150" Type="http://schemas.openxmlformats.org/officeDocument/2006/relationships/hyperlink" Target="https://www.afaqs.com/people-spotting/maggis-category-marketing-head-kanika-juneja-steps-down-12551813" TargetMode="External"/><Relationship Id="rId1151" Type="http://schemas.openxmlformats.org/officeDocument/2006/relationships/hyperlink" Target="https://www.afaqs.com/people-spotting/mcdonalds-india-ws-names-mehak-jaini-as-head-of-marketing-12187427" TargetMode="External"/><Relationship Id="rId1152" Type="http://schemas.openxmlformats.org/officeDocument/2006/relationships/hyperlink" Target="https://www.storyboard18.com/brand-makers/orient-electric-appoints-sandhya-biswas-as-chief-marketing-and-customer-experience-officer-110669.htm" TargetMode="External"/><Relationship Id="rId1153" Type="http://schemas.openxmlformats.org/officeDocument/2006/relationships/hyperlink" Target="https://www.socialsamosa.com/marketing-shorts/palmonas-star-power-influencers-awareness-win-consumers-11257986" TargetMode="External"/><Relationship Id="rId1154" Type="http://schemas.openxmlformats.org/officeDocument/2006/relationships/hyperlink" Target="https://www.medianews4u.com/royal-challenge-packaged-drinking-water-launches-main-nahi-toh-kaun-be-campaign-reinforces-choose-bold-philosophy/" TargetMode="External"/><Relationship Id="rId1155" Type="http://schemas.openxmlformats.org/officeDocument/2006/relationships/hyperlink" Target="https://www.afaqs.com/people-spotting/vishal-wadhwa-elevated-to-svp-brand-digital-marketing-at-sbi-card-12548569" TargetMode="External"/><Relationship Id="rId1156" Type="http://schemas.openxmlformats.org/officeDocument/2006/relationships/hyperlink" Target="https://www.afaqs.com/marketing/sbi-lifes-ad-trades-fear-for-fun-with-rishabh-pant-and-ravindra-jadeja-11016724" TargetMode="External"/><Relationship Id="rId1157" Type="http://schemas.openxmlformats.org/officeDocument/2006/relationships/hyperlink" Target="https://www.afaqs.com/people-spotting/former-myntra-ceo-nandita-sinha-named-swiggy-instamart-ceo-12204634" TargetMode="External"/><Relationship Id="rId1158" Type="http://schemas.openxmlformats.org/officeDocument/2006/relationships/hyperlink" Target="https://www.socialsamosa.com/industry-updates/swiss-beauty-vidushi-goyal-cmo-6906450" TargetMode="External"/><Relationship Id="rId1159"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35.8" hidden="false" customHeight="false" outlineLevel="0" collapsed="false">
      <c r="A1" s="1" t="s">
        <v>0</v>
      </c>
      <c r="B1" s="2"/>
    </row>
    <row r="2" customFormat="false" ht="23.85" hidden="false" customHeight="false" outlineLevel="0" collapsed="false">
      <c r="A2" s="2" t="s">
        <v>1</v>
      </c>
      <c r="B2" s="2"/>
    </row>
    <row r="4" customFormat="false" ht="15" hidden="false" customHeight="false" outlineLevel="0" collapsed="false">
      <c r="A4" s="3" t="s">
        <v>2</v>
      </c>
      <c r="B4" s="2"/>
    </row>
    <row r="5" customFormat="false" ht="23.85" hidden="false" customHeight="false" outlineLevel="0" collapsed="false">
      <c r="A5" s="2" t="s">
        <v>3</v>
      </c>
      <c r="B5" s="2" t="s">
        <v>4</v>
      </c>
    </row>
    <row r="6" customFormat="false" ht="15" hidden="false" customHeight="false" outlineLevel="0" collapsed="false">
      <c r="A6" s="2" t="s">
        <v>5</v>
      </c>
      <c r="B6" s="2" t="s">
        <v>6</v>
      </c>
    </row>
    <row r="7" customFormat="false" ht="15" hidden="false" customHeight="false" outlineLevel="0" collapsed="false">
      <c r="A7" s="2" t="s">
        <v>7</v>
      </c>
      <c r="B7" s="2" t="s">
        <v>8</v>
      </c>
    </row>
    <row r="8" customFormat="false" ht="15" hidden="false" customHeight="false" outlineLevel="0" collapsed="false">
      <c r="A8" s="2" t="s">
        <v>9</v>
      </c>
      <c r="B8" s="2" t="s">
        <v>10</v>
      </c>
    </row>
    <row r="9" customFormat="false" ht="15" hidden="false" customHeight="false" outlineLevel="0" collapsed="false">
      <c r="A9" s="2" t="s">
        <v>11</v>
      </c>
      <c r="B9" s="2" t="s">
        <v>12</v>
      </c>
    </row>
    <row r="10" customFormat="false" ht="15" hidden="false" customHeight="false" outlineLevel="0" collapsed="false">
      <c r="A10" s="2" t="s">
        <v>13</v>
      </c>
      <c r="B10" s="2" t="s">
        <v>14</v>
      </c>
    </row>
    <row r="12" customFormat="false" ht="15" hidden="false" customHeight="false" outlineLevel="0" collapsed="false">
      <c r="A12" s="3" t="s">
        <v>15</v>
      </c>
      <c r="B12" s="2"/>
    </row>
    <row r="13" customFormat="false" ht="15" hidden="false" customHeight="false" outlineLevel="0" collapsed="false">
      <c r="A13" s="2" t="s">
        <v>16</v>
      </c>
      <c r="B13" s="2" t="s">
        <v>17</v>
      </c>
    </row>
    <row r="14" customFormat="false" ht="35.05" hidden="false" customHeight="false" outlineLevel="0" collapsed="false">
      <c r="A14" s="2" t="s">
        <v>18</v>
      </c>
      <c r="B14" s="2" t="s">
        <v>19</v>
      </c>
    </row>
    <row r="15" customFormat="false" ht="15" hidden="false" customHeight="false" outlineLevel="0" collapsed="false">
      <c r="A15" s="2" t="s">
        <v>20</v>
      </c>
      <c r="B15" s="2" t="s">
        <v>21</v>
      </c>
    </row>
    <row r="16" customFormat="false" ht="35.05" hidden="false" customHeight="false" outlineLevel="0" collapsed="false">
      <c r="A16" s="2" t="s">
        <v>22</v>
      </c>
      <c r="B16" s="2" t="s">
        <v>23</v>
      </c>
    </row>
    <row r="17" customFormat="false" ht="15" hidden="false" customHeight="false" outlineLevel="0" collapsed="false">
      <c r="A17" s="2" t="s">
        <v>24</v>
      </c>
      <c r="B17" s="2" t="s">
        <v>25</v>
      </c>
    </row>
    <row r="18" customFormat="false" ht="23.85" hidden="false" customHeight="false" outlineLevel="0" collapsed="false">
      <c r="A18" s="2" t="s">
        <v>26</v>
      </c>
      <c r="B18" s="2" t="s">
        <v>27</v>
      </c>
    </row>
    <row r="20" customFormat="false" ht="15" hidden="false" customHeight="false" outlineLevel="0" collapsed="false">
      <c r="A20" s="3" t="s">
        <v>28</v>
      </c>
      <c r="B20" s="2"/>
    </row>
    <row r="21" customFormat="false" ht="23.85" hidden="false" customHeight="false" outlineLevel="0" collapsed="false">
      <c r="A21" s="2" t="s">
        <v>29</v>
      </c>
      <c r="B21" s="2" t="s">
        <v>30</v>
      </c>
    </row>
    <row r="22" customFormat="false" ht="23.85" hidden="false" customHeight="false" outlineLevel="0" collapsed="false">
      <c r="A22" s="2" t="s">
        <v>31</v>
      </c>
      <c r="B22" s="2" t="s">
        <v>32</v>
      </c>
    </row>
    <row r="23" customFormat="false" ht="15" hidden="false" customHeight="false" outlineLevel="0" collapsed="false">
      <c r="A23" s="2" t="s">
        <v>33</v>
      </c>
      <c r="B23" s="2" t="s">
        <v>34</v>
      </c>
    </row>
    <row r="25" customFormat="false" ht="15" hidden="false" customHeight="false" outlineLevel="0" collapsed="false">
      <c r="A25" s="3" t="s">
        <v>35</v>
      </c>
      <c r="B25" s="2"/>
    </row>
    <row r="26" customFormat="false" ht="15" hidden="false" customHeight="false" outlineLevel="0" collapsed="false">
      <c r="A26" s="2" t="s">
        <v>36</v>
      </c>
      <c r="B26" s="2" t="s">
        <v>37</v>
      </c>
    </row>
    <row r="27" customFormat="false" ht="15" hidden="false" customHeight="false" outlineLevel="0" collapsed="false">
      <c r="A27" s="2" t="s">
        <v>38</v>
      </c>
      <c r="B27" s="2" t="s">
        <v>39</v>
      </c>
    </row>
    <row r="28" customFormat="false" ht="15" hidden="false" customHeight="false" outlineLevel="0" collapsed="false">
      <c r="A28" s="4" t="s">
        <v>40</v>
      </c>
      <c r="B28" s="2" t="s">
        <v>41</v>
      </c>
    </row>
    <row r="29" customFormat="false" ht="15" hidden="false" customHeight="false" outlineLevel="0" collapsed="false">
      <c r="A29" s="2" t="s">
        <v>42</v>
      </c>
      <c r="B29" s="2" t="s">
        <v>43</v>
      </c>
    </row>
    <row r="31" customFormat="false" ht="15" hidden="false" customHeight="false" outlineLevel="0" collapsed="false">
      <c r="A31" s="3" t="s">
        <v>44</v>
      </c>
      <c r="B31" s="2"/>
    </row>
    <row r="32" customFormat="false" ht="35.05" hidden="false" customHeight="false" outlineLevel="0" collapsed="false">
      <c r="A32" s="2" t="s">
        <v>45</v>
      </c>
      <c r="B32" s="2" t="s">
        <v>46</v>
      </c>
    </row>
    <row r="33" customFormat="false" ht="23.85" hidden="false" customHeight="false" outlineLevel="0" collapsed="false">
      <c r="A33" s="2" t="s">
        <v>47</v>
      </c>
      <c r="B33" s="2" t="s">
        <v>48</v>
      </c>
    </row>
    <row r="34" customFormat="false" ht="23.85" hidden="false" customHeight="false" outlineLevel="0" collapsed="false">
      <c r="A34" s="2" t="s">
        <v>49</v>
      </c>
      <c r="B34" s="2" t="s">
        <v>50</v>
      </c>
    </row>
    <row r="35" customFormat="false" ht="15" hidden="false" customHeight="false" outlineLevel="0" collapsed="false">
      <c r="A35" s="2" t="s">
        <v>51</v>
      </c>
      <c r="B35" s="2"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9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9"/>
    <col collapsed="false" customWidth="true" hidden="false" outlineLevel="0" max="4" min="4" style="0" width="8"/>
    <col collapsed="false" customWidth="true" hidden="false" outlineLevel="0" max="6" min="5" style="0" width="6"/>
    <col collapsed="false" customWidth="true" hidden="false" outlineLevel="0" max="7" min="7" style="0" width="8"/>
    <col collapsed="false" customWidth="true" hidden="false" outlineLevel="0" max="8" min="8" style="0" width="20"/>
    <col collapsed="false" customWidth="true" hidden="false" outlineLevel="0" max="9" min="9" style="0" width="9"/>
    <col collapsed="false" customWidth="true" hidden="false" outlineLevel="0" max="10" min="10" style="0" width="22"/>
    <col collapsed="false" customWidth="true" hidden="false" outlineLevel="0" max="11" min="11" style="0" width="48"/>
    <col collapsed="false" customWidth="true" hidden="false" outlineLevel="0" max="12" min="12" style="0" width="14"/>
    <col collapsed="false" customWidth="true" hidden="false" outlineLevel="0" max="13" min="13" style="0" width="26"/>
    <col collapsed="false" customWidth="true" hidden="false" outlineLevel="0" max="14" min="14" style="0" width="30"/>
    <col collapsed="false" customWidth="true" hidden="false" outlineLevel="0" max="15" min="15" style="0" width="60"/>
    <col collapsed="false" customWidth="true" hidden="false" outlineLevel="0" max="16" min="16" style="0" width="50"/>
    <col collapsed="false" customWidth="true" hidden="false" outlineLevel="0" max="18" min="17" style="0" width="10"/>
    <col collapsed="false" customWidth="true" hidden="false" outlineLevel="0" max="20" min="19" style="0" width="36"/>
    <col collapsed="false" customWidth="true" hidden="false" outlineLevel="0" max="21" min="21" style="0" width="20"/>
    <col collapsed="false" customWidth="true" hidden="false" outlineLevel="0" max="22" min="22" style="0" width="12"/>
    <col collapsed="false" customWidth="true" hidden="false" outlineLevel="0" max="23" min="23" style="0" width="14"/>
    <col collapsed="false" customWidth="true" hidden="false" outlineLevel="0" max="24" min="24" style="0" width="24"/>
    <col collapsed="false" customWidth="true" hidden="false" outlineLevel="0" max="25" min="25" style="0" width="30"/>
  </cols>
  <sheetData>
    <row r="1" customFormat="false" ht="30" hidden="false" customHeight="true" outlineLevel="0" collapsed="false">
      <c r="A1" s="5" t="s">
        <v>53</v>
      </c>
      <c r="B1" s="5" t="s">
        <v>54</v>
      </c>
      <c r="C1" s="5" t="s">
        <v>55</v>
      </c>
      <c r="D1" s="5" t="s">
        <v>56</v>
      </c>
      <c r="E1" s="5" t="s">
        <v>57</v>
      </c>
      <c r="F1" s="5" t="s">
        <v>58</v>
      </c>
      <c r="G1" s="5" t="s">
        <v>59</v>
      </c>
      <c r="H1" s="5" t="s">
        <v>60</v>
      </c>
      <c r="I1" s="5" t="s">
        <v>61</v>
      </c>
      <c r="J1" s="5" t="s">
        <v>62</v>
      </c>
      <c r="K1" s="5" t="s">
        <v>63</v>
      </c>
      <c r="L1" s="5" t="s">
        <v>64</v>
      </c>
      <c r="M1" s="5" t="s">
        <v>65</v>
      </c>
      <c r="N1" s="5" t="s">
        <v>24</v>
      </c>
      <c r="O1" s="5" t="s">
        <v>66</v>
      </c>
      <c r="P1" s="5" t="s">
        <v>67</v>
      </c>
      <c r="Q1" s="5" t="s">
        <v>68</v>
      </c>
      <c r="R1" s="5" t="s">
        <v>31</v>
      </c>
      <c r="S1" s="5" t="s">
        <v>69</v>
      </c>
      <c r="T1" s="5" t="s">
        <v>70</v>
      </c>
      <c r="U1" s="5" t="s">
        <v>26</v>
      </c>
      <c r="V1" s="5" t="s">
        <v>71</v>
      </c>
      <c r="W1" s="5" t="s">
        <v>72</v>
      </c>
      <c r="X1" s="5" t="s">
        <v>73</v>
      </c>
      <c r="Y1" s="5" t="s">
        <v>74</v>
      </c>
    </row>
    <row r="2" customFormat="false" ht="79.85" hidden="false" customHeight="false" outlineLevel="0" collapsed="false">
      <c r="A2" s="6" t="n">
        <v>1</v>
      </c>
      <c r="B2" s="7" t="s">
        <v>75</v>
      </c>
      <c r="C2" s="6" t="str">
        <f aca="false">IF(U2&lt;&gt;"","Client",IF(D2&gt;=9,"A",IF(D2&gt;=7,"B","C")))</f>
        <v>A</v>
      </c>
      <c r="D2" s="6" t="n">
        <f aca="false">E2+F2+G2</f>
        <v>10</v>
      </c>
      <c r="E2" s="6" t="n">
        <v>4</v>
      </c>
      <c r="F2" s="6" t="n">
        <v>3</v>
      </c>
      <c r="G2" s="8" t="n">
        <v>3</v>
      </c>
      <c r="H2" s="6" t="s">
        <v>76</v>
      </c>
      <c r="I2" s="6" t="s">
        <v>77</v>
      </c>
      <c r="J2" s="2" t="s">
        <v>78</v>
      </c>
      <c r="K2" s="2" t="s">
        <v>79</v>
      </c>
      <c r="L2" s="2" t="s">
        <v>80</v>
      </c>
      <c r="M2" s="2"/>
      <c r="N2" s="2" t="s">
        <v>81</v>
      </c>
      <c r="O2" s="2" t="s">
        <v>82</v>
      </c>
      <c r="P2" s="2" t="s">
        <v>83</v>
      </c>
      <c r="Q2" s="6" t="s">
        <v>84</v>
      </c>
      <c r="R2" s="6" t="s">
        <v>85</v>
      </c>
      <c r="S2" s="9" t="s">
        <v>86</v>
      </c>
      <c r="T2" s="9" t="s">
        <v>87</v>
      </c>
      <c r="U2" s="6"/>
      <c r="V2" s="10"/>
      <c r="W2" s="10" t="s">
        <v>88</v>
      </c>
      <c r="X2" s="10"/>
      <c r="Y2" s="10"/>
    </row>
    <row r="3" customFormat="false" ht="23.85" hidden="false" customHeight="false" outlineLevel="0" collapsed="false">
      <c r="A3" s="6" t="n">
        <v>2</v>
      </c>
      <c r="B3" s="7" t="s">
        <v>89</v>
      </c>
      <c r="C3" s="6" t="str">
        <f aca="false">IF(U3&lt;&gt;"","Client",IF(D3&gt;=9,"A",IF(D3&gt;=7,"B","C")))</f>
        <v>A</v>
      </c>
      <c r="D3" s="6" t="n">
        <f aca="false">E3+F3+G3</f>
        <v>10</v>
      </c>
      <c r="E3" s="6" t="n">
        <v>4</v>
      </c>
      <c r="F3" s="6" t="n">
        <v>3</v>
      </c>
      <c r="G3" s="8" t="n">
        <v>3</v>
      </c>
      <c r="H3" s="6" t="s">
        <v>90</v>
      </c>
      <c r="I3" s="6" t="s">
        <v>77</v>
      </c>
      <c r="J3" s="2" t="s">
        <v>91</v>
      </c>
      <c r="K3" s="2" t="s">
        <v>92</v>
      </c>
      <c r="L3" s="2" t="s">
        <v>93</v>
      </c>
      <c r="M3" s="2"/>
      <c r="N3" s="2" t="s">
        <v>94</v>
      </c>
      <c r="O3" s="2" t="s">
        <v>95</v>
      </c>
      <c r="P3" s="2" t="s">
        <v>96</v>
      </c>
      <c r="Q3" s="6" t="s">
        <v>97</v>
      </c>
      <c r="R3" s="6" t="s">
        <v>98</v>
      </c>
      <c r="S3" s="6"/>
      <c r="T3" s="6"/>
      <c r="U3" s="6"/>
      <c r="V3" s="10"/>
      <c r="W3" s="10" t="s">
        <v>88</v>
      </c>
      <c r="X3" s="10"/>
      <c r="Y3" s="10"/>
    </row>
    <row r="4" customFormat="false" ht="35.05" hidden="false" customHeight="false" outlineLevel="0" collapsed="false">
      <c r="A4" s="6" t="n">
        <v>3</v>
      </c>
      <c r="B4" s="7" t="s">
        <v>99</v>
      </c>
      <c r="C4" s="6" t="str">
        <f aca="false">IF(U4&lt;&gt;"","Client",IF(D4&gt;=9,"A",IF(D4&gt;=7,"B","C")))</f>
        <v>A</v>
      </c>
      <c r="D4" s="6" t="n">
        <f aca="false">E4+F4+G4</f>
        <v>10</v>
      </c>
      <c r="E4" s="6" t="n">
        <v>4</v>
      </c>
      <c r="F4" s="6" t="n">
        <v>3</v>
      </c>
      <c r="G4" s="8" t="n">
        <v>3</v>
      </c>
      <c r="H4" s="6" t="s">
        <v>90</v>
      </c>
      <c r="I4" s="6" t="s">
        <v>77</v>
      </c>
      <c r="J4" s="2" t="s">
        <v>100</v>
      </c>
      <c r="K4" s="2" t="s">
        <v>101</v>
      </c>
      <c r="L4" s="2" t="s">
        <v>102</v>
      </c>
      <c r="M4" s="2"/>
      <c r="N4" s="2" t="s">
        <v>103</v>
      </c>
      <c r="O4" s="2" t="s">
        <v>104</v>
      </c>
      <c r="P4" s="2" t="s">
        <v>105</v>
      </c>
      <c r="Q4" s="6" t="s">
        <v>97</v>
      </c>
      <c r="R4" s="6" t="s">
        <v>106</v>
      </c>
      <c r="S4" s="9" t="s">
        <v>107</v>
      </c>
      <c r="T4" s="9" t="s">
        <v>108</v>
      </c>
      <c r="U4" s="6"/>
      <c r="V4" s="10"/>
      <c r="W4" s="10" t="s">
        <v>88</v>
      </c>
      <c r="X4" s="10"/>
      <c r="Y4" s="10"/>
    </row>
    <row r="5" customFormat="false" ht="46.25" hidden="false" customHeight="false" outlineLevel="0" collapsed="false">
      <c r="A5" s="6" t="n">
        <v>4</v>
      </c>
      <c r="B5" s="7" t="s">
        <v>109</v>
      </c>
      <c r="C5" s="6" t="str">
        <f aca="false">IF(U5&lt;&gt;"","Client",IF(D5&gt;=9,"A",IF(D5&gt;=7,"B","C")))</f>
        <v>A</v>
      </c>
      <c r="D5" s="6" t="n">
        <f aca="false">E5+F5+G5</f>
        <v>10</v>
      </c>
      <c r="E5" s="6" t="n">
        <v>4</v>
      </c>
      <c r="F5" s="6" t="n">
        <v>3</v>
      </c>
      <c r="G5" s="8" t="n">
        <v>3</v>
      </c>
      <c r="H5" s="6" t="s">
        <v>90</v>
      </c>
      <c r="I5" s="6" t="s">
        <v>77</v>
      </c>
      <c r="J5" s="2" t="s">
        <v>110</v>
      </c>
      <c r="K5" s="2" t="s">
        <v>111</v>
      </c>
      <c r="L5" s="2" t="s">
        <v>112</v>
      </c>
      <c r="M5" s="2"/>
      <c r="N5" s="2" t="s">
        <v>81</v>
      </c>
      <c r="O5" s="2" t="s">
        <v>113</v>
      </c>
      <c r="P5" s="2" t="s">
        <v>114</v>
      </c>
      <c r="Q5" s="6" t="s">
        <v>97</v>
      </c>
      <c r="R5" s="6" t="s">
        <v>106</v>
      </c>
      <c r="S5" s="9" t="s">
        <v>115</v>
      </c>
      <c r="T5" s="9" t="s">
        <v>116</v>
      </c>
      <c r="U5" s="6"/>
      <c r="V5" s="10"/>
      <c r="W5" s="10" t="s">
        <v>88</v>
      </c>
      <c r="X5" s="10"/>
      <c r="Y5" s="10"/>
    </row>
    <row r="6" customFormat="false" ht="23.85" hidden="false" customHeight="false" outlineLevel="0" collapsed="false">
      <c r="A6" s="6" t="n">
        <v>5</v>
      </c>
      <c r="B6" s="7" t="s">
        <v>117</v>
      </c>
      <c r="C6" s="6" t="str">
        <f aca="false">IF(U6&lt;&gt;"","Client",IF(D6&gt;=9,"A",IF(D6&gt;=7,"B","C")))</f>
        <v>A</v>
      </c>
      <c r="D6" s="6" t="n">
        <f aca="false">E6+F6+G6</f>
        <v>10</v>
      </c>
      <c r="E6" s="6" t="n">
        <v>4</v>
      </c>
      <c r="F6" s="6" t="n">
        <v>3</v>
      </c>
      <c r="G6" s="8" t="n">
        <v>3</v>
      </c>
      <c r="H6" s="6" t="s">
        <v>118</v>
      </c>
      <c r="I6" s="6" t="s">
        <v>77</v>
      </c>
      <c r="J6" s="2" t="s">
        <v>119</v>
      </c>
      <c r="K6" s="2" t="s">
        <v>92</v>
      </c>
      <c r="L6" s="2" t="s">
        <v>93</v>
      </c>
      <c r="M6" s="2"/>
      <c r="N6" s="2" t="s">
        <v>120</v>
      </c>
      <c r="O6" s="2" t="s">
        <v>121</v>
      </c>
      <c r="P6" s="2" t="s">
        <v>122</v>
      </c>
      <c r="Q6" s="6" t="s">
        <v>123</v>
      </c>
      <c r="R6" s="6" t="s">
        <v>98</v>
      </c>
      <c r="S6" s="9" t="s">
        <v>124</v>
      </c>
      <c r="T6" s="6"/>
      <c r="U6" s="6"/>
      <c r="V6" s="10"/>
      <c r="W6" s="10" t="s">
        <v>88</v>
      </c>
      <c r="X6" s="10"/>
      <c r="Y6" s="10"/>
    </row>
    <row r="7" customFormat="false" ht="46.25" hidden="false" customHeight="false" outlineLevel="0" collapsed="false">
      <c r="A7" s="6" t="n">
        <v>6</v>
      </c>
      <c r="B7" s="7" t="s">
        <v>125</v>
      </c>
      <c r="C7" s="6" t="str">
        <f aca="false">IF(U7&lt;&gt;"","Client",IF(D7&gt;=9,"A",IF(D7&gt;=7,"B","C")))</f>
        <v>A</v>
      </c>
      <c r="D7" s="6" t="n">
        <f aca="false">E7+F7+G7</f>
        <v>10</v>
      </c>
      <c r="E7" s="6" t="n">
        <v>4</v>
      </c>
      <c r="F7" s="6" t="n">
        <v>3</v>
      </c>
      <c r="G7" s="8" t="n">
        <v>3</v>
      </c>
      <c r="H7" s="6" t="s">
        <v>118</v>
      </c>
      <c r="I7" s="6" t="s">
        <v>77</v>
      </c>
      <c r="J7" s="2" t="s">
        <v>125</v>
      </c>
      <c r="K7" s="2" t="s">
        <v>126</v>
      </c>
      <c r="L7" s="2" t="s">
        <v>127</v>
      </c>
      <c r="M7" s="2"/>
      <c r="N7" s="2" t="s">
        <v>103</v>
      </c>
      <c r="O7" s="2" t="s">
        <v>128</v>
      </c>
      <c r="P7" s="2" t="s">
        <v>129</v>
      </c>
      <c r="Q7" s="6" t="s">
        <v>130</v>
      </c>
      <c r="R7" s="6" t="s">
        <v>106</v>
      </c>
      <c r="S7" s="9" t="s">
        <v>131</v>
      </c>
      <c r="T7" s="9" t="s">
        <v>132</v>
      </c>
      <c r="U7" s="6"/>
      <c r="V7" s="10"/>
      <c r="W7" s="10" t="s">
        <v>88</v>
      </c>
      <c r="X7" s="10"/>
      <c r="Y7" s="10"/>
    </row>
    <row r="8" customFormat="false" ht="46.25" hidden="false" customHeight="false" outlineLevel="0" collapsed="false">
      <c r="A8" s="6" t="n">
        <v>7</v>
      </c>
      <c r="B8" s="7" t="s">
        <v>133</v>
      </c>
      <c r="C8" s="6" t="str">
        <f aca="false">IF(U8&lt;&gt;"","Client",IF(D8&gt;=9,"A",IF(D8&gt;=7,"B","C")))</f>
        <v>A</v>
      </c>
      <c r="D8" s="6" t="n">
        <f aca="false">E8+F8+G8</f>
        <v>10</v>
      </c>
      <c r="E8" s="6" t="n">
        <v>4</v>
      </c>
      <c r="F8" s="6" t="n">
        <v>3</v>
      </c>
      <c r="G8" s="8" t="n">
        <v>3</v>
      </c>
      <c r="H8" s="6" t="s">
        <v>76</v>
      </c>
      <c r="I8" s="6" t="s">
        <v>77</v>
      </c>
      <c r="J8" s="2" t="s">
        <v>134</v>
      </c>
      <c r="K8" s="2" t="s">
        <v>135</v>
      </c>
      <c r="L8" s="2" t="s">
        <v>102</v>
      </c>
      <c r="M8" s="2"/>
      <c r="N8" s="2" t="s">
        <v>103</v>
      </c>
      <c r="O8" s="2" t="s">
        <v>136</v>
      </c>
      <c r="P8" s="2" t="s">
        <v>137</v>
      </c>
      <c r="Q8" s="6" t="s">
        <v>97</v>
      </c>
      <c r="R8" s="6" t="s">
        <v>106</v>
      </c>
      <c r="S8" s="9" t="s">
        <v>138</v>
      </c>
      <c r="T8" s="6"/>
      <c r="U8" s="6"/>
      <c r="V8" s="10"/>
      <c r="W8" s="10" t="s">
        <v>88</v>
      </c>
      <c r="X8" s="10"/>
      <c r="Y8" s="10"/>
    </row>
    <row r="9" customFormat="false" ht="23.85" hidden="false" customHeight="false" outlineLevel="0" collapsed="false">
      <c r="A9" s="6" t="n">
        <v>8</v>
      </c>
      <c r="B9" s="7" t="s">
        <v>139</v>
      </c>
      <c r="C9" s="6" t="str">
        <f aca="false">IF(U9&lt;&gt;"","Client",IF(D9&gt;=9,"A",IF(D9&gt;=7,"B","C")))</f>
        <v>A</v>
      </c>
      <c r="D9" s="6" t="n">
        <f aca="false">E9+F9+G9</f>
        <v>10</v>
      </c>
      <c r="E9" s="6" t="n">
        <v>4</v>
      </c>
      <c r="F9" s="6" t="n">
        <v>3</v>
      </c>
      <c r="G9" s="8" t="n">
        <v>3</v>
      </c>
      <c r="H9" s="6" t="s">
        <v>118</v>
      </c>
      <c r="I9" s="6" t="s">
        <v>77</v>
      </c>
      <c r="J9" s="2" t="s">
        <v>140</v>
      </c>
      <c r="K9" s="2" t="s">
        <v>92</v>
      </c>
      <c r="L9" s="2" t="s">
        <v>93</v>
      </c>
      <c r="M9" s="2"/>
      <c r="N9" s="2" t="s">
        <v>120</v>
      </c>
      <c r="O9" s="2" t="s">
        <v>141</v>
      </c>
      <c r="P9" s="2" t="s">
        <v>142</v>
      </c>
      <c r="Q9" s="6" t="s">
        <v>143</v>
      </c>
      <c r="R9" s="6" t="s">
        <v>98</v>
      </c>
      <c r="S9" s="9" t="s">
        <v>144</v>
      </c>
      <c r="T9" s="6"/>
      <c r="U9" s="6"/>
      <c r="V9" s="10"/>
      <c r="W9" s="10" t="s">
        <v>88</v>
      </c>
      <c r="X9" s="10"/>
      <c r="Y9" s="10"/>
    </row>
    <row r="10" customFormat="false" ht="23.85" hidden="false" customHeight="false" outlineLevel="0" collapsed="false">
      <c r="A10" s="6" t="n">
        <v>9</v>
      </c>
      <c r="B10" s="7" t="s">
        <v>145</v>
      </c>
      <c r="C10" s="6" t="str">
        <f aca="false">IF(U10&lt;&gt;"","Client",IF(D10&gt;=9,"A",IF(D10&gt;=7,"B","C")))</f>
        <v>A</v>
      </c>
      <c r="D10" s="6" t="n">
        <f aca="false">E10+F10+G10</f>
        <v>10</v>
      </c>
      <c r="E10" s="6" t="n">
        <v>4</v>
      </c>
      <c r="F10" s="6" t="n">
        <v>3</v>
      </c>
      <c r="G10" s="8" t="n">
        <v>3</v>
      </c>
      <c r="H10" s="6" t="s">
        <v>90</v>
      </c>
      <c r="I10" s="6" t="s">
        <v>77</v>
      </c>
      <c r="J10" s="2" t="s">
        <v>146</v>
      </c>
      <c r="K10" s="2" t="s">
        <v>92</v>
      </c>
      <c r="L10" s="2" t="s">
        <v>93</v>
      </c>
      <c r="M10" s="2"/>
      <c r="N10" s="2" t="s">
        <v>147</v>
      </c>
      <c r="O10" s="2" t="s">
        <v>148</v>
      </c>
      <c r="P10" s="2" t="s">
        <v>149</v>
      </c>
      <c r="Q10" s="6" t="s">
        <v>150</v>
      </c>
      <c r="R10" s="6" t="s">
        <v>98</v>
      </c>
      <c r="S10" s="9" t="s">
        <v>151</v>
      </c>
      <c r="T10" s="6"/>
      <c r="U10" s="6"/>
      <c r="V10" s="10"/>
      <c r="W10" s="10" t="s">
        <v>88</v>
      </c>
      <c r="X10" s="10"/>
      <c r="Y10" s="10"/>
    </row>
    <row r="11" customFormat="false" ht="102.2" hidden="false" customHeight="false" outlineLevel="0" collapsed="false">
      <c r="A11" s="6" t="n">
        <v>10</v>
      </c>
      <c r="B11" s="7" t="s">
        <v>152</v>
      </c>
      <c r="C11" s="6" t="str">
        <f aca="false">IF(U11&lt;&gt;"","Client",IF(D11&gt;=9,"A",IF(D11&gt;=7,"B","C")))</f>
        <v>A</v>
      </c>
      <c r="D11" s="6" t="n">
        <f aca="false">E11+F11+G11</f>
        <v>9</v>
      </c>
      <c r="E11" s="6" t="n">
        <v>3</v>
      </c>
      <c r="F11" s="6" t="n">
        <v>3</v>
      </c>
      <c r="G11" s="8" t="n">
        <v>3</v>
      </c>
      <c r="H11" s="6" t="s">
        <v>153</v>
      </c>
      <c r="I11" s="6" t="s">
        <v>77</v>
      </c>
      <c r="J11" s="2" t="s">
        <v>154</v>
      </c>
      <c r="K11" s="2" t="s">
        <v>155</v>
      </c>
      <c r="L11" s="2" t="s">
        <v>156</v>
      </c>
      <c r="M11" s="2" t="s">
        <v>157</v>
      </c>
      <c r="N11" s="2" t="s">
        <v>81</v>
      </c>
      <c r="O11" s="2" t="s">
        <v>158</v>
      </c>
      <c r="P11" s="2" t="s">
        <v>159</v>
      </c>
      <c r="Q11" s="6" t="s">
        <v>160</v>
      </c>
      <c r="R11" s="6" t="s">
        <v>85</v>
      </c>
      <c r="S11" s="9" t="s">
        <v>161</v>
      </c>
      <c r="T11" s="9" t="s">
        <v>162</v>
      </c>
      <c r="U11" s="6"/>
      <c r="V11" s="10"/>
      <c r="W11" s="10" t="s">
        <v>88</v>
      </c>
      <c r="X11" s="10"/>
      <c r="Y11" s="10"/>
    </row>
    <row r="12" customFormat="false" ht="35.05" hidden="false" customHeight="false" outlineLevel="0" collapsed="false">
      <c r="A12" s="6" t="n">
        <v>11</v>
      </c>
      <c r="B12" s="7" t="s">
        <v>163</v>
      </c>
      <c r="C12" s="6" t="str">
        <f aca="false">IF(U12&lt;&gt;"","Client",IF(D12&gt;=9,"A",IF(D12&gt;=7,"B","C")))</f>
        <v>A</v>
      </c>
      <c r="D12" s="6" t="n">
        <f aca="false">E12+F12+G12</f>
        <v>9</v>
      </c>
      <c r="E12" s="6" t="n">
        <v>3</v>
      </c>
      <c r="F12" s="6" t="n">
        <v>3</v>
      </c>
      <c r="G12" s="8" t="n">
        <v>3</v>
      </c>
      <c r="H12" s="6" t="s">
        <v>164</v>
      </c>
      <c r="I12" s="6" t="s">
        <v>77</v>
      </c>
      <c r="J12" s="2" t="s">
        <v>165</v>
      </c>
      <c r="K12" s="2" t="s">
        <v>166</v>
      </c>
      <c r="L12" s="2" t="s">
        <v>167</v>
      </c>
      <c r="M12" s="2"/>
      <c r="N12" s="2" t="s">
        <v>168</v>
      </c>
      <c r="O12" s="2" t="s">
        <v>169</v>
      </c>
      <c r="P12" s="2" t="s">
        <v>170</v>
      </c>
      <c r="Q12" s="6" t="s">
        <v>171</v>
      </c>
      <c r="R12" s="6" t="s">
        <v>106</v>
      </c>
      <c r="S12" s="9" t="s">
        <v>172</v>
      </c>
      <c r="T12" s="6"/>
      <c r="U12" s="6"/>
      <c r="V12" s="10"/>
      <c r="W12" s="10" t="s">
        <v>88</v>
      </c>
      <c r="X12" s="10"/>
      <c r="Y12" s="10"/>
    </row>
    <row r="13" customFormat="false" ht="23.85" hidden="false" customHeight="false" outlineLevel="0" collapsed="false">
      <c r="A13" s="6" t="n">
        <v>12</v>
      </c>
      <c r="B13" s="7" t="s">
        <v>173</v>
      </c>
      <c r="C13" s="6" t="str">
        <f aca="false">IF(U13&lt;&gt;"","Client",IF(D13&gt;=9,"A",IF(D13&gt;=7,"B","C")))</f>
        <v>A</v>
      </c>
      <c r="D13" s="6" t="n">
        <f aca="false">E13+F13+G13</f>
        <v>9</v>
      </c>
      <c r="E13" s="6" t="n">
        <v>3</v>
      </c>
      <c r="F13" s="6" t="n">
        <v>3</v>
      </c>
      <c r="G13" s="8" t="n">
        <v>3</v>
      </c>
      <c r="H13" s="6" t="s">
        <v>153</v>
      </c>
      <c r="I13" s="6" t="s">
        <v>77</v>
      </c>
      <c r="J13" s="2" t="s">
        <v>174</v>
      </c>
      <c r="K13" s="2" t="s">
        <v>175</v>
      </c>
      <c r="L13" s="2" t="s">
        <v>167</v>
      </c>
      <c r="M13" s="2"/>
      <c r="N13" s="2" t="s">
        <v>103</v>
      </c>
      <c r="O13" s="2" t="s">
        <v>176</v>
      </c>
      <c r="P13" s="2" t="s">
        <v>177</v>
      </c>
      <c r="Q13" s="6" t="s">
        <v>178</v>
      </c>
      <c r="R13" s="6" t="s">
        <v>85</v>
      </c>
      <c r="S13" s="9" t="s">
        <v>179</v>
      </c>
      <c r="T13" s="9" t="s">
        <v>180</v>
      </c>
      <c r="U13" s="6"/>
      <c r="V13" s="10"/>
      <c r="W13" s="10" t="s">
        <v>88</v>
      </c>
      <c r="X13" s="10"/>
      <c r="Y13" s="10"/>
    </row>
    <row r="14" customFormat="false" ht="15" hidden="false" customHeight="false" outlineLevel="0" collapsed="false">
      <c r="A14" s="6" t="n">
        <v>13</v>
      </c>
      <c r="B14" s="7" t="s">
        <v>181</v>
      </c>
      <c r="C14" s="6" t="str">
        <f aca="false">IF(U14&lt;&gt;"","Client",IF(D14&gt;=9,"A",IF(D14&gt;=7,"B","C")))</f>
        <v>A</v>
      </c>
      <c r="D14" s="6" t="n">
        <f aca="false">E14+F14+G14</f>
        <v>9</v>
      </c>
      <c r="E14" s="6" t="n">
        <v>3</v>
      </c>
      <c r="F14" s="6" t="n">
        <v>3</v>
      </c>
      <c r="G14" s="8" t="n">
        <v>3</v>
      </c>
      <c r="H14" s="6" t="s">
        <v>182</v>
      </c>
      <c r="I14" s="6" t="s">
        <v>77</v>
      </c>
      <c r="J14" s="2" t="s">
        <v>183</v>
      </c>
      <c r="K14" s="2" t="s">
        <v>92</v>
      </c>
      <c r="L14" s="2" t="s">
        <v>93</v>
      </c>
      <c r="M14" s="2"/>
      <c r="N14" s="2" t="s">
        <v>184</v>
      </c>
      <c r="O14" s="2" t="s">
        <v>185</v>
      </c>
      <c r="P14" s="2" t="s">
        <v>186</v>
      </c>
      <c r="Q14" s="6" t="s">
        <v>97</v>
      </c>
      <c r="R14" s="6" t="s">
        <v>98</v>
      </c>
      <c r="S14" s="6"/>
      <c r="T14" s="6"/>
      <c r="U14" s="6"/>
      <c r="V14" s="10"/>
      <c r="W14" s="10" t="s">
        <v>88</v>
      </c>
      <c r="X14" s="10"/>
      <c r="Y14" s="10"/>
    </row>
    <row r="15" customFormat="false" ht="113.4" hidden="false" customHeight="false" outlineLevel="0" collapsed="false">
      <c r="A15" s="6" t="n">
        <v>14</v>
      </c>
      <c r="B15" s="7" t="s">
        <v>187</v>
      </c>
      <c r="C15" s="6" t="str">
        <f aca="false">IF(U15&lt;&gt;"","Client",IF(D15&gt;=9,"A",IF(D15&gt;=7,"B","C")))</f>
        <v>A</v>
      </c>
      <c r="D15" s="6" t="n">
        <f aca="false">E15+F15+G15</f>
        <v>9</v>
      </c>
      <c r="E15" s="6" t="n">
        <v>3</v>
      </c>
      <c r="F15" s="6" t="n">
        <v>3</v>
      </c>
      <c r="G15" s="8" t="n">
        <v>3</v>
      </c>
      <c r="H15" s="6" t="s">
        <v>153</v>
      </c>
      <c r="I15" s="6" t="s">
        <v>77</v>
      </c>
      <c r="J15" s="2" t="s">
        <v>188</v>
      </c>
      <c r="K15" s="2" t="s">
        <v>189</v>
      </c>
      <c r="L15" s="2" t="s">
        <v>190</v>
      </c>
      <c r="M15" s="2"/>
      <c r="N15" s="2" t="s">
        <v>81</v>
      </c>
      <c r="O15" s="2" t="s">
        <v>191</v>
      </c>
      <c r="P15" s="2" t="s">
        <v>192</v>
      </c>
      <c r="Q15" s="6" t="s">
        <v>97</v>
      </c>
      <c r="R15" s="6" t="s">
        <v>85</v>
      </c>
      <c r="S15" s="9" t="s">
        <v>193</v>
      </c>
      <c r="T15" s="9" t="s">
        <v>194</v>
      </c>
      <c r="U15" s="6"/>
      <c r="V15" s="10"/>
      <c r="W15" s="10" t="s">
        <v>88</v>
      </c>
      <c r="X15" s="10"/>
      <c r="Y15" s="10"/>
    </row>
    <row r="16" customFormat="false" ht="79.85" hidden="false" customHeight="false" outlineLevel="0" collapsed="false">
      <c r="A16" s="6" t="n">
        <v>15</v>
      </c>
      <c r="B16" s="7" t="s">
        <v>195</v>
      </c>
      <c r="C16" s="6" t="str">
        <f aca="false">IF(U16&lt;&gt;"","Client",IF(D16&gt;=9,"A",IF(D16&gt;=7,"B","C")))</f>
        <v>A</v>
      </c>
      <c r="D16" s="6" t="n">
        <f aca="false">E16+F16+G16</f>
        <v>9</v>
      </c>
      <c r="E16" s="6" t="n">
        <v>3</v>
      </c>
      <c r="F16" s="6" t="n">
        <v>3</v>
      </c>
      <c r="G16" s="8" t="n">
        <v>3</v>
      </c>
      <c r="H16" s="6" t="s">
        <v>153</v>
      </c>
      <c r="I16" s="6" t="s">
        <v>77</v>
      </c>
      <c r="J16" s="2" t="s">
        <v>154</v>
      </c>
      <c r="K16" s="2" t="s">
        <v>196</v>
      </c>
      <c r="L16" s="2" t="s">
        <v>197</v>
      </c>
      <c r="M16" s="2"/>
      <c r="N16" s="2" t="s">
        <v>198</v>
      </c>
      <c r="O16" s="2" t="s">
        <v>199</v>
      </c>
      <c r="P16" s="2" t="s">
        <v>200</v>
      </c>
      <c r="Q16" s="6" t="s">
        <v>130</v>
      </c>
      <c r="R16" s="6" t="s">
        <v>85</v>
      </c>
      <c r="S16" s="9" t="s">
        <v>201</v>
      </c>
      <c r="T16" s="9" t="s">
        <v>202</v>
      </c>
      <c r="U16" s="6"/>
      <c r="V16" s="10"/>
      <c r="W16" s="10" t="s">
        <v>88</v>
      </c>
      <c r="X16" s="10"/>
      <c r="Y16" s="10"/>
    </row>
    <row r="17" customFormat="false" ht="23.85" hidden="false" customHeight="false" outlineLevel="0" collapsed="false">
      <c r="A17" s="6" t="n">
        <v>16</v>
      </c>
      <c r="B17" s="7" t="s">
        <v>203</v>
      </c>
      <c r="C17" s="6" t="str">
        <f aca="false">IF(U17&lt;&gt;"","Client",IF(D17&gt;=9,"A",IF(D17&gt;=7,"B","C")))</f>
        <v>A</v>
      </c>
      <c r="D17" s="6" t="n">
        <f aca="false">E17+F17+G17</f>
        <v>9</v>
      </c>
      <c r="E17" s="6" t="n">
        <v>3</v>
      </c>
      <c r="F17" s="6" t="n">
        <v>3</v>
      </c>
      <c r="G17" s="8" t="n">
        <v>3</v>
      </c>
      <c r="H17" s="6" t="s">
        <v>153</v>
      </c>
      <c r="I17" s="6" t="s">
        <v>77</v>
      </c>
      <c r="J17" s="2" t="s">
        <v>204</v>
      </c>
      <c r="K17" s="2" t="s">
        <v>205</v>
      </c>
      <c r="L17" s="2" t="s">
        <v>206</v>
      </c>
      <c r="M17" s="2"/>
      <c r="N17" s="2" t="s">
        <v>207</v>
      </c>
      <c r="O17" s="2" t="s">
        <v>208</v>
      </c>
      <c r="P17" s="2" t="s">
        <v>209</v>
      </c>
      <c r="Q17" s="6" t="s">
        <v>178</v>
      </c>
      <c r="R17" s="6" t="s">
        <v>106</v>
      </c>
      <c r="S17" s="9" t="s">
        <v>210</v>
      </c>
      <c r="T17" s="9" t="s">
        <v>211</v>
      </c>
      <c r="U17" s="6"/>
      <c r="V17" s="10"/>
      <c r="W17" s="10" t="s">
        <v>88</v>
      </c>
      <c r="X17" s="10"/>
      <c r="Y17" s="10"/>
    </row>
    <row r="18" customFormat="false" ht="23.85" hidden="false" customHeight="false" outlineLevel="0" collapsed="false">
      <c r="A18" s="6" t="n">
        <v>17</v>
      </c>
      <c r="B18" s="7" t="s">
        <v>212</v>
      </c>
      <c r="C18" s="6" t="str">
        <f aca="false">IF(U18&lt;&gt;"","Client",IF(D18&gt;=9,"A",IF(D18&gt;=7,"B","C")))</f>
        <v>A</v>
      </c>
      <c r="D18" s="6" t="n">
        <f aca="false">E18+F18+G18</f>
        <v>9</v>
      </c>
      <c r="E18" s="6" t="n">
        <v>3</v>
      </c>
      <c r="F18" s="6" t="n">
        <v>3</v>
      </c>
      <c r="G18" s="8" t="n">
        <v>3</v>
      </c>
      <c r="H18" s="6" t="s">
        <v>164</v>
      </c>
      <c r="I18" s="6" t="s">
        <v>77</v>
      </c>
      <c r="J18" s="2" t="s">
        <v>213</v>
      </c>
      <c r="K18" s="2" t="s">
        <v>92</v>
      </c>
      <c r="L18" s="2" t="s">
        <v>93</v>
      </c>
      <c r="M18" s="2"/>
      <c r="N18" s="2" t="s">
        <v>184</v>
      </c>
      <c r="O18" s="2" t="s">
        <v>214</v>
      </c>
      <c r="P18" s="2" t="s">
        <v>215</v>
      </c>
      <c r="Q18" s="6" t="s">
        <v>97</v>
      </c>
      <c r="R18" s="6" t="s">
        <v>85</v>
      </c>
      <c r="S18" s="9" t="s">
        <v>216</v>
      </c>
      <c r="T18" s="6"/>
      <c r="U18" s="6"/>
      <c r="V18" s="10"/>
      <c r="W18" s="10" t="s">
        <v>88</v>
      </c>
      <c r="X18" s="10"/>
      <c r="Y18" s="10"/>
    </row>
    <row r="19" customFormat="false" ht="35.05" hidden="false" customHeight="false" outlineLevel="0" collapsed="false">
      <c r="A19" s="6" t="n">
        <v>18</v>
      </c>
      <c r="B19" s="7" t="s">
        <v>217</v>
      </c>
      <c r="C19" s="6" t="str">
        <f aca="false">IF(U19&lt;&gt;"","Client",IF(D19&gt;=9,"A",IF(D19&gt;=7,"B","C")))</f>
        <v>A</v>
      </c>
      <c r="D19" s="6" t="n">
        <f aca="false">E19+F19+G19</f>
        <v>9</v>
      </c>
      <c r="E19" s="6" t="n">
        <v>4</v>
      </c>
      <c r="F19" s="6" t="n">
        <v>3</v>
      </c>
      <c r="G19" s="8" t="n">
        <v>2</v>
      </c>
      <c r="H19" s="6" t="s">
        <v>118</v>
      </c>
      <c r="I19" s="6" t="s">
        <v>77</v>
      </c>
      <c r="J19" s="2" t="s">
        <v>218</v>
      </c>
      <c r="K19" s="2" t="s">
        <v>92</v>
      </c>
      <c r="L19" s="2" t="s">
        <v>93</v>
      </c>
      <c r="M19" s="2"/>
      <c r="N19" s="2" t="s">
        <v>219</v>
      </c>
      <c r="O19" s="2" t="s">
        <v>220</v>
      </c>
      <c r="P19" s="2" t="s">
        <v>221</v>
      </c>
      <c r="Q19" s="6" t="s">
        <v>178</v>
      </c>
      <c r="R19" s="6" t="s">
        <v>98</v>
      </c>
      <c r="S19" s="9" t="s">
        <v>222</v>
      </c>
      <c r="T19" s="6"/>
      <c r="U19" s="6"/>
      <c r="V19" s="10"/>
      <c r="W19" s="10" t="s">
        <v>88</v>
      </c>
      <c r="X19" s="10"/>
      <c r="Y19" s="10"/>
    </row>
    <row r="20" customFormat="false" ht="23.85" hidden="false" customHeight="false" outlineLevel="0" collapsed="false">
      <c r="A20" s="6" t="n">
        <v>19</v>
      </c>
      <c r="B20" s="7" t="s">
        <v>223</v>
      </c>
      <c r="C20" s="6" t="str">
        <f aca="false">IF(U20&lt;&gt;"","Client",IF(D20&gt;=9,"A",IF(D20&gt;=7,"B","C")))</f>
        <v>A</v>
      </c>
      <c r="D20" s="6" t="n">
        <f aca="false">E20+F20+G20</f>
        <v>9</v>
      </c>
      <c r="E20" s="6" t="n">
        <v>4</v>
      </c>
      <c r="F20" s="6" t="n">
        <v>3</v>
      </c>
      <c r="G20" s="8" t="n">
        <v>2</v>
      </c>
      <c r="H20" s="6" t="s">
        <v>118</v>
      </c>
      <c r="I20" s="6" t="s">
        <v>77</v>
      </c>
      <c r="J20" s="2" t="s">
        <v>223</v>
      </c>
      <c r="K20" s="2" t="s">
        <v>92</v>
      </c>
      <c r="L20" s="2" t="s">
        <v>93</v>
      </c>
      <c r="M20" s="2"/>
      <c r="N20" s="2" t="s">
        <v>219</v>
      </c>
      <c r="O20" s="2" t="s">
        <v>224</v>
      </c>
      <c r="P20" s="2" t="s">
        <v>225</v>
      </c>
      <c r="Q20" s="6" t="s">
        <v>226</v>
      </c>
      <c r="R20" s="6" t="s">
        <v>98</v>
      </c>
      <c r="S20" s="9" t="s">
        <v>227</v>
      </c>
      <c r="T20" s="6"/>
      <c r="U20" s="6"/>
      <c r="V20" s="10"/>
      <c r="W20" s="10" t="s">
        <v>88</v>
      </c>
      <c r="X20" s="10"/>
      <c r="Y20" s="10"/>
    </row>
    <row r="21" customFormat="false" ht="23.85" hidden="false" customHeight="false" outlineLevel="0" collapsed="false">
      <c r="A21" s="6" t="n">
        <v>20</v>
      </c>
      <c r="B21" s="7" t="s">
        <v>228</v>
      </c>
      <c r="C21" s="6" t="str">
        <f aca="false">IF(U21&lt;&gt;"","Client",IF(D21&gt;=9,"A",IF(D21&gt;=7,"B","C")))</f>
        <v>A</v>
      </c>
      <c r="D21" s="6" t="n">
        <f aca="false">E21+F21+G21</f>
        <v>9</v>
      </c>
      <c r="E21" s="6" t="n">
        <v>4</v>
      </c>
      <c r="F21" s="6" t="n">
        <v>3</v>
      </c>
      <c r="G21" s="8" t="n">
        <v>2</v>
      </c>
      <c r="H21" s="6" t="s">
        <v>76</v>
      </c>
      <c r="I21" s="6" t="s">
        <v>77</v>
      </c>
      <c r="J21" s="2" t="s">
        <v>229</v>
      </c>
      <c r="K21" s="2" t="s">
        <v>92</v>
      </c>
      <c r="L21" s="2" t="s">
        <v>93</v>
      </c>
      <c r="M21" s="2"/>
      <c r="N21" s="2" t="s">
        <v>219</v>
      </c>
      <c r="O21" s="2" t="s">
        <v>230</v>
      </c>
      <c r="P21" s="2" t="s">
        <v>231</v>
      </c>
      <c r="Q21" s="6" t="s">
        <v>97</v>
      </c>
      <c r="R21" s="6" t="s">
        <v>98</v>
      </c>
      <c r="S21" s="6"/>
      <c r="T21" s="6"/>
      <c r="U21" s="6"/>
      <c r="V21" s="10"/>
      <c r="W21" s="10" t="s">
        <v>88</v>
      </c>
      <c r="X21" s="10"/>
      <c r="Y21" s="10"/>
    </row>
    <row r="22" customFormat="false" ht="23.85" hidden="false" customHeight="false" outlineLevel="0" collapsed="false">
      <c r="A22" s="6" t="n">
        <v>21</v>
      </c>
      <c r="B22" s="7" t="s">
        <v>232</v>
      </c>
      <c r="C22" s="6" t="str">
        <f aca="false">IF(U22&lt;&gt;"","Client",IF(D22&gt;=9,"A",IF(D22&gt;=7,"B","C")))</f>
        <v>A</v>
      </c>
      <c r="D22" s="6" t="n">
        <f aca="false">E22+F22+G22</f>
        <v>9</v>
      </c>
      <c r="E22" s="6" t="n">
        <v>4</v>
      </c>
      <c r="F22" s="6" t="n">
        <v>3</v>
      </c>
      <c r="G22" s="8" t="n">
        <v>2</v>
      </c>
      <c r="H22" s="6" t="s">
        <v>118</v>
      </c>
      <c r="I22" s="6" t="s">
        <v>77</v>
      </c>
      <c r="J22" s="2" t="s">
        <v>233</v>
      </c>
      <c r="K22" s="2" t="s">
        <v>92</v>
      </c>
      <c r="L22" s="2" t="s">
        <v>93</v>
      </c>
      <c r="M22" s="2"/>
      <c r="N22" s="2" t="s">
        <v>219</v>
      </c>
      <c r="O22" s="2" t="s">
        <v>234</v>
      </c>
      <c r="P22" s="2" t="s">
        <v>235</v>
      </c>
      <c r="Q22" s="6" t="s">
        <v>236</v>
      </c>
      <c r="R22" s="6" t="s">
        <v>98</v>
      </c>
      <c r="S22" s="9" t="s">
        <v>237</v>
      </c>
      <c r="T22" s="6"/>
      <c r="U22" s="6"/>
      <c r="V22" s="10"/>
      <c r="W22" s="10" t="s">
        <v>88</v>
      </c>
      <c r="X22" s="10"/>
      <c r="Y22" s="10"/>
    </row>
    <row r="23" customFormat="false" ht="23.85" hidden="false" customHeight="false" outlineLevel="0" collapsed="false">
      <c r="A23" s="6" t="n">
        <v>22</v>
      </c>
      <c r="B23" s="7" t="s">
        <v>238</v>
      </c>
      <c r="C23" s="6" t="str">
        <f aca="false">IF(U23&lt;&gt;"","Client",IF(D23&gt;=9,"A",IF(D23&gt;=7,"B","C")))</f>
        <v>A</v>
      </c>
      <c r="D23" s="6" t="n">
        <f aca="false">E23+F23+G23</f>
        <v>9</v>
      </c>
      <c r="E23" s="6" t="n">
        <v>4</v>
      </c>
      <c r="F23" s="6" t="n">
        <v>3</v>
      </c>
      <c r="G23" s="8" t="n">
        <v>2</v>
      </c>
      <c r="H23" s="6" t="s">
        <v>239</v>
      </c>
      <c r="I23" s="6" t="s">
        <v>77</v>
      </c>
      <c r="J23" s="2" t="s">
        <v>240</v>
      </c>
      <c r="K23" s="2" t="s">
        <v>92</v>
      </c>
      <c r="L23" s="2" t="s">
        <v>93</v>
      </c>
      <c r="M23" s="2"/>
      <c r="N23" s="2" t="s">
        <v>219</v>
      </c>
      <c r="O23" s="2" t="s">
        <v>241</v>
      </c>
      <c r="P23" s="2" t="s">
        <v>242</v>
      </c>
      <c r="Q23" s="6" t="s">
        <v>160</v>
      </c>
      <c r="R23" s="6" t="s">
        <v>85</v>
      </c>
      <c r="S23" s="9" t="s">
        <v>243</v>
      </c>
      <c r="T23" s="6"/>
      <c r="U23" s="6"/>
      <c r="V23" s="10"/>
      <c r="W23" s="10" t="s">
        <v>88</v>
      </c>
      <c r="X23" s="10"/>
      <c r="Y23" s="10"/>
    </row>
    <row r="24" customFormat="false" ht="46.25" hidden="false" customHeight="false" outlineLevel="0" collapsed="false">
      <c r="A24" s="6" t="n">
        <v>23</v>
      </c>
      <c r="B24" s="7" t="s">
        <v>244</v>
      </c>
      <c r="C24" s="6" t="str">
        <f aca="false">IF(U24&lt;&gt;"","Client",IF(D24&gt;=9,"A",IF(D24&gt;=7,"B","C")))</f>
        <v>A</v>
      </c>
      <c r="D24" s="6" t="n">
        <f aca="false">E24+F24+G24</f>
        <v>9</v>
      </c>
      <c r="E24" s="6" t="n">
        <v>4</v>
      </c>
      <c r="F24" s="6" t="n">
        <v>3</v>
      </c>
      <c r="G24" s="8" t="n">
        <v>2</v>
      </c>
      <c r="H24" s="6" t="s">
        <v>90</v>
      </c>
      <c r="I24" s="6" t="s">
        <v>77</v>
      </c>
      <c r="J24" s="2" t="s">
        <v>245</v>
      </c>
      <c r="K24" s="2" t="s">
        <v>246</v>
      </c>
      <c r="L24" s="2" t="s">
        <v>127</v>
      </c>
      <c r="M24" s="2"/>
      <c r="N24" s="2" t="s">
        <v>247</v>
      </c>
      <c r="O24" s="2" t="s">
        <v>248</v>
      </c>
      <c r="P24" s="2" t="s">
        <v>249</v>
      </c>
      <c r="Q24" s="6" t="s">
        <v>160</v>
      </c>
      <c r="R24" s="6" t="s">
        <v>85</v>
      </c>
      <c r="S24" s="9" t="s">
        <v>250</v>
      </c>
      <c r="T24" s="9" t="s">
        <v>251</v>
      </c>
      <c r="U24" s="6"/>
      <c r="V24" s="10"/>
      <c r="W24" s="10" t="s">
        <v>88</v>
      </c>
      <c r="X24" s="10"/>
      <c r="Y24" s="10"/>
    </row>
    <row r="25" customFormat="false" ht="23.85" hidden="false" customHeight="false" outlineLevel="0" collapsed="false">
      <c r="A25" s="6" t="n">
        <v>24</v>
      </c>
      <c r="B25" s="7" t="s">
        <v>252</v>
      </c>
      <c r="C25" s="6" t="str">
        <f aca="false">IF(U25&lt;&gt;"","Client",IF(D25&gt;=9,"A",IF(D25&gt;=7,"B","C")))</f>
        <v>A</v>
      </c>
      <c r="D25" s="6" t="n">
        <f aca="false">E25+F25+G25</f>
        <v>9</v>
      </c>
      <c r="E25" s="6" t="n">
        <v>4</v>
      </c>
      <c r="F25" s="6" t="n">
        <v>3</v>
      </c>
      <c r="G25" s="8" t="n">
        <v>2</v>
      </c>
      <c r="H25" s="6" t="s">
        <v>90</v>
      </c>
      <c r="I25" s="6" t="s">
        <v>77</v>
      </c>
      <c r="J25" s="2" t="s">
        <v>253</v>
      </c>
      <c r="K25" s="2" t="s">
        <v>92</v>
      </c>
      <c r="L25" s="2" t="s">
        <v>93</v>
      </c>
      <c r="M25" s="2"/>
      <c r="N25" s="2" t="s">
        <v>219</v>
      </c>
      <c r="O25" s="2" t="s">
        <v>254</v>
      </c>
      <c r="P25" s="2" t="s">
        <v>255</v>
      </c>
      <c r="Q25" s="6" t="s">
        <v>256</v>
      </c>
      <c r="R25" s="6" t="s">
        <v>98</v>
      </c>
      <c r="S25" s="9" t="s">
        <v>257</v>
      </c>
      <c r="T25" s="6"/>
      <c r="U25" s="6"/>
      <c r="V25" s="10"/>
      <c r="W25" s="10" t="s">
        <v>88</v>
      </c>
      <c r="X25" s="10"/>
      <c r="Y25" s="10"/>
    </row>
    <row r="26" customFormat="false" ht="23.85" hidden="false" customHeight="false" outlineLevel="0" collapsed="false">
      <c r="A26" s="6" t="n">
        <v>25</v>
      </c>
      <c r="B26" s="7" t="s">
        <v>258</v>
      </c>
      <c r="C26" s="6" t="str">
        <f aca="false">IF(U26&lt;&gt;"","Client",IF(D26&gt;=9,"A",IF(D26&gt;=7,"B","C")))</f>
        <v>A</v>
      </c>
      <c r="D26" s="6" t="n">
        <f aca="false">E26+F26+G26</f>
        <v>9</v>
      </c>
      <c r="E26" s="6" t="n">
        <v>4</v>
      </c>
      <c r="F26" s="6" t="n">
        <v>3</v>
      </c>
      <c r="G26" s="8" t="n">
        <v>2</v>
      </c>
      <c r="H26" s="6" t="s">
        <v>239</v>
      </c>
      <c r="I26" s="6" t="s">
        <v>77</v>
      </c>
      <c r="J26" s="2" t="s">
        <v>259</v>
      </c>
      <c r="K26" s="2" t="s">
        <v>92</v>
      </c>
      <c r="L26" s="2" t="s">
        <v>93</v>
      </c>
      <c r="M26" s="2"/>
      <c r="N26" s="2" t="s">
        <v>219</v>
      </c>
      <c r="O26" s="2" t="s">
        <v>260</v>
      </c>
      <c r="P26" s="2" t="s">
        <v>261</v>
      </c>
      <c r="Q26" s="6" t="s">
        <v>97</v>
      </c>
      <c r="R26" s="6" t="s">
        <v>98</v>
      </c>
      <c r="S26" s="6"/>
      <c r="T26" s="6"/>
      <c r="U26" s="6"/>
      <c r="V26" s="10"/>
      <c r="W26" s="10" t="s">
        <v>88</v>
      </c>
      <c r="X26" s="10"/>
      <c r="Y26" s="10"/>
    </row>
    <row r="27" customFormat="false" ht="23.85" hidden="false" customHeight="false" outlineLevel="0" collapsed="false">
      <c r="A27" s="6" t="n">
        <v>26</v>
      </c>
      <c r="B27" s="7" t="s">
        <v>262</v>
      </c>
      <c r="C27" s="6" t="str">
        <f aca="false">IF(U27&lt;&gt;"","Client",IF(D27&gt;=9,"A",IF(D27&gt;=7,"B","C")))</f>
        <v>A</v>
      </c>
      <c r="D27" s="6" t="n">
        <f aca="false">E27+F27+G27</f>
        <v>9</v>
      </c>
      <c r="E27" s="6" t="n">
        <v>4</v>
      </c>
      <c r="F27" s="6" t="n">
        <v>3</v>
      </c>
      <c r="G27" s="8" t="n">
        <v>2</v>
      </c>
      <c r="H27" s="6" t="s">
        <v>239</v>
      </c>
      <c r="I27" s="6" t="s">
        <v>77</v>
      </c>
      <c r="J27" s="2" t="s">
        <v>263</v>
      </c>
      <c r="K27" s="2" t="s">
        <v>92</v>
      </c>
      <c r="L27" s="2" t="s">
        <v>93</v>
      </c>
      <c r="M27" s="2"/>
      <c r="N27" s="2" t="s">
        <v>219</v>
      </c>
      <c r="O27" s="2" t="s">
        <v>264</v>
      </c>
      <c r="P27" s="2" t="s">
        <v>265</v>
      </c>
      <c r="Q27" s="6" t="s">
        <v>97</v>
      </c>
      <c r="R27" s="6" t="s">
        <v>98</v>
      </c>
      <c r="S27" s="6"/>
      <c r="T27" s="6"/>
      <c r="U27" s="6"/>
      <c r="V27" s="10"/>
      <c r="W27" s="10" t="s">
        <v>88</v>
      </c>
      <c r="X27" s="10"/>
      <c r="Y27" s="10"/>
    </row>
    <row r="28" customFormat="false" ht="23.85" hidden="false" customHeight="false" outlineLevel="0" collapsed="false">
      <c r="A28" s="6" t="n">
        <v>27</v>
      </c>
      <c r="B28" s="7" t="s">
        <v>266</v>
      </c>
      <c r="C28" s="6" t="str">
        <f aca="false">IF(U28&lt;&gt;"","Client",IF(D28&gt;=9,"A",IF(D28&gt;=7,"B","C")))</f>
        <v>A</v>
      </c>
      <c r="D28" s="6" t="n">
        <f aca="false">E28+F28+G28</f>
        <v>9</v>
      </c>
      <c r="E28" s="6" t="n">
        <v>4</v>
      </c>
      <c r="F28" s="6" t="n">
        <v>3</v>
      </c>
      <c r="G28" s="8" t="n">
        <v>2</v>
      </c>
      <c r="H28" s="6" t="s">
        <v>90</v>
      </c>
      <c r="I28" s="6" t="s">
        <v>77</v>
      </c>
      <c r="J28" s="2" t="s">
        <v>267</v>
      </c>
      <c r="K28" s="2" t="s">
        <v>268</v>
      </c>
      <c r="L28" s="2" t="s">
        <v>127</v>
      </c>
      <c r="M28" s="2"/>
      <c r="N28" s="2" t="s">
        <v>269</v>
      </c>
      <c r="O28" s="2" t="s">
        <v>270</v>
      </c>
      <c r="P28" s="2" t="s">
        <v>271</v>
      </c>
      <c r="Q28" s="6" t="s">
        <v>97</v>
      </c>
      <c r="R28" s="6" t="s">
        <v>106</v>
      </c>
      <c r="S28" s="9" t="s">
        <v>272</v>
      </c>
      <c r="T28" s="6"/>
      <c r="U28" s="6"/>
      <c r="V28" s="10"/>
      <c r="W28" s="10" t="s">
        <v>88</v>
      </c>
      <c r="X28" s="10"/>
      <c r="Y28" s="10"/>
    </row>
    <row r="29" customFormat="false" ht="23.85" hidden="false" customHeight="false" outlineLevel="0" collapsed="false">
      <c r="A29" s="6" t="n">
        <v>28</v>
      </c>
      <c r="B29" s="7" t="s">
        <v>273</v>
      </c>
      <c r="C29" s="6" t="str">
        <f aca="false">IF(U29&lt;&gt;"","Client",IF(D29&gt;=9,"A",IF(D29&gt;=7,"B","C")))</f>
        <v>A</v>
      </c>
      <c r="D29" s="6" t="n">
        <f aca="false">E29+F29+G29</f>
        <v>9</v>
      </c>
      <c r="E29" s="6" t="n">
        <v>4</v>
      </c>
      <c r="F29" s="6" t="n">
        <v>3</v>
      </c>
      <c r="G29" s="8" t="n">
        <v>2</v>
      </c>
      <c r="H29" s="6" t="s">
        <v>118</v>
      </c>
      <c r="I29" s="6" t="s">
        <v>77</v>
      </c>
      <c r="J29" s="2" t="s">
        <v>274</v>
      </c>
      <c r="K29" s="2" t="s">
        <v>92</v>
      </c>
      <c r="L29" s="2" t="s">
        <v>93</v>
      </c>
      <c r="M29" s="2"/>
      <c r="N29" s="2" t="s">
        <v>219</v>
      </c>
      <c r="O29" s="2" t="s">
        <v>275</v>
      </c>
      <c r="P29" s="2" t="s">
        <v>276</v>
      </c>
      <c r="Q29" s="6" t="s">
        <v>97</v>
      </c>
      <c r="R29" s="6" t="s">
        <v>98</v>
      </c>
      <c r="S29" s="6"/>
      <c r="T29" s="6"/>
      <c r="U29" s="6"/>
      <c r="V29" s="10"/>
      <c r="W29" s="10" t="s">
        <v>88</v>
      </c>
      <c r="X29" s="10"/>
      <c r="Y29" s="10"/>
    </row>
    <row r="30" customFormat="false" ht="23.85" hidden="false" customHeight="false" outlineLevel="0" collapsed="false">
      <c r="A30" s="6" t="n">
        <v>29</v>
      </c>
      <c r="B30" s="7" t="s">
        <v>277</v>
      </c>
      <c r="C30" s="6" t="str">
        <f aca="false">IF(U30&lt;&gt;"","Client",IF(D30&gt;=9,"A",IF(D30&gt;=7,"B","C")))</f>
        <v>A</v>
      </c>
      <c r="D30" s="6" t="n">
        <f aca="false">E30+F30+G30</f>
        <v>9</v>
      </c>
      <c r="E30" s="6" t="n">
        <v>4</v>
      </c>
      <c r="F30" s="6" t="n">
        <v>3</v>
      </c>
      <c r="G30" s="8" t="n">
        <v>2</v>
      </c>
      <c r="H30" s="6" t="s">
        <v>118</v>
      </c>
      <c r="I30" s="6" t="s">
        <v>77</v>
      </c>
      <c r="J30" s="2" t="s">
        <v>277</v>
      </c>
      <c r="K30" s="2" t="s">
        <v>278</v>
      </c>
      <c r="L30" s="2" t="s">
        <v>127</v>
      </c>
      <c r="M30" s="2"/>
      <c r="N30" s="2" t="s">
        <v>269</v>
      </c>
      <c r="O30" s="2" t="s">
        <v>279</v>
      </c>
      <c r="P30" s="2" t="s">
        <v>280</v>
      </c>
      <c r="Q30" s="6" t="s">
        <v>281</v>
      </c>
      <c r="R30" s="6" t="s">
        <v>85</v>
      </c>
      <c r="S30" s="9" t="s">
        <v>282</v>
      </c>
      <c r="T30" s="6"/>
      <c r="U30" s="6"/>
      <c r="V30" s="10"/>
      <c r="W30" s="10" t="s">
        <v>88</v>
      </c>
      <c r="X30" s="10"/>
      <c r="Y30" s="10"/>
    </row>
    <row r="31" customFormat="false" ht="15" hidden="false" customHeight="false" outlineLevel="0" collapsed="false">
      <c r="A31" s="6" t="n">
        <v>30</v>
      </c>
      <c r="B31" s="7" t="s">
        <v>283</v>
      </c>
      <c r="C31" s="6" t="str">
        <f aca="false">IF(U31&lt;&gt;"","Client",IF(D31&gt;=9,"A",IF(D31&gt;=7,"B","C")))</f>
        <v>A</v>
      </c>
      <c r="D31" s="6" t="n">
        <f aca="false">E31+F31+G31</f>
        <v>9</v>
      </c>
      <c r="E31" s="6" t="n">
        <v>4</v>
      </c>
      <c r="F31" s="6" t="n">
        <v>3</v>
      </c>
      <c r="G31" s="8" t="n">
        <v>2</v>
      </c>
      <c r="H31" s="6" t="s">
        <v>118</v>
      </c>
      <c r="I31" s="6" t="s">
        <v>77</v>
      </c>
      <c r="J31" s="2" t="s">
        <v>283</v>
      </c>
      <c r="K31" s="2" t="s">
        <v>92</v>
      </c>
      <c r="L31" s="2" t="s">
        <v>93</v>
      </c>
      <c r="M31" s="2"/>
      <c r="N31" s="2" t="s">
        <v>219</v>
      </c>
      <c r="O31" s="2" t="s">
        <v>284</v>
      </c>
      <c r="P31" s="2" t="s">
        <v>285</v>
      </c>
      <c r="Q31" s="6" t="s">
        <v>97</v>
      </c>
      <c r="R31" s="6" t="s">
        <v>98</v>
      </c>
      <c r="S31" s="6"/>
      <c r="T31" s="6"/>
      <c r="U31" s="6"/>
      <c r="V31" s="10"/>
      <c r="W31" s="10" t="s">
        <v>88</v>
      </c>
      <c r="X31" s="10"/>
      <c r="Y31" s="10"/>
    </row>
    <row r="32" customFormat="false" ht="46.25" hidden="false" customHeight="false" outlineLevel="0" collapsed="false">
      <c r="A32" s="6" t="n">
        <v>31</v>
      </c>
      <c r="B32" s="7" t="s">
        <v>286</v>
      </c>
      <c r="C32" s="6" t="str">
        <f aca="false">IF(U32&lt;&gt;"","Client",IF(D32&gt;=9,"A",IF(D32&gt;=7,"B","C")))</f>
        <v>A</v>
      </c>
      <c r="D32" s="6" t="n">
        <f aca="false">E32+F32+G32</f>
        <v>9</v>
      </c>
      <c r="E32" s="6" t="n">
        <v>4</v>
      </c>
      <c r="F32" s="6" t="n">
        <v>2</v>
      </c>
      <c r="G32" s="8" t="n">
        <v>3</v>
      </c>
      <c r="H32" s="6" t="s">
        <v>118</v>
      </c>
      <c r="I32" s="6" t="s">
        <v>287</v>
      </c>
      <c r="J32" s="2" t="s">
        <v>288</v>
      </c>
      <c r="K32" s="2" t="s">
        <v>289</v>
      </c>
      <c r="L32" s="2" t="s">
        <v>290</v>
      </c>
      <c r="M32" s="2"/>
      <c r="N32" s="2" t="s">
        <v>291</v>
      </c>
      <c r="O32" s="2" t="s">
        <v>292</v>
      </c>
      <c r="P32" s="2" t="s">
        <v>293</v>
      </c>
      <c r="Q32" s="6" t="s">
        <v>97</v>
      </c>
      <c r="R32" s="6" t="s">
        <v>85</v>
      </c>
      <c r="S32" s="9" t="s">
        <v>294</v>
      </c>
      <c r="T32" s="9" t="s">
        <v>295</v>
      </c>
      <c r="U32" s="6"/>
      <c r="V32" s="10"/>
      <c r="W32" s="10" t="s">
        <v>88</v>
      </c>
      <c r="X32" s="10"/>
      <c r="Y32" s="10"/>
    </row>
    <row r="33" customFormat="false" ht="15" hidden="false" customHeight="false" outlineLevel="0" collapsed="false">
      <c r="A33" s="6" t="n">
        <v>32</v>
      </c>
      <c r="B33" s="7" t="s">
        <v>296</v>
      </c>
      <c r="C33" s="6" t="str">
        <f aca="false">IF(U33&lt;&gt;"","Client",IF(D33&gt;=9,"A",IF(D33&gt;=7,"B","C")))</f>
        <v>A</v>
      </c>
      <c r="D33" s="6" t="n">
        <f aca="false">E33+F33+G33</f>
        <v>9</v>
      </c>
      <c r="E33" s="6" t="n">
        <v>4</v>
      </c>
      <c r="F33" s="6" t="n">
        <v>2</v>
      </c>
      <c r="G33" s="8" t="n">
        <v>3</v>
      </c>
      <c r="H33" s="6" t="s">
        <v>118</v>
      </c>
      <c r="I33" s="6" t="s">
        <v>287</v>
      </c>
      <c r="J33" s="2" t="s">
        <v>297</v>
      </c>
      <c r="K33" s="2" t="s">
        <v>92</v>
      </c>
      <c r="L33" s="2" t="s">
        <v>93</v>
      </c>
      <c r="M33" s="2"/>
      <c r="N33" s="2" t="s">
        <v>184</v>
      </c>
      <c r="O33" s="2" t="s">
        <v>298</v>
      </c>
      <c r="P33" s="2" t="s">
        <v>299</v>
      </c>
      <c r="Q33" s="6" t="s">
        <v>97</v>
      </c>
      <c r="R33" s="6" t="s">
        <v>85</v>
      </c>
      <c r="S33" s="9" t="s">
        <v>300</v>
      </c>
      <c r="T33" s="6"/>
      <c r="U33" s="6"/>
      <c r="V33" s="10"/>
      <c r="W33" s="10" t="s">
        <v>88</v>
      </c>
      <c r="X33" s="10"/>
      <c r="Y33" s="10"/>
    </row>
    <row r="34" customFormat="false" ht="23.85" hidden="false" customHeight="false" outlineLevel="0" collapsed="false">
      <c r="A34" s="6" t="n">
        <v>33</v>
      </c>
      <c r="B34" s="7" t="s">
        <v>301</v>
      </c>
      <c r="C34" s="6" t="str">
        <f aca="false">IF(U34&lt;&gt;"","Client",IF(D34&gt;=9,"A",IF(D34&gt;=7,"B","C")))</f>
        <v>A</v>
      </c>
      <c r="D34" s="6" t="n">
        <f aca="false">E34+F34+G34</f>
        <v>9</v>
      </c>
      <c r="E34" s="6" t="n">
        <v>4</v>
      </c>
      <c r="F34" s="6" t="n">
        <v>2</v>
      </c>
      <c r="G34" s="8" t="n">
        <v>3</v>
      </c>
      <c r="H34" s="6" t="s">
        <v>239</v>
      </c>
      <c r="I34" s="6" t="s">
        <v>287</v>
      </c>
      <c r="J34" s="2" t="s">
        <v>302</v>
      </c>
      <c r="K34" s="2" t="s">
        <v>303</v>
      </c>
      <c r="L34" s="2" t="s">
        <v>304</v>
      </c>
      <c r="M34" s="2" t="s">
        <v>305</v>
      </c>
      <c r="N34" s="2" t="s">
        <v>103</v>
      </c>
      <c r="O34" s="2" t="s">
        <v>306</v>
      </c>
      <c r="P34" s="2" t="s">
        <v>307</v>
      </c>
      <c r="Q34" s="6" t="s">
        <v>308</v>
      </c>
      <c r="R34" s="6" t="s">
        <v>85</v>
      </c>
      <c r="S34" s="9" t="s">
        <v>309</v>
      </c>
      <c r="T34" s="9" t="s">
        <v>310</v>
      </c>
      <c r="U34" s="6"/>
      <c r="V34" s="10"/>
      <c r="W34" s="10" t="s">
        <v>88</v>
      </c>
      <c r="X34" s="10"/>
      <c r="Y34" s="10"/>
    </row>
    <row r="35" customFormat="false" ht="46.25" hidden="false" customHeight="false" outlineLevel="0" collapsed="false">
      <c r="A35" s="6" t="n">
        <v>34</v>
      </c>
      <c r="B35" s="7" t="s">
        <v>311</v>
      </c>
      <c r="C35" s="6" t="str">
        <f aca="false">IF(U35&lt;&gt;"","Client",IF(D35&gt;=9,"A",IF(D35&gt;=7,"B","C")))</f>
        <v>A</v>
      </c>
      <c r="D35" s="6" t="n">
        <f aca="false">E35+F35+G35</f>
        <v>9</v>
      </c>
      <c r="E35" s="6" t="n">
        <v>4</v>
      </c>
      <c r="F35" s="6" t="n">
        <v>2</v>
      </c>
      <c r="G35" s="8" t="n">
        <v>3</v>
      </c>
      <c r="H35" s="6" t="s">
        <v>118</v>
      </c>
      <c r="I35" s="6" t="s">
        <v>287</v>
      </c>
      <c r="J35" s="2" t="s">
        <v>312</v>
      </c>
      <c r="K35" s="2" t="s">
        <v>313</v>
      </c>
      <c r="L35" s="2" t="s">
        <v>314</v>
      </c>
      <c r="M35" s="2"/>
      <c r="N35" s="2" t="s">
        <v>81</v>
      </c>
      <c r="O35" s="2" t="s">
        <v>315</v>
      </c>
      <c r="P35" s="2" t="s">
        <v>316</v>
      </c>
      <c r="Q35" s="6" t="s">
        <v>97</v>
      </c>
      <c r="R35" s="6" t="s">
        <v>106</v>
      </c>
      <c r="S35" s="9" t="s">
        <v>317</v>
      </c>
      <c r="T35" s="9" t="s">
        <v>318</v>
      </c>
      <c r="U35" s="6"/>
      <c r="V35" s="10"/>
      <c r="W35" s="10" t="s">
        <v>88</v>
      </c>
      <c r="X35" s="10"/>
      <c r="Y35" s="10"/>
    </row>
    <row r="36" customFormat="false" ht="23.85" hidden="false" customHeight="false" outlineLevel="0" collapsed="false">
      <c r="A36" s="6" t="n">
        <v>35</v>
      </c>
      <c r="B36" s="7" t="s">
        <v>319</v>
      </c>
      <c r="C36" s="6" t="str">
        <f aca="false">IF(U36&lt;&gt;"","Client",IF(D36&gt;=9,"A",IF(D36&gt;=7,"B","C")))</f>
        <v>A</v>
      </c>
      <c r="D36" s="6" t="n">
        <f aca="false">E36+F36+G36</f>
        <v>9</v>
      </c>
      <c r="E36" s="6" t="n">
        <v>4</v>
      </c>
      <c r="F36" s="6" t="n">
        <v>2</v>
      </c>
      <c r="G36" s="8" t="n">
        <v>3</v>
      </c>
      <c r="H36" s="6" t="s">
        <v>90</v>
      </c>
      <c r="I36" s="6" t="s">
        <v>287</v>
      </c>
      <c r="J36" s="2" t="s">
        <v>320</v>
      </c>
      <c r="K36" s="2" t="s">
        <v>92</v>
      </c>
      <c r="L36" s="2" t="s">
        <v>93</v>
      </c>
      <c r="M36" s="2"/>
      <c r="N36" s="2" t="s">
        <v>321</v>
      </c>
      <c r="O36" s="2" t="s">
        <v>322</v>
      </c>
      <c r="P36" s="2" t="s">
        <v>323</v>
      </c>
      <c r="Q36" s="6" t="s">
        <v>324</v>
      </c>
      <c r="R36" s="6" t="s">
        <v>98</v>
      </c>
      <c r="S36" s="9" t="s">
        <v>325</v>
      </c>
      <c r="T36" s="6"/>
      <c r="U36" s="6"/>
      <c r="V36" s="10"/>
      <c r="W36" s="10" t="s">
        <v>88</v>
      </c>
      <c r="X36" s="10"/>
      <c r="Y36" s="10"/>
    </row>
    <row r="37" customFormat="false" ht="46.25" hidden="false" customHeight="false" outlineLevel="0" collapsed="false">
      <c r="A37" s="6" t="n">
        <v>36</v>
      </c>
      <c r="B37" s="7" t="s">
        <v>326</v>
      </c>
      <c r="C37" s="6" t="str">
        <f aca="false">IF(U37&lt;&gt;"","Client",IF(D37&gt;=9,"A",IF(D37&gt;=7,"B","C")))</f>
        <v>A</v>
      </c>
      <c r="D37" s="6" t="n">
        <f aca="false">E37+F37+G37</f>
        <v>9</v>
      </c>
      <c r="E37" s="6" t="n">
        <v>4</v>
      </c>
      <c r="F37" s="6" t="n">
        <v>2</v>
      </c>
      <c r="G37" s="8" t="n">
        <v>3</v>
      </c>
      <c r="H37" s="6" t="s">
        <v>239</v>
      </c>
      <c r="I37" s="6" t="s">
        <v>287</v>
      </c>
      <c r="J37" s="2" t="s">
        <v>327</v>
      </c>
      <c r="K37" s="2" t="s">
        <v>328</v>
      </c>
      <c r="L37" s="2" t="s">
        <v>197</v>
      </c>
      <c r="M37" s="2" t="s">
        <v>329</v>
      </c>
      <c r="N37" s="2" t="s">
        <v>103</v>
      </c>
      <c r="O37" s="2" t="s">
        <v>330</v>
      </c>
      <c r="P37" s="2" t="s">
        <v>331</v>
      </c>
      <c r="Q37" s="6" t="s">
        <v>332</v>
      </c>
      <c r="R37" s="6" t="s">
        <v>85</v>
      </c>
      <c r="S37" s="9" t="s">
        <v>333</v>
      </c>
      <c r="T37" s="9" t="s">
        <v>334</v>
      </c>
      <c r="U37" s="6"/>
      <c r="V37" s="10"/>
      <c r="W37" s="10" t="s">
        <v>88</v>
      </c>
      <c r="X37" s="10"/>
      <c r="Y37" s="10"/>
    </row>
    <row r="38" customFormat="false" ht="35.05" hidden="false" customHeight="false" outlineLevel="0" collapsed="false">
      <c r="A38" s="6" t="n">
        <v>37</v>
      </c>
      <c r="B38" s="7" t="s">
        <v>335</v>
      </c>
      <c r="C38" s="6" t="str">
        <f aca="false">IF(U38&lt;&gt;"","Client",IF(D38&gt;=9,"A",IF(D38&gt;=7,"B","C")))</f>
        <v>A</v>
      </c>
      <c r="D38" s="6" t="n">
        <f aca="false">E38+F38+G38</f>
        <v>9</v>
      </c>
      <c r="E38" s="6" t="n">
        <v>4</v>
      </c>
      <c r="F38" s="6" t="n">
        <v>2</v>
      </c>
      <c r="G38" s="8" t="n">
        <v>3</v>
      </c>
      <c r="H38" s="6" t="s">
        <v>239</v>
      </c>
      <c r="I38" s="6" t="s">
        <v>287</v>
      </c>
      <c r="J38" s="2" t="s">
        <v>336</v>
      </c>
      <c r="K38" s="2" t="s">
        <v>337</v>
      </c>
      <c r="L38" s="2" t="s">
        <v>102</v>
      </c>
      <c r="M38" s="2"/>
      <c r="N38" s="2" t="s">
        <v>338</v>
      </c>
      <c r="O38" s="2" t="s">
        <v>339</v>
      </c>
      <c r="P38" s="2" t="s">
        <v>340</v>
      </c>
      <c r="Q38" s="6" t="s">
        <v>341</v>
      </c>
      <c r="R38" s="6" t="s">
        <v>106</v>
      </c>
      <c r="S38" s="9" t="s">
        <v>342</v>
      </c>
      <c r="T38" s="9" t="s">
        <v>343</v>
      </c>
      <c r="U38" s="6"/>
      <c r="V38" s="10"/>
      <c r="W38" s="10" t="s">
        <v>88</v>
      </c>
      <c r="X38" s="10"/>
      <c r="Y38" s="10"/>
    </row>
    <row r="39" customFormat="false" ht="57.45" hidden="false" customHeight="false" outlineLevel="0" collapsed="false">
      <c r="A39" s="6" t="n">
        <v>38</v>
      </c>
      <c r="B39" s="7" t="s">
        <v>344</v>
      </c>
      <c r="C39" s="6" t="str">
        <f aca="false">IF(U39&lt;&gt;"","Client",IF(D39&gt;=9,"A",IF(D39&gt;=7,"B","C")))</f>
        <v>A</v>
      </c>
      <c r="D39" s="6" t="n">
        <f aca="false">E39+F39+G39</f>
        <v>9</v>
      </c>
      <c r="E39" s="6" t="n">
        <v>4</v>
      </c>
      <c r="F39" s="6" t="n">
        <v>2</v>
      </c>
      <c r="G39" s="8" t="n">
        <v>3</v>
      </c>
      <c r="H39" s="6" t="s">
        <v>239</v>
      </c>
      <c r="I39" s="6" t="s">
        <v>287</v>
      </c>
      <c r="J39" s="2" t="s">
        <v>345</v>
      </c>
      <c r="K39" s="2" t="s">
        <v>346</v>
      </c>
      <c r="L39" s="2" t="s">
        <v>127</v>
      </c>
      <c r="M39" s="2"/>
      <c r="N39" s="2" t="s">
        <v>338</v>
      </c>
      <c r="O39" s="2" t="s">
        <v>347</v>
      </c>
      <c r="P39" s="2" t="s">
        <v>348</v>
      </c>
      <c r="Q39" s="6" t="s">
        <v>324</v>
      </c>
      <c r="R39" s="6" t="s">
        <v>85</v>
      </c>
      <c r="S39" s="9" t="s">
        <v>349</v>
      </c>
      <c r="T39" s="9" t="s">
        <v>350</v>
      </c>
      <c r="U39" s="6"/>
      <c r="V39" s="10"/>
      <c r="W39" s="10" t="s">
        <v>88</v>
      </c>
      <c r="X39" s="10"/>
      <c r="Y39" s="10"/>
    </row>
    <row r="40" customFormat="false" ht="46.25" hidden="false" customHeight="false" outlineLevel="0" collapsed="false">
      <c r="A40" s="6" t="n">
        <v>39</v>
      </c>
      <c r="B40" s="7" t="s">
        <v>351</v>
      </c>
      <c r="C40" s="6" t="str">
        <f aca="false">IF(U40&lt;&gt;"","Client",IF(D40&gt;=9,"A",IF(D40&gt;=7,"B","C")))</f>
        <v>A</v>
      </c>
      <c r="D40" s="6" t="n">
        <f aca="false">E40+F40+G40</f>
        <v>9</v>
      </c>
      <c r="E40" s="6" t="n">
        <v>4</v>
      </c>
      <c r="F40" s="6" t="n">
        <v>2</v>
      </c>
      <c r="G40" s="8" t="n">
        <v>3</v>
      </c>
      <c r="H40" s="6" t="s">
        <v>118</v>
      </c>
      <c r="I40" s="6" t="s">
        <v>287</v>
      </c>
      <c r="J40" s="2" t="s">
        <v>352</v>
      </c>
      <c r="K40" s="2" t="s">
        <v>353</v>
      </c>
      <c r="L40" s="2" t="s">
        <v>197</v>
      </c>
      <c r="M40" s="2"/>
      <c r="N40" s="2" t="s">
        <v>354</v>
      </c>
      <c r="O40" s="2" t="s">
        <v>355</v>
      </c>
      <c r="P40" s="2" t="s">
        <v>356</v>
      </c>
      <c r="Q40" s="6" t="s">
        <v>123</v>
      </c>
      <c r="R40" s="6" t="s">
        <v>106</v>
      </c>
      <c r="S40" s="9" t="s">
        <v>357</v>
      </c>
      <c r="T40" s="9" t="s">
        <v>131</v>
      </c>
      <c r="U40" s="6"/>
      <c r="V40" s="10"/>
      <c r="W40" s="10" t="s">
        <v>88</v>
      </c>
      <c r="X40" s="10"/>
      <c r="Y40" s="10"/>
    </row>
    <row r="41" customFormat="false" ht="35.05" hidden="false" customHeight="false" outlineLevel="0" collapsed="false">
      <c r="A41" s="6" t="n">
        <v>40</v>
      </c>
      <c r="B41" s="7" t="s">
        <v>358</v>
      </c>
      <c r="C41" s="6" t="str">
        <f aca="false">IF(U41&lt;&gt;"","Client",IF(D41&gt;=9,"A",IF(D41&gt;=7,"B","C")))</f>
        <v>A</v>
      </c>
      <c r="D41" s="6" t="n">
        <f aca="false">E41+F41+G41</f>
        <v>9</v>
      </c>
      <c r="E41" s="6" t="n">
        <v>4</v>
      </c>
      <c r="F41" s="6" t="n">
        <v>2</v>
      </c>
      <c r="G41" s="8" t="n">
        <v>3</v>
      </c>
      <c r="H41" s="6" t="s">
        <v>90</v>
      </c>
      <c r="I41" s="6" t="s">
        <v>287</v>
      </c>
      <c r="J41" s="2" t="s">
        <v>359</v>
      </c>
      <c r="K41" s="2" t="s">
        <v>360</v>
      </c>
      <c r="L41" s="2" t="s">
        <v>127</v>
      </c>
      <c r="M41" s="2"/>
      <c r="N41" s="2" t="s">
        <v>361</v>
      </c>
      <c r="O41" s="2" t="s">
        <v>362</v>
      </c>
      <c r="P41" s="2" t="s">
        <v>363</v>
      </c>
      <c r="Q41" s="6" t="s">
        <v>97</v>
      </c>
      <c r="R41" s="6" t="s">
        <v>85</v>
      </c>
      <c r="S41" s="9" t="s">
        <v>364</v>
      </c>
      <c r="T41" s="9" t="s">
        <v>365</v>
      </c>
      <c r="U41" s="6"/>
      <c r="V41" s="10"/>
      <c r="W41" s="10" t="s">
        <v>88</v>
      </c>
      <c r="X41" s="10"/>
      <c r="Y41" s="10"/>
    </row>
    <row r="42" customFormat="false" ht="23.85" hidden="false" customHeight="false" outlineLevel="0" collapsed="false">
      <c r="A42" s="6" t="n">
        <v>41</v>
      </c>
      <c r="B42" s="7" t="s">
        <v>366</v>
      </c>
      <c r="C42" s="6" t="str">
        <f aca="false">IF(U42&lt;&gt;"","Client",IF(D42&gt;=9,"A",IF(D42&gt;=7,"B","C")))</f>
        <v>A</v>
      </c>
      <c r="D42" s="6" t="n">
        <f aca="false">E42+F42+G42</f>
        <v>9</v>
      </c>
      <c r="E42" s="6" t="n">
        <v>4</v>
      </c>
      <c r="F42" s="6" t="n">
        <v>2</v>
      </c>
      <c r="G42" s="8" t="n">
        <v>3</v>
      </c>
      <c r="H42" s="6" t="s">
        <v>118</v>
      </c>
      <c r="I42" s="6" t="s">
        <v>287</v>
      </c>
      <c r="J42" s="2" t="s">
        <v>367</v>
      </c>
      <c r="K42" s="2" t="s">
        <v>92</v>
      </c>
      <c r="L42" s="2" t="s">
        <v>93</v>
      </c>
      <c r="M42" s="2"/>
      <c r="N42" s="2" t="s">
        <v>184</v>
      </c>
      <c r="O42" s="2" t="s">
        <v>368</v>
      </c>
      <c r="P42" s="2" t="s">
        <v>369</v>
      </c>
      <c r="Q42" s="6" t="s">
        <v>256</v>
      </c>
      <c r="R42" s="6" t="s">
        <v>85</v>
      </c>
      <c r="S42" s="9" t="s">
        <v>370</v>
      </c>
      <c r="T42" s="6"/>
      <c r="U42" s="6"/>
      <c r="V42" s="10"/>
      <c r="W42" s="10" t="s">
        <v>88</v>
      </c>
      <c r="X42" s="10"/>
      <c r="Y42" s="10"/>
    </row>
    <row r="43" customFormat="false" ht="35.05" hidden="false" customHeight="false" outlineLevel="0" collapsed="false">
      <c r="A43" s="6" t="n">
        <v>42</v>
      </c>
      <c r="B43" s="7" t="s">
        <v>371</v>
      </c>
      <c r="C43" s="6" t="str">
        <f aca="false">IF(U43&lt;&gt;"","Client",IF(D43&gt;=9,"A",IF(D43&gt;=7,"B","C")))</f>
        <v>A</v>
      </c>
      <c r="D43" s="6" t="n">
        <f aca="false">E43+F43+G43</f>
        <v>9</v>
      </c>
      <c r="E43" s="6" t="n">
        <v>4</v>
      </c>
      <c r="F43" s="6" t="n">
        <v>2</v>
      </c>
      <c r="G43" s="8" t="n">
        <v>3</v>
      </c>
      <c r="H43" s="6" t="s">
        <v>118</v>
      </c>
      <c r="I43" s="6" t="s">
        <v>287</v>
      </c>
      <c r="J43" s="2" t="s">
        <v>372</v>
      </c>
      <c r="K43" s="2" t="s">
        <v>373</v>
      </c>
      <c r="L43" s="2" t="s">
        <v>374</v>
      </c>
      <c r="M43" s="2"/>
      <c r="N43" s="2" t="s">
        <v>375</v>
      </c>
      <c r="O43" s="2" t="s">
        <v>376</v>
      </c>
      <c r="P43" s="2" t="s">
        <v>377</v>
      </c>
      <c r="Q43" s="6" t="s">
        <v>178</v>
      </c>
      <c r="R43" s="6" t="s">
        <v>106</v>
      </c>
      <c r="S43" s="9" t="s">
        <v>378</v>
      </c>
      <c r="T43" s="6"/>
      <c r="U43" s="6"/>
      <c r="V43" s="10"/>
      <c r="W43" s="10" t="s">
        <v>88</v>
      </c>
      <c r="X43" s="10"/>
      <c r="Y43" s="10"/>
    </row>
    <row r="44" customFormat="false" ht="23.85" hidden="false" customHeight="false" outlineLevel="0" collapsed="false">
      <c r="A44" s="6" t="n">
        <v>43</v>
      </c>
      <c r="B44" s="7" t="s">
        <v>379</v>
      </c>
      <c r="C44" s="6" t="str">
        <f aca="false">IF(U44&lt;&gt;"","Client",IF(D44&gt;=9,"A",IF(D44&gt;=7,"B","C")))</f>
        <v>A</v>
      </c>
      <c r="D44" s="6" t="n">
        <f aca="false">E44+F44+G44</f>
        <v>9</v>
      </c>
      <c r="E44" s="6" t="n">
        <v>4</v>
      </c>
      <c r="F44" s="6" t="n">
        <v>2</v>
      </c>
      <c r="G44" s="8" t="n">
        <v>3</v>
      </c>
      <c r="H44" s="6" t="s">
        <v>76</v>
      </c>
      <c r="I44" s="6" t="s">
        <v>287</v>
      </c>
      <c r="J44" s="2" t="s">
        <v>379</v>
      </c>
      <c r="K44" s="2" t="s">
        <v>380</v>
      </c>
      <c r="L44" s="2" t="s">
        <v>374</v>
      </c>
      <c r="M44" s="2"/>
      <c r="N44" s="2" t="s">
        <v>103</v>
      </c>
      <c r="O44" s="2" t="s">
        <v>381</v>
      </c>
      <c r="P44" s="2" t="s">
        <v>382</v>
      </c>
      <c r="Q44" s="6" t="s">
        <v>383</v>
      </c>
      <c r="R44" s="6" t="s">
        <v>85</v>
      </c>
      <c r="S44" s="9" t="s">
        <v>384</v>
      </c>
      <c r="T44" s="6"/>
      <c r="U44" s="6"/>
      <c r="V44" s="10"/>
      <c r="W44" s="10" t="s">
        <v>88</v>
      </c>
      <c r="X44" s="10"/>
      <c r="Y44" s="10"/>
    </row>
    <row r="45" customFormat="false" ht="23.85" hidden="false" customHeight="false" outlineLevel="0" collapsed="false">
      <c r="A45" s="6" t="n">
        <v>44</v>
      </c>
      <c r="B45" s="7" t="s">
        <v>385</v>
      </c>
      <c r="C45" s="6" t="str">
        <f aca="false">IF(U45&lt;&gt;"","Client",IF(D45&gt;=9,"A",IF(D45&gt;=7,"B","C")))</f>
        <v>A</v>
      </c>
      <c r="D45" s="6" t="n">
        <f aca="false">E45+F45+G45</f>
        <v>9</v>
      </c>
      <c r="E45" s="6" t="n">
        <v>4</v>
      </c>
      <c r="F45" s="6" t="n">
        <v>2</v>
      </c>
      <c r="G45" s="8" t="n">
        <v>3</v>
      </c>
      <c r="H45" s="6" t="s">
        <v>76</v>
      </c>
      <c r="I45" s="6" t="s">
        <v>287</v>
      </c>
      <c r="J45" s="2" t="s">
        <v>386</v>
      </c>
      <c r="K45" s="2" t="s">
        <v>92</v>
      </c>
      <c r="L45" s="2" t="s">
        <v>93</v>
      </c>
      <c r="M45" s="2"/>
      <c r="N45" s="2" t="s">
        <v>120</v>
      </c>
      <c r="O45" s="2" t="s">
        <v>387</v>
      </c>
      <c r="P45" s="2" t="s">
        <v>388</v>
      </c>
      <c r="Q45" s="6" t="s">
        <v>389</v>
      </c>
      <c r="R45" s="6" t="s">
        <v>98</v>
      </c>
      <c r="S45" s="9" t="s">
        <v>390</v>
      </c>
      <c r="T45" s="6"/>
      <c r="U45" s="6"/>
      <c r="V45" s="10"/>
      <c r="W45" s="10" t="s">
        <v>88</v>
      </c>
      <c r="X45" s="10"/>
      <c r="Y45" s="10"/>
    </row>
    <row r="46" customFormat="false" ht="35.05" hidden="false" customHeight="false" outlineLevel="0" collapsed="false">
      <c r="A46" s="6" t="n">
        <v>45</v>
      </c>
      <c r="B46" s="7" t="s">
        <v>391</v>
      </c>
      <c r="C46" s="6" t="str">
        <f aca="false">IF(U46&lt;&gt;"","Client",IF(D46&gt;=9,"A",IF(D46&gt;=7,"B","C")))</f>
        <v>A</v>
      </c>
      <c r="D46" s="6" t="n">
        <f aca="false">E46+F46+G46</f>
        <v>9</v>
      </c>
      <c r="E46" s="6" t="n">
        <v>4</v>
      </c>
      <c r="F46" s="6" t="n">
        <v>2</v>
      </c>
      <c r="G46" s="8" t="n">
        <v>3</v>
      </c>
      <c r="H46" s="6" t="s">
        <v>90</v>
      </c>
      <c r="I46" s="6" t="s">
        <v>287</v>
      </c>
      <c r="J46" s="2" t="s">
        <v>392</v>
      </c>
      <c r="K46" s="2" t="s">
        <v>393</v>
      </c>
      <c r="L46" s="2" t="s">
        <v>394</v>
      </c>
      <c r="M46" s="2"/>
      <c r="N46" s="2" t="s">
        <v>354</v>
      </c>
      <c r="O46" s="2" t="s">
        <v>395</v>
      </c>
      <c r="P46" s="2" t="s">
        <v>396</v>
      </c>
      <c r="Q46" s="6" t="s">
        <v>97</v>
      </c>
      <c r="R46" s="6" t="s">
        <v>85</v>
      </c>
      <c r="S46" s="9" t="s">
        <v>397</v>
      </c>
      <c r="T46" s="9" t="s">
        <v>398</v>
      </c>
      <c r="U46" s="6"/>
      <c r="V46" s="10"/>
      <c r="W46" s="10" t="s">
        <v>88</v>
      </c>
      <c r="X46" s="10"/>
      <c r="Y46" s="10"/>
    </row>
    <row r="47" customFormat="false" ht="23.85" hidden="false" customHeight="false" outlineLevel="0" collapsed="false">
      <c r="A47" s="6" t="n">
        <v>46</v>
      </c>
      <c r="B47" s="7" t="s">
        <v>399</v>
      </c>
      <c r="C47" s="6" t="str">
        <f aca="false">IF(U47&lt;&gt;"","Client",IF(D47&gt;=9,"A",IF(D47&gt;=7,"B","C")))</f>
        <v>A</v>
      </c>
      <c r="D47" s="6" t="n">
        <f aca="false">E47+F47+G47</f>
        <v>9</v>
      </c>
      <c r="E47" s="6" t="n">
        <v>4</v>
      </c>
      <c r="F47" s="6" t="n">
        <v>2</v>
      </c>
      <c r="G47" s="8" t="n">
        <v>3</v>
      </c>
      <c r="H47" s="6" t="s">
        <v>76</v>
      </c>
      <c r="I47" s="6" t="s">
        <v>287</v>
      </c>
      <c r="J47" s="2" t="s">
        <v>400</v>
      </c>
      <c r="K47" s="2" t="s">
        <v>401</v>
      </c>
      <c r="L47" s="2" t="s">
        <v>102</v>
      </c>
      <c r="M47" s="2"/>
      <c r="N47" s="2" t="s">
        <v>361</v>
      </c>
      <c r="O47" s="2" t="s">
        <v>402</v>
      </c>
      <c r="P47" s="2" t="s">
        <v>403</v>
      </c>
      <c r="Q47" s="6" t="s">
        <v>236</v>
      </c>
      <c r="R47" s="6" t="s">
        <v>106</v>
      </c>
      <c r="S47" s="9" t="s">
        <v>404</v>
      </c>
      <c r="T47" s="6"/>
      <c r="U47" s="6"/>
      <c r="V47" s="10"/>
      <c r="W47" s="10" t="s">
        <v>88</v>
      </c>
      <c r="X47" s="10"/>
      <c r="Y47" s="10"/>
    </row>
    <row r="48" customFormat="false" ht="46.25" hidden="false" customHeight="false" outlineLevel="0" collapsed="false">
      <c r="A48" s="6" t="n">
        <v>47</v>
      </c>
      <c r="B48" s="7" t="s">
        <v>405</v>
      </c>
      <c r="C48" s="6" t="str">
        <f aca="false">IF(U48&lt;&gt;"","Client",IF(D48&gt;=9,"A",IF(D48&gt;=7,"B","C")))</f>
        <v>A</v>
      </c>
      <c r="D48" s="6" t="n">
        <f aca="false">E48+F48+G48</f>
        <v>9</v>
      </c>
      <c r="E48" s="6" t="n">
        <v>4</v>
      </c>
      <c r="F48" s="6" t="n">
        <v>2</v>
      </c>
      <c r="G48" s="8" t="n">
        <v>3</v>
      </c>
      <c r="H48" s="6" t="s">
        <v>239</v>
      </c>
      <c r="I48" s="6" t="s">
        <v>287</v>
      </c>
      <c r="J48" s="2" t="s">
        <v>406</v>
      </c>
      <c r="K48" s="2" t="s">
        <v>407</v>
      </c>
      <c r="L48" s="2" t="s">
        <v>290</v>
      </c>
      <c r="M48" s="2"/>
      <c r="N48" s="2" t="s">
        <v>408</v>
      </c>
      <c r="O48" s="2" t="s">
        <v>409</v>
      </c>
      <c r="P48" s="2" t="s">
        <v>410</v>
      </c>
      <c r="Q48" s="6" t="s">
        <v>411</v>
      </c>
      <c r="R48" s="6" t="s">
        <v>106</v>
      </c>
      <c r="S48" s="9" t="s">
        <v>412</v>
      </c>
      <c r="T48" s="9" t="s">
        <v>413</v>
      </c>
      <c r="U48" s="6"/>
      <c r="V48" s="10"/>
      <c r="W48" s="10" t="s">
        <v>88</v>
      </c>
      <c r="X48" s="10"/>
      <c r="Y48" s="10"/>
    </row>
    <row r="49" customFormat="false" ht="57.45" hidden="false" customHeight="false" outlineLevel="0" collapsed="false">
      <c r="A49" s="6" t="n">
        <v>48</v>
      </c>
      <c r="B49" s="7" t="s">
        <v>414</v>
      </c>
      <c r="C49" s="6" t="str">
        <f aca="false">IF(U49&lt;&gt;"","Client",IF(D49&gt;=9,"A",IF(D49&gt;=7,"B","C")))</f>
        <v>A</v>
      </c>
      <c r="D49" s="6" t="n">
        <f aca="false">E49+F49+G49</f>
        <v>9</v>
      </c>
      <c r="E49" s="6" t="n">
        <v>4</v>
      </c>
      <c r="F49" s="6" t="n">
        <v>2</v>
      </c>
      <c r="G49" s="8" t="n">
        <v>3</v>
      </c>
      <c r="H49" s="6" t="s">
        <v>76</v>
      </c>
      <c r="I49" s="6" t="s">
        <v>287</v>
      </c>
      <c r="J49" s="2" t="s">
        <v>134</v>
      </c>
      <c r="K49" s="2" t="s">
        <v>415</v>
      </c>
      <c r="L49" s="2" t="s">
        <v>127</v>
      </c>
      <c r="M49" s="2"/>
      <c r="N49" s="2" t="s">
        <v>408</v>
      </c>
      <c r="O49" s="2" t="s">
        <v>416</v>
      </c>
      <c r="P49" s="2" t="s">
        <v>417</v>
      </c>
      <c r="Q49" s="6" t="s">
        <v>97</v>
      </c>
      <c r="R49" s="6" t="s">
        <v>85</v>
      </c>
      <c r="S49" s="9" t="s">
        <v>418</v>
      </c>
      <c r="T49" s="9" t="s">
        <v>419</v>
      </c>
      <c r="U49" s="6"/>
      <c r="V49" s="10"/>
      <c r="W49" s="10" t="s">
        <v>88</v>
      </c>
      <c r="X49" s="10"/>
      <c r="Y49" s="10"/>
    </row>
    <row r="50" customFormat="false" ht="79.85" hidden="false" customHeight="false" outlineLevel="0" collapsed="false">
      <c r="A50" s="6" t="n">
        <v>49</v>
      </c>
      <c r="B50" s="7" t="s">
        <v>420</v>
      </c>
      <c r="C50" s="6" t="str">
        <f aca="false">IF(U50&lt;&gt;"","Client",IF(D50&gt;=9,"A",IF(D50&gt;=7,"B","C")))</f>
        <v>A</v>
      </c>
      <c r="D50" s="6" t="n">
        <f aca="false">E50+F50+G50</f>
        <v>9</v>
      </c>
      <c r="E50" s="6" t="n">
        <v>4</v>
      </c>
      <c r="F50" s="6" t="n">
        <v>2</v>
      </c>
      <c r="G50" s="8" t="n">
        <v>3</v>
      </c>
      <c r="H50" s="6" t="s">
        <v>239</v>
      </c>
      <c r="I50" s="6" t="s">
        <v>287</v>
      </c>
      <c r="J50" s="2" t="s">
        <v>421</v>
      </c>
      <c r="K50" s="2" t="s">
        <v>422</v>
      </c>
      <c r="L50" s="2" t="s">
        <v>112</v>
      </c>
      <c r="M50" s="2"/>
      <c r="N50" s="2" t="s">
        <v>423</v>
      </c>
      <c r="O50" s="2" t="s">
        <v>424</v>
      </c>
      <c r="P50" s="2" t="s">
        <v>425</v>
      </c>
      <c r="Q50" s="6" t="s">
        <v>97</v>
      </c>
      <c r="R50" s="6" t="s">
        <v>85</v>
      </c>
      <c r="S50" s="9" t="s">
        <v>426</v>
      </c>
      <c r="T50" s="9" t="s">
        <v>427</v>
      </c>
      <c r="U50" s="6"/>
      <c r="V50" s="10"/>
      <c r="W50" s="10" t="s">
        <v>88</v>
      </c>
      <c r="X50" s="10"/>
      <c r="Y50" s="10"/>
    </row>
    <row r="51" customFormat="false" ht="23.85" hidden="false" customHeight="false" outlineLevel="0" collapsed="false">
      <c r="A51" s="6" t="n">
        <v>50</v>
      </c>
      <c r="B51" s="7" t="s">
        <v>428</v>
      </c>
      <c r="C51" s="6" t="str">
        <f aca="false">IF(U51&lt;&gt;"","Client",IF(D51&gt;=9,"A",IF(D51&gt;=7,"B","C")))</f>
        <v>A</v>
      </c>
      <c r="D51" s="6" t="n">
        <f aca="false">E51+F51+G51</f>
        <v>9</v>
      </c>
      <c r="E51" s="6" t="n">
        <v>4</v>
      </c>
      <c r="F51" s="6" t="n">
        <v>2</v>
      </c>
      <c r="G51" s="8" t="n">
        <v>3</v>
      </c>
      <c r="H51" s="6" t="s">
        <v>239</v>
      </c>
      <c r="I51" s="6" t="s">
        <v>287</v>
      </c>
      <c r="J51" s="2" t="s">
        <v>429</v>
      </c>
      <c r="K51" s="2" t="s">
        <v>92</v>
      </c>
      <c r="L51" s="2" t="s">
        <v>93</v>
      </c>
      <c r="M51" s="2"/>
      <c r="N51" s="2" t="s">
        <v>184</v>
      </c>
      <c r="O51" s="2" t="s">
        <v>430</v>
      </c>
      <c r="P51" s="2" t="s">
        <v>431</v>
      </c>
      <c r="Q51" s="6" t="s">
        <v>150</v>
      </c>
      <c r="R51" s="6" t="s">
        <v>98</v>
      </c>
      <c r="S51" s="9" t="s">
        <v>432</v>
      </c>
      <c r="T51" s="6"/>
      <c r="U51" s="6"/>
      <c r="V51" s="10"/>
      <c r="W51" s="10" t="s">
        <v>88</v>
      </c>
      <c r="X51" s="10"/>
      <c r="Y51" s="10"/>
    </row>
    <row r="52" customFormat="false" ht="15" hidden="false" customHeight="false" outlineLevel="0" collapsed="false">
      <c r="A52" s="6" t="n">
        <v>51</v>
      </c>
      <c r="B52" s="7" t="s">
        <v>433</v>
      </c>
      <c r="C52" s="6" t="str">
        <f aca="false">IF(U52&lt;&gt;"","Client",IF(D52&gt;=9,"A",IF(D52&gt;=7,"B","C")))</f>
        <v>A</v>
      </c>
      <c r="D52" s="6" t="n">
        <f aca="false">E52+F52+G52</f>
        <v>9</v>
      </c>
      <c r="E52" s="6" t="n">
        <v>4</v>
      </c>
      <c r="F52" s="6" t="n">
        <v>2</v>
      </c>
      <c r="G52" s="8" t="n">
        <v>3</v>
      </c>
      <c r="H52" s="6" t="s">
        <v>118</v>
      </c>
      <c r="I52" s="6" t="s">
        <v>287</v>
      </c>
      <c r="J52" s="2" t="s">
        <v>433</v>
      </c>
      <c r="K52" s="2" t="s">
        <v>92</v>
      </c>
      <c r="L52" s="2" t="s">
        <v>93</v>
      </c>
      <c r="M52" s="2"/>
      <c r="N52" s="2" t="s">
        <v>184</v>
      </c>
      <c r="O52" s="2" t="s">
        <v>434</v>
      </c>
      <c r="P52" s="2" t="s">
        <v>435</v>
      </c>
      <c r="Q52" s="6" t="s">
        <v>308</v>
      </c>
      <c r="R52" s="6" t="s">
        <v>85</v>
      </c>
      <c r="S52" s="9" t="s">
        <v>436</v>
      </c>
      <c r="T52" s="6"/>
      <c r="U52" s="6"/>
      <c r="V52" s="10"/>
      <c r="W52" s="10" t="s">
        <v>88</v>
      </c>
      <c r="X52" s="10"/>
      <c r="Y52" s="10"/>
    </row>
    <row r="53" customFormat="false" ht="23.85" hidden="false" customHeight="false" outlineLevel="0" collapsed="false">
      <c r="A53" s="6" t="n">
        <v>52</v>
      </c>
      <c r="B53" s="7" t="s">
        <v>437</v>
      </c>
      <c r="C53" s="6" t="str">
        <f aca="false">IF(U53&lt;&gt;"","Client",IF(D53&gt;=9,"A",IF(D53&gt;=7,"B","C")))</f>
        <v>A</v>
      </c>
      <c r="D53" s="6" t="n">
        <f aca="false">E53+F53+G53</f>
        <v>9</v>
      </c>
      <c r="E53" s="6" t="n">
        <v>4</v>
      </c>
      <c r="F53" s="6" t="n">
        <v>2</v>
      </c>
      <c r="G53" s="8" t="n">
        <v>3</v>
      </c>
      <c r="H53" s="6" t="s">
        <v>239</v>
      </c>
      <c r="I53" s="6" t="s">
        <v>287</v>
      </c>
      <c r="J53" s="2" t="s">
        <v>437</v>
      </c>
      <c r="K53" s="2" t="s">
        <v>438</v>
      </c>
      <c r="L53" s="2" t="s">
        <v>374</v>
      </c>
      <c r="M53" s="2"/>
      <c r="N53" s="2" t="s">
        <v>103</v>
      </c>
      <c r="O53" s="2" t="s">
        <v>381</v>
      </c>
      <c r="P53" s="2" t="s">
        <v>439</v>
      </c>
      <c r="Q53" s="6" t="s">
        <v>440</v>
      </c>
      <c r="R53" s="6" t="s">
        <v>85</v>
      </c>
      <c r="S53" s="9" t="s">
        <v>441</v>
      </c>
      <c r="T53" s="6"/>
      <c r="U53" s="6"/>
      <c r="V53" s="10"/>
      <c r="W53" s="10" t="s">
        <v>88</v>
      </c>
      <c r="X53" s="10"/>
      <c r="Y53" s="10"/>
    </row>
    <row r="54" customFormat="false" ht="35.05" hidden="false" customHeight="false" outlineLevel="0" collapsed="false">
      <c r="A54" s="6" t="n">
        <v>53</v>
      </c>
      <c r="B54" s="7" t="s">
        <v>442</v>
      </c>
      <c r="C54" s="6" t="str">
        <f aca="false">IF(U54&lt;&gt;"","Client",IF(D54&gt;=9,"A",IF(D54&gt;=7,"B","C")))</f>
        <v>A</v>
      </c>
      <c r="D54" s="6" t="n">
        <f aca="false">E54+F54+G54</f>
        <v>9</v>
      </c>
      <c r="E54" s="6" t="n">
        <v>4</v>
      </c>
      <c r="F54" s="6" t="n">
        <v>2</v>
      </c>
      <c r="G54" s="8" t="n">
        <v>3</v>
      </c>
      <c r="H54" s="6" t="s">
        <v>118</v>
      </c>
      <c r="I54" s="6" t="s">
        <v>287</v>
      </c>
      <c r="J54" s="2" t="s">
        <v>443</v>
      </c>
      <c r="K54" s="2" t="s">
        <v>444</v>
      </c>
      <c r="L54" s="2" t="s">
        <v>102</v>
      </c>
      <c r="M54" s="2"/>
      <c r="N54" s="2" t="s">
        <v>445</v>
      </c>
      <c r="O54" s="2" t="s">
        <v>446</v>
      </c>
      <c r="P54" s="2" t="s">
        <v>447</v>
      </c>
      <c r="Q54" s="6" t="s">
        <v>448</v>
      </c>
      <c r="R54" s="6" t="s">
        <v>85</v>
      </c>
      <c r="S54" s="9" t="s">
        <v>449</v>
      </c>
      <c r="T54" s="9" t="s">
        <v>450</v>
      </c>
      <c r="U54" s="6"/>
      <c r="V54" s="10"/>
      <c r="W54" s="10" t="s">
        <v>88</v>
      </c>
      <c r="X54" s="10"/>
      <c r="Y54" s="10"/>
    </row>
    <row r="55" customFormat="false" ht="23.85" hidden="false" customHeight="false" outlineLevel="0" collapsed="false">
      <c r="A55" s="6" t="n">
        <v>54</v>
      </c>
      <c r="B55" s="7" t="s">
        <v>451</v>
      </c>
      <c r="C55" s="6" t="str">
        <f aca="false">IF(U55&lt;&gt;"","Client",IF(D55&gt;=9,"A",IF(D55&gt;=7,"B","C")))</f>
        <v>A</v>
      </c>
      <c r="D55" s="6" t="n">
        <f aca="false">E55+F55+G55</f>
        <v>9</v>
      </c>
      <c r="E55" s="6" t="n">
        <v>4</v>
      </c>
      <c r="F55" s="6" t="n">
        <v>2</v>
      </c>
      <c r="G55" s="8" t="n">
        <v>3</v>
      </c>
      <c r="H55" s="6" t="s">
        <v>90</v>
      </c>
      <c r="I55" s="6" t="s">
        <v>287</v>
      </c>
      <c r="J55" s="2" t="s">
        <v>452</v>
      </c>
      <c r="K55" s="2" t="s">
        <v>92</v>
      </c>
      <c r="L55" s="2" t="s">
        <v>93</v>
      </c>
      <c r="M55" s="2"/>
      <c r="N55" s="2" t="s">
        <v>453</v>
      </c>
      <c r="O55" s="2" t="s">
        <v>454</v>
      </c>
      <c r="P55" s="2" t="s">
        <v>455</v>
      </c>
      <c r="Q55" s="6" t="s">
        <v>178</v>
      </c>
      <c r="R55" s="6" t="s">
        <v>98</v>
      </c>
      <c r="S55" s="9" t="s">
        <v>456</v>
      </c>
      <c r="T55" s="6"/>
      <c r="U55" s="6"/>
      <c r="V55" s="10"/>
      <c r="W55" s="10" t="s">
        <v>88</v>
      </c>
      <c r="X55" s="10"/>
      <c r="Y55" s="10"/>
    </row>
    <row r="56" customFormat="false" ht="35.05" hidden="false" customHeight="false" outlineLevel="0" collapsed="false">
      <c r="A56" s="6" t="n">
        <v>55</v>
      </c>
      <c r="B56" s="7" t="s">
        <v>457</v>
      </c>
      <c r="C56" s="6" t="str">
        <f aca="false">IF(U56&lt;&gt;"","Client",IF(D56&gt;=9,"A",IF(D56&gt;=7,"B","C")))</f>
        <v>A</v>
      </c>
      <c r="D56" s="6" t="n">
        <f aca="false">E56+F56+G56</f>
        <v>9</v>
      </c>
      <c r="E56" s="6" t="n">
        <v>4</v>
      </c>
      <c r="F56" s="6" t="n">
        <v>2</v>
      </c>
      <c r="G56" s="8" t="n">
        <v>3</v>
      </c>
      <c r="H56" s="6" t="s">
        <v>239</v>
      </c>
      <c r="I56" s="6" t="s">
        <v>287</v>
      </c>
      <c r="J56" s="2" t="s">
        <v>336</v>
      </c>
      <c r="K56" s="2" t="s">
        <v>458</v>
      </c>
      <c r="L56" s="2" t="s">
        <v>112</v>
      </c>
      <c r="M56" s="2"/>
      <c r="N56" s="2" t="s">
        <v>338</v>
      </c>
      <c r="O56" s="2" t="s">
        <v>459</v>
      </c>
      <c r="P56" s="2" t="s">
        <v>460</v>
      </c>
      <c r="Q56" s="6" t="s">
        <v>461</v>
      </c>
      <c r="R56" s="6" t="s">
        <v>106</v>
      </c>
      <c r="S56" s="9" t="s">
        <v>343</v>
      </c>
      <c r="T56" s="9" t="s">
        <v>131</v>
      </c>
      <c r="U56" s="6"/>
      <c r="V56" s="10"/>
      <c r="W56" s="10" t="s">
        <v>88</v>
      </c>
      <c r="X56" s="10"/>
      <c r="Y56" s="10"/>
    </row>
    <row r="57" customFormat="false" ht="23.85" hidden="false" customHeight="false" outlineLevel="0" collapsed="false">
      <c r="A57" s="6" t="n">
        <v>56</v>
      </c>
      <c r="B57" s="7" t="s">
        <v>462</v>
      </c>
      <c r="C57" s="6" t="str">
        <f aca="false">IF(U57&lt;&gt;"","Client",IF(D57&gt;=9,"A",IF(D57&gt;=7,"B","C")))</f>
        <v>A</v>
      </c>
      <c r="D57" s="6" t="n">
        <f aca="false">E57+F57+G57</f>
        <v>9</v>
      </c>
      <c r="E57" s="6" t="n">
        <v>4</v>
      </c>
      <c r="F57" s="6" t="n">
        <v>2</v>
      </c>
      <c r="G57" s="8" t="n">
        <v>3</v>
      </c>
      <c r="H57" s="6" t="s">
        <v>239</v>
      </c>
      <c r="I57" s="6" t="s">
        <v>287</v>
      </c>
      <c r="J57" s="2" t="s">
        <v>457</v>
      </c>
      <c r="K57" s="2" t="s">
        <v>92</v>
      </c>
      <c r="L57" s="2" t="s">
        <v>93</v>
      </c>
      <c r="M57" s="2"/>
      <c r="N57" s="2" t="s">
        <v>184</v>
      </c>
      <c r="O57" s="2" t="s">
        <v>463</v>
      </c>
      <c r="P57" s="2" t="s">
        <v>464</v>
      </c>
      <c r="Q57" s="6" t="s">
        <v>97</v>
      </c>
      <c r="R57" s="6" t="s">
        <v>85</v>
      </c>
      <c r="S57" s="9" t="s">
        <v>465</v>
      </c>
      <c r="T57" s="6"/>
      <c r="U57" s="6"/>
      <c r="V57" s="10"/>
      <c r="W57" s="10" t="s">
        <v>88</v>
      </c>
      <c r="X57" s="10"/>
      <c r="Y57" s="10"/>
    </row>
    <row r="58" customFormat="false" ht="124.6" hidden="false" customHeight="false" outlineLevel="0" collapsed="false">
      <c r="A58" s="6" t="n">
        <v>57</v>
      </c>
      <c r="B58" s="7" t="s">
        <v>466</v>
      </c>
      <c r="C58" s="6" t="str">
        <f aca="false">IF(U58&lt;&gt;"","Client",IF(D58&gt;=9,"A",IF(D58&gt;=7,"B","C")))</f>
        <v>A</v>
      </c>
      <c r="D58" s="6" t="n">
        <f aca="false">E58+F58+G58</f>
        <v>9</v>
      </c>
      <c r="E58" s="6" t="n">
        <v>4</v>
      </c>
      <c r="F58" s="6" t="n">
        <v>2</v>
      </c>
      <c r="G58" s="8" t="n">
        <v>3</v>
      </c>
      <c r="H58" s="6" t="s">
        <v>76</v>
      </c>
      <c r="I58" s="6" t="s">
        <v>287</v>
      </c>
      <c r="J58" s="2" t="s">
        <v>467</v>
      </c>
      <c r="K58" s="2" t="s">
        <v>468</v>
      </c>
      <c r="L58" s="2" t="s">
        <v>469</v>
      </c>
      <c r="M58" s="2"/>
      <c r="N58" s="2" t="s">
        <v>470</v>
      </c>
      <c r="O58" s="2" t="s">
        <v>471</v>
      </c>
      <c r="P58" s="2" t="s">
        <v>472</v>
      </c>
      <c r="Q58" s="6" t="s">
        <v>97</v>
      </c>
      <c r="R58" s="6" t="s">
        <v>85</v>
      </c>
      <c r="S58" s="9" t="s">
        <v>473</v>
      </c>
      <c r="T58" s="9" t="s">
        <v>474</v>
      </c>
      <c r="U58" s="6"/>
      <c r="V58" s="10"/>
      <c r="W58" s="10" t="s">
        <v>88</v>
      </c>
      <c r="X58" s="10"/>
      <c r="Y58" s="10"/>
    </row>
    <row r="59" customFormat="false" ht="23.85" hidden="false" customHeight="false" outlineLevel="0" collapsed="false">
      <c r="A59" s="6" t="n">
        <v>58</v>
      </c>
      <c r="B59" s="7" t="s">
        <v>475</v>
      </c>
      <c r="C59" s="6" t="str">
        <f aca="false">IF(U59&lt;&gt;"","Client",IF(D59&gt;=9,"A",IF(D59&gt;=7,"B","C")))</f>
        <v>A</v>
      </c>
      <c r="D59" s="6" t="n">
        <f aca="false">E59+F59+G59</f>
        <v>9</v>
      </c>
      <c r="E59" s="6" t="n">
        <v>4</v>
      </c>
      <c r="F59" s="6" t="n">
        <v>2</v>
      </c>
      <c r="G59" s="8" t="n">
        <v>3</v>
      </c>
      <c r="H59" s="6" t="s">
        <v>118</v>
      </c>
      <c r="I59" s="6" t="s">
        <v>287</v>
      </c>
      <c r="J59" s="2" t="s">
        <v>476</v>
      </c>
      <c r="K59" s="2" t="s">
        <v>92</v>
      </c>
      <c r="L59" s="2" t="s">
        <v>93</v>
      </c>
      <c r="M59" s="2"/>
      <c r="N59" s="2" t="s">
        <v>184</v>
      </c>
      <c r="O59" s="2" t="s">
        <v>477</v>
      </c>
      <c r="P59" s="2" t="s">
        <v>478</v>
      </c>
      <c r="Q59" s="6" t="s">
        <v>97</v>
      </c>
      <c r="R59" s="6" t="s">
        <v>98</v>
      </c>
      <c r="S59" s="9" t="s">
        <v>479</v>
      </c>
      <c r="T59" s="6"/>
      <c r="U59" s="6"/>
      <c r="V59" s="10"/>
      <c r="W59" s="10" t="s">
        <v>88</v>
      </c>
      <c r="X59" s="10"/>
      <c r="Y59" s="10"/>
    </row>
    <row r="60" customFormat="false" ht="15" hidden="false" customHeight="false" outlineLevel="0" collapsed="false">
      <c r="A60" s="6" t="n">
        <v>59</v>
      </c>
      <c r="B60" s="7" t="s">
        <v>480</v>
      </c>
      <c r="C60" s="6" t="str">
        <f aca="false">IF(U60&lt;&gt;"","Client",IF(D60&gt;=9,"A",IF(D60&gt;=7,"B","C")))</f>
        <v>A</v>
      </c>
      <c r="D60" s="6" t="n">
        <f aca="false">E60+F60+G60</f>
        <v>9</v>
      </c>
      <c r="E60" s="6" t="n">
        <v>4</v>
      </c>
      <c r="F60" s="6" t="n">
        <v>2</v>
      </c>
      <c r="G60" s="8" t="n">
        <v>3</v>
      </c>
      <c r="H60" s="6" t="s">
        <v>239</v>
      </c>
      <c r="I60" s="6" t="s">
        <v>287</v>
      </c>
      <c r="J60" s="2" t="s">
        <v>481</v>
      </c>
      <c r="K60" s="2" t="s">
        <v>92</v>
      </c>
      <c r="L60" s="2" t="s">
        <v>93</v>
      </c>
      <c r="M60" s="2"/>
      <c r="N60" s="2" t="s">
        <v>482</v>
      </c>
      <c r="O60" s="2" t="s">
        <v>483</v>
      </c>
      <c r="P60" s="2" t="s">
        <v>484</v>
      </c>
      <c r="Q60" s="6" t="s">
        <v>97</v>
      </c>
      <c r="R60" s="6" t="s">
        <v>98</v>
      </c>
      <c r="S60" s="6"/>
      <c r="T60" s="6"/>
      <c r="U60" s="6"/>
      <c r="V60" s="10"/>
      <c r="W60" s="10" t="s">
        <v>88</v>
      </c>
      <c r="X60" s="10"/>
      <c r="Y60" s="10"/>
    </row>
    <row r="61" customFormat="false" ht="23.85" hidden="false" customHeight="false" outlineLevel="0" collapsed="false">
      <c r="A61" s="6" t="n">
        <v>60</v>
      </c>
      <c r="B61" s="7" t="s">
        <v>485</v>
      </c>
      <c r="C61" s="6" t="str">
        <f aca="false">IF(U61&lt;&gt;"","Client",IF(D61&gt;=9,"A",IF(D61&gt;=7,"B","C")))</f>
        <v>A</v>
      </c>
      <c r="D61" s="6" t="n">
        <f aca="false">E61+F61+G61</f>
        <v>9</v>
      </c>
      <c r="E61" s="6" t="n">
        <v>4</v>
      </c>
      <c r="F61" s="6" t="n">
        <v>2</v>
      </c>
      <c r="G61" s="8" t="n">
        <v>3</v>
      </c>
      <c r="H61" s="6" t="s">
        <v>118</v>
      </c>
      <c r="I61" s="6" t="s">
        <v>287</v>
      </c>
      <c r="J61" s="2" t="s">
        <v>486</v>
      </c>
      <c r="K61" s="2" t="s">
        <v>92</v>
      </c>
      <c r="L61" s="2" t="s">
        <v>93</v>
      </c>
      <c r="M61" s="2"/>
      <c r="N61" s="2" t="s">
        <v>184</v>
      </c>
      <c r="O61" s="2" t="s">
        <v>487</v>
      </c>
      <c r="P61" s="2" t="s">
        <v>488</v>
      </c>
      <c r="Q61" s="6" t="s">
        <v>178</v>
      </c>
      <c r="R61" s="6" t="s">
        <v>98</v>
      </c>
      <c r="S61" s="9" t="s">
        <v>489</v>
      </c>
      <c r="T61" s="6"/>
      <c r="U61" s="6"/>
      <c r="V61" s="10"/>
      <c r="W61" s="10" t="s">
        <v>88</v>
      </c>
      <c r="X61" s="10"/>
      <c r="Y61" s="10"/>
    </row>
    <row r="62" customFormat="false" ht="23.85" hidden="false" customHeight="false" outlineLevel="0" collapsed="false">
      <c r="A62" s="6" t="n">
        <v>61</v>
      </c>
      <c r="B62" s="7" t="s">
        <v>490</v>
      </c>
      <c r="C62" s="6" t="str">
        <f aca="false">IF(U62&lt;&gt;"","Client",IF(D62&gt;=9,"A",IF(D62&gt;=7,"B","C")))</f>
        <v>A</v>
      </c>
      <c r="D62" s="6" t="n">
        <f aca="false">E62+F62+G62</f>
        <v>9</v>
      </c>
      <c r="E62" s="6" t="n">
        <v>4</v>
      </c>
      <c r="F62" s="6" t="n">
        <v>2</v>
      </c>
      <c r="G62" s="8" t="n">
        <v>3</v>
      </c>
      <c r="H62" s="6" t="s">
        <v>90</v>
      </c>
      <c r="I62" s="6" t="s">
        <v>287</v>
      </c>
      <c r="J62" s="2" t="s">
        <v>491</v>
      </c>
      <c r="K62" s="2" t="s">
        <v>92</v>
      </c>
      <c r="L62" s="2" t="s">
        <v>93</v>
      </c>
      <c r="M62" s="2"/>
      <c r="N62" s="2" t="s">
        <v>184</v>
      </c>
      <c r="O62" s="2" t="s">
        <v>492</v>
      </c>
      <c r="P62" s="2" t="s">
        <v>493</v>
      </c>
      <c r="Q62" s="6" t="s">
        <v>84</v>
      </c>
      <c r="R62" s="6" t="s">
        <v>98</v>
      </c>
      <c r="S62" s="9" t="s">
        <v>494</v>
      </c>
      <c r="T62" s="6"/>
      <c r="U62" s="6"/>
      <c r="V62" s="10"/>
      <c r="W62" s="10" t="s">
        <v>88</v>
      </c>
      <c r="X62" s="10"/>
      <c r="Y62" s="10"/>
    </row>
    <row r="63" customFormat="false" ht="15" hidden="false" customHeight="false" outlineLevel="0" collapsed="false">
      <c r="A63" s="6" t="n">
        <v>62</v>
      </c>
      <c r="B63" s="7" t="s">
        <v>495</v>
      </c>
      <c r="C63" s="6" t="str">
        <f aca="false">IF(U63&lt;&gt;"","Client",IF(D63&gt;=9,"A",IF(D63&gt;=7,"B","C")))</f>
        <v>A</v>
      </c>
      <c r="D63" s="6" t="n">
        <f aca="false">E63+F63+G63</f>
        <v>9</v>
      </c>
      <c r="E63" s="6" t="n">
        <v>4</v>
      </c>
      <c r="F63" s="6" t="n">
        <v>2</v>
      </c>
      <c r="G63" s="8" t="n">
        <v>3</v>
      </c>
      <c r="H63" s="6" t="s">
        <v>239</v>
      </c>
      <c r="I63" s="6" t="s">
        <v>287</v>
      </c>
      <c r="J63" s="2" t="s">
        <v>495</v>
      </c>
      <c r="K63" s="2" t="s">
        <v>92</v>
      </c>
      <c r="L63" s="2" t="s">
        <v>93</v>
      </c>
      <c r="M63" s="2"/>
      <c r="N63" s="2" t="s">
        <v>184</v>
      </c>
      <c r="O63" s="2" t="s">
        <v>496</v>
      </c>
      <c r="P63" s="2" t="s">
        <v>497</v>
      </c>
      <c r="Q63" s="6" t="s">
        <v>256</v>
      </c>
      <c r="R63" s="6" t="s">
        <v>85</v>
      </c>
      <c r="S63" s="9" t="s">
        <v>498</v>
      </c>
      <c r="T63" s="6"/>
      <c r="U63" s="6"/>
      <c r="V63" s="10"/>
      <c r="W63" s="10" t="s">
        <v>88</v>
      </c>
      <c r="X63" s="10"/>
      <c r="Y63" s="10"/>
    </row>
    <row r="64" customFormat="false" ht="23.85" hidden="false" customHeight="false" outlineLevel="0" collapsed="false">
      <c r="A64" s="6" t="n">
        <v>63</v>
      </c>
      <c r="B64" s="7" t="s">
        <v>499</v>
      </c>
      <c r="C64" s="6" t="str">
        <f aca="false">IF(U64&lt;&gt;"","Client",IF(D64&gt;=9,"A",IF(D64&gt;=7,"B","C")))</f>
        <v>A</v>
      </c>
      <c r="D64" s="6" t="n">
        <f aca="false">E64+F64+G64</f>
        <v>9</v>
      </c>
      <c r="E64" s="6" t="n">
        <v>4</v>
      </c>
      <c r="F64" s="6" t="n">
        <v>2</v>
      </c>
      <c r="G64" s="8" t="n">
        <v>3</v>
      </c>
      <c r="H64" s="6" t="s">
        <v>76</v>
      </c>
      <c r="I64" s="6" t="s">
        <v>287</v>
      </c>
      <c r="J64" s="2" t="s">
        <v>500</v>
      </c>
      <c r="K64" s="2" t="s">
        <v>501</v>
      </c>
      <c r="L64" s="2" t="s">
        <v>102</v>
      </c>
      <c r="M64" s="2"/>
      <c r="N64" s="2" t="s">
        <v>103</v>
      </c>
      <c r="O64" s="2" t="s">
        <v>502</v>
      </c>
      <c r="P64" s="2" t="s">
        <v>503</v>
      </c>
      <c r="Q64" s="6" t="s">
        <v>504</v>
      </c>
      <c r="R64" s="6" t="s">
        <v>85</v>
      </c>
      <c r="S64" s="9" t="s">
        <v>505</v>
      </c>
      <c r="T64" s="6"/>
      <c r="U64" s="6"/>
      <c r="V64" s="10"/>
      <c r="W64" s="10" t="s">
        <v>88</v>
      </c>
      <c r="X64" s="10"/>
      <c r="Y64" s="10"/>
    </row>
    <row r="65" customFormat="false" ht="23.85" hidden="false" customHeight="false" outlineLevel="0" collapsed="false">
      <c r="A65" s="6" t="n">
        <v>64</v>
      </c>
      <c r="B65" s="7" t="s">
        <v>506</v>
      </c>
      <c r="C65" s="6" t="str">
        <f aca="false">IF(U65&lt;&gt;"","Client",IF(D65&gt;=9,"A",IF(D65&gt;=7,"B","C")))</f>
        <v>B</v>
      </c>
      <c r="D65" s="6" t="n">
        <f aca="false">E65+F65+G65</f>
        <v>8</v>
      </c>
      <c r="E65" s="6" t="n">
        <v>2</v>
      </c>
      <c r="F65" s="6" t="n">
        <v>3</v>
      </c>
      <c r="G65" s="8" t="n">
        <v>3</v>
      </c>
      <c r="H65" s="6" t="s">
        <v>507</v>
      </c>
      <c r="I65" s="6" t="s">
        <v>77</v>
      </c>
      <c r="J65" s="2" t="s">
        <v>508</v>
      </c>
      <c r="K65" s="2" t="s">
        <v>92</v>
      </c>
      <c r="L65" s="2" t="s">
        <v>93</v>
      </c>
      <c r="M65" s="2"/>
      <c r="N65" s="2" t="s">
        <v>94</v>
      </c>
      <c r="O65" s="2" t="s">
        <v>509</v>
      </c>
      <c r="P65" s="2" t="s">
        <v>510</v>
      </c>
      <c r="Q65" s="6" t="s">
        <v>511</v>
      </c>
      <c r="R65" s="6" t="s">
        <v>98</v>
      </c>
      <c r="S65" s="9" t="s">
        <v>512</v>
      </c>
      <c r="T65" s="6"/>
      <c r="U65" s="6"/>
      <c r="V65" s="10"/>
      <c r="W65" s="10" t="s">
        <v>88</v>
      </c>
      <c r="X65" s="10"/>
      <c r="Y65" s="10"/>
    </row>
    <row r="66" customFormat="false" ht="23.85" hidden="false" customHeight="false" outlineLevel="0" collapsed="false">
      <c r="A66" s="6" t="n">
        <v>65</v>
      </c>
      <c r="B66" s="7" t="s">
        <v>513</v>
      </c>
      <c r="C66" s="6" t="str">
        <f aca="false">IF(U66&lt;&gt;"","Client",IF(D66&gt;=9,"A",IF(D66&gt;=7,"B","C")))</f>
        <v>B</v>
      </c>
      <c r="D66" s="6" t="n">
        <f aca="false">E66+F66+G66</f>
        <v>8</v>
      </c>
      <c r="E66" s="6" t="n">
        <v>3</v>
      </c>
      <c r="F66" s="6" t="n">
        <v>3</v>
      </c>
      <c r="G66" s="8" t="n">
        <v>2</v>
      </c>
      <c r="H66" s="6" t="s">
        <v>164</v>
      </c>
      <c r="I66" s="6" t="s">
        <v>77</v>
      </c>
      <c r="J66" s="2" t="s">
        <v>514</v>
      </c>
      <c r="K66" s="2" t="s">
        <v>92</v>
      </c>
      <c r="L66" s="2" t="s">
        <v>93</v>
      </c>
      <c r="M66" s="2"/>
      <c r="N66" s="2" t="s">
        <v>219</v>
      </c>
      <c r="O66" s="2" t="s">
        <v>515</v>
      </c>
      <c r="P66" s="2" t="s">
        <v>516</v>
      </c>
      <c r="Q66" s="6" t="s">
        <v>517</v>
      </c>
      <c r="R66" s="6" t="s">
        <v>98</v>
      </c>
      <c r="S66" s="9" t="s">
        <v>518</v>
      </c>
      <c r="T66" s="6"/>
      <c r="U66" s="6"/>
      <c r="V66" s="10"/>
      <c r="W66" s="10" t="s">
        <v>88</v>
      </c>
      <c r="X66" s="10"/>
      <c r="Y66" s="10"/>
    </row>
    <row r="67" customFormat="false" ht="15" hidden="false" customHeight="false" outlineLevel="0" collapsed="false">
      <c r="A67" s="6" t="n">
        <v>66</v>
      </c>
      <c r="B67" s="7" t="s">
        <v>519</v>
      </c>
      <c r="C67" s="6" t="str">
        <f aca="false">IF(U67&lt;&gt;"","Client",IF(D67&gt;=9,"A",IF(D67&gt;=7,"B","C")))</f>
        <v>B</v>
      </c>
      <c r="D67" s="6" t="n">
        <f aca="false">E67+F67+G67</f>
        <v>8</v>
      </c>
      <c r="E67" s="6" t="n">
        <v>4</v>
      </c>
      <c r="F67" s="6" t="n">
        <v>3</v>
      </c>
      <c r="G67" s="8" t="n">
        <v>1</v>
      </c>
      <c r="H67" s="6" t="s">
        <v>118</v>
      </c>
      <c r="I67" s="6" t="s">
        <v>77</v>
      </c>
      <c r="J67" s="2" t="s">
        <v>520</v>
      </c>
      <c r="K67" s="2" t="s">
        <v>92</v>
      </c>
      <c r="L67" s="2" t="s">
        <v>93</v>
      </c>
      <c r="M67" s="2"/>
      <c r="N67" s="2" t="s">
        <v>521</v>
      </c>
      <c r="O67" s="2" t="s">
        <v>522</v>
      </c>
      <c r="P67" s="2" t="s">
        <v>285</v>
      </c>
      <c r="Q67" s="6" t="s">
        <v>97</v>
      </c>
      <c r="R67" s="6" t="s">
        <v>98</v>
      </c>
      <c r="S67" s="6"/>
      <c r="T67" s="6"/>
      <c r="U67" s="6"/>
      <c r="V67" s="10"/>
      <c r="W67" s="10" t="s">
        <v>88</v>
      </c>
      <c r="X67" s="10"/>
      <c r="Y67" s="10"/>
    </row>
    <row r="68" customFormat="false" ht="15" hidden="false" customHeight="false" outlineLevel="0" collapsed="false">
      <c r="A68" s="6" t="n">
        <v>67</v>
      </c>
      <c r="B68" s="7" t="s">
        <v>523</v>
      </c>
      <c r="C68" s="6" t="str">
        <f aca="false">IF(U68&lt;&gt;"","Client",IF(D68&gt;=9,"A",IF(D68&gt;=7,"B","C")))</f>
        <v>B</v>
      </c>
      <c r="D68" s="6" t="n">
        <f aca="false">E68+F68+G68</f>
        <v>8</v>
      </c>
      <c r="E68" s="6" t="n">
        <v>4</v>
      </c>
      <c r="F68" s="6" t="n">
        <v>3</v>
      </c>
      <c r="G68" s="8" t="n">
        <v>1</v>
      </c>
      <c r="H68" s="6" t="s">
        <v>76</v>
      </c>
      <c r="I68" s="6" t="s">
        <v>77</v>
      </c>
      <c r="J68" s="2" t="s">
        <v>524</v>
      </c>
      <c r="K68" s="2" t="s">
        <v>92</v>
      </c>
      <c r="L68" s="2" t="s">
        <v>93</v>
      </c>
      <c r="M68" s="2"/>
      <c r="N68" s="2" t="s">
        <v>521</v>
      </c>
      <c r="O68" s="2" t="s">
        <v>525</v>
      </c>
      <c r="P68" s="2" t="s">
        <v>526</v>
      </c>
      <c r="Q68" s="6" t="s">
        <v>97</v>
      </c>
      <c r="R68" s="6" t="s">
        <v>98</v>
      </c>
      <c r="S68" s="6"/>
      <c r="T68" s="6"/>
      <c r="U68" s="6"/>
      <c r="V68" s="10"/>
      <c r="W68" s="10" t="s">
        <v>88</v>
      </c>
      <c r="X68" s="10"/>
      <c r="Y68" s="10"/>
    </row>
    <row r="69" customFormat="false" ht="23.85" hidden="false" customHeight="false" outlineLevel="0" collapsed="false">
      <c r="A69" s="6" t="n">
        <v>68</v>
      </c>
      <c r="B69" s="7" t="s">
        <v>527</v>
      </c>
      <c r="C69" s="6" t="str">
        <f aca="false">IF(U69&lt;&gt;"","Client",IF(D69&gt;=9,"A",IF(D69&gt;=7,"B","C")))</f>
        <v>B</v>
      </c>
      <c r="D69" s="6" t="n">
        <f aca="false">E69+F69+G69</f>
        <v>8</v>
      </c>
      <c r="E69" s="6" t="n">
        <v>4</v>
      </c>
      <c r="F69" s="6" t="n">
        <v>3</v>
      </c>
      <c r="G69" s="8" t="n">
        <v>1</v>
      </c>
      <c r="H69" s="6" t="s">
        <v>239</v>
      </c>
      <c r="I69" s="6" t="s">
        <v>77</v>
      </c>
      <c r="J69" s="2" t="s">
        <v>528</v>
      </c>
      <c r="K69" s="2" t="s">
        <v>529</v>
      </c>
      <c r="L69" s="2" t="s">
        <v>167</v>
      </c>
      <c r="M69" s="2"/>
      <c r="N69" s="2" t="s">
        <v>530</v>
      </c>
      <c r="O69" s="2" t="s">
        <v>531</v>
      </c>
      <c r="P69" s="2" t="s">
        <v>532</v>
      </c>
      <c r="Q69" s="6" t="s">
        <v>533</v>
      </c>
      <c r="R69" s="6" t="s">
        <v>98</v>
      </c>
      <c r="S69" s="9" t="s">
        <v>534</v>
      </c>
      <c r="T69" s="6"/>
      <c r="U69" s="6"/>
      <c r="V69" s="10"/>
      <c r="W69" s="10" t="s">
        <v>88</v>
      </c>
      <c r="X69" s="10"/>
      <c r="Y69" s="10"/>
    </row>
    <row r="70" customFormat="false" ht="23.85" hidden="false" customHeight="false" outlineLevel="0" collapsed="false">
      <c r="A70" s="6" t="n">
        <v>69</v>
      </c>
      <c r="B70" s="7" t="s">
        <v>535</v>
      </c>
      <c r="C70" s="6" t="str">
        <f aca="false">IF(U70&lt;&gt;"","Client",IF(D70&gt;=9,"A",IF(D70&gt;=7,"B","C")))</f>
        <v>B</v>
      </c>
      <c r="D70" s="6" t="n">
        <f aca="false">E70+F70+G70</f>
        <v>8</v>
      </c>
      <c r="E70" s="6" t="n">
        <v>4</v>
      </c>
      <c r="F70" s="6" t="n">
        <v>3</v>
      </c>
      <c r="G70" s="8" t="n">
        <v>1</v>
      </c>
      <c r="H70" s="6" t="s">
        <v>118</v>
      </c>
      <c r="I70" s="6" t="s">
        <v>77</v>
      </c>
      <c r="J70" s="2" t="s">
        <v>536</v>
      </c>
      <c r="K70" s="2" t="s">
        <v>537</v>
      </c>
      <c r="L70" s="2" t="s">
        <v>127</v>
      </c>
      <c r="M70" s="2"/>
      <c r="N70" s="2" t="s">
        <v>538</v>
      </c>
      <c r="O70" s="2" t="s">
        <v>539</v>
      </c>
      <c r="P70" s="2" t="s">
        <v>540</v>
      </c>
      <c r="Q70" s="6" t="s">
        <v>448</v>
      </c>
      <c r="R70" s="6" t="s">
        <v>85</v>
      </c>
      <c r="S70" s="9" t="s">
        <v>541</v>
      </c>
      <c r="T70" s="6"/>
      <c r="U70" s="6"/>
      <c r="V70" s="10"/>
      <c r="W70" s="10" t="s">
        <v>88</v>
      </c>
      <c r="X70" s="10"/>
      <c r="Y70" s="10"/>
    </row>
    <row r="71" customFormat="false" ht="23.85" hidden="false" customHeight="false" outlineLevel="0" collapsed="false">
      <c r="A71" s="6" t="n">
        <v>70</v>
      </c>
      <c r="B71" s="7" t="s">
        <v>542</v>
      </c>
      <c r="C71" s="6" t="str">
        <f aca="false">IF(U71&lt;&gt;"","Client",IF(D71&gt;=9,"A",IF(D71&gt;=7,"B","C")))</f>
        <v>B</v>
      </c>
      <c r="D71" s="6" t="n">
        <f aca="false">E71+F71+G71</f>
        <v>8</v>
      </c>
      <c r="E71" s="6" t="n">
        <v>4</v>
      </c>
      <c r="F71" s="6" t="n">
        <v>3</v>
      </c>
      <c r="G71" s="8" t="n">
        <v>1</v>
      </c>
      <c r="H71" s="6" t="s">
        <v>239</v>
      </c>
      <c r="I71" s="6" t="s">
        <v>77</v>
      </c>
      <c r="J71" s="2" t="s">
        <v>543</v>
      </c>
      <c r="K71" s="2" t="s">
        <v>544</v>
      </c>
      <c r="L71" s="2" t="s">
        <v>127</v>
      </c>
      <c r="M71" s="2"/>
      <c r="N71" s="2" t="s">
        <v>538</v>
      </c>
      <c r="O71" s="2" t="s">
        <v>545</v>
      </c>
      <c r="P71" s="2" t="s">
        <v>546</v>
      </c>
      <c r="Q71" s="6" t="s">
        <v>97</v>
      </c>
      <c r="R71" s="6" t="s">
        <v>106</v>
      </c>
      <c r="S71" s="9" t="s">
        <v>547</v>
      </c>
      <c r="T71" s="6"/>
      <c r="U71" s="6"/>
      <c r="V71" s="10"/>
      <c r="W71" s="10" t="s">
        <v>88</v>
      </c>
      <c r="X71" s="10"/>
      <c r="Y71" s="10"/>
    </row>
    <row r="72" customFormat="false" ht="15" hidden="false" customHeight="false" outlineLevel="0" collapsed="false">
      <c r="A72" s="6" t="n">
        <v>71</v>
      </c>
      <c r="B72" s="7" t="s">
        <v>548</v>
      </c>
      <c r="C72" s="6" t="str">
        <f aca="false">IF(U72&lt;&gt;"","Client",IF(D72&gt;=9,"A",IF(D72&gt;=7,"B","C")))</f>
        <v>B</v>
      </c>
      <c r="D72" s="6" t="n">
        <f aca="false">E72+F72+G72</f>
        <v>8</v>
      </c>
      <c r="E72" s="6" t="n">
        <v>4</v>
      </c>
      <c r="F72" s="6" t="n">
        <v>3</v>
      </c>
      <c r="G72" s="8" t="n">
        <v>1</v>
      </c>
      <c r="H72" s="6" t="s">
        <v>118</v>
      </c>
      <c r="I72" s="6" t="s">
        <v>77</v>
      </c>
      <c r="J72" s="2" t="s">
        <v>549</v>
      </c>
      <c r="K72" s="2" t="s">
        <v>92</v>
      </c>
      <c r="L72" s="2" t="s">
        <v>93</v>
      </c>
      <c r="M72" s="2"/>
      <c r="N72" s="2" t="s">
        <v>521</v>
      </c>
      <c r="O72" s="2" t="s">
        <v>550</v>
      </c>
      <c r="P72" s="2" t="s">
        <v>285</v>
      </c>
      <c r="Q72" s="6" t="s">
        <v>97</v>
      </c>
      <c r="R72" s="6" t="s">
        <v>98</v>
      </c>
      <c r="S72" s="6"/>
      <c r="T72" s="6"/>
      <c r="U72" s="6"/>
      <c r="V72" s="10"/>
      <c r="W72" s="10" t="s">
        <v>88</v>
      </c>
      <c r="X72" s="10"/>
      <c r="Y72" s="10"/>
    </row>
    <row r="73" customFormat="false" ht="15" hidden="false" customHeight="false" outlineLevel="0" collapsed="false">
      <c r="A73" s="6" t="n">
        <v>72</v>
      </c>
      <c r="B73" s="7" t="s">
        <v>551</v>
      </c>
      <c r="C73" s="6" t="str">
        <f aca="false">IF(U73&lt;&gt;"","Client",IF(D73&gt;=9,"A",IF(D73&gt;=7,"B","C")))</f>
        <v>B</v>
      </c>
      <c r="D73" s="6" t="n">
        <f aca="false">E73+F73+G73</f>
        <v>8</v>
      </c>
      <c r="E73" s="6" t="n">
        <v>4</v>
      </c>
      <c r="F73" s="6" t="n">
        <v>3</v>
      </c>
      <c r="G73" s="8" t="n">
        <v>1</v>
      </c>
      <c r="H73" s="6" t="s">
        <v>239</v>
      </c>
      <c r="I73" s="6" t="s">
        <v>77</v>
      </c>
      <c r="J73" s="2" t="s">
        <v>552</v>
      </c>
      <c r="K73" s="2" t="s">
        <v>92</v>
      </c>
      <c r="L73" s="2" t="s">
        <v>93</v>
      </c>
      <c r="M73" s="2"/>
      <c r="N73" s="2" t="s">
        <v>521</v>
      </c>
      <c r="O73" s="2" t="s">
        <v>553</v>
      </c>
      <c r="P73" s="2" t="s">
        <v>554</v>
      </c>
      <c r="Q73" s="6" t="s">
        <v>97</v>
      </c>
      <c r="R73" s="6" t="s">
        <v>98</v>
      </c>
      <c r="S73" s="6"/>
      <c r="T73" s="6"/>
      <c r="U73" s="6"/>
      <c r="V73" s="10"/>
      <c r="W73" s="10" t="s">
        <v>88</v>
      </c>
      <c r="X73" s="10"/>
      <c r="Y73" s="10"/>
    </row>
    <row r="74" customFormat="false" ht="23.85" hidden="false" customHeight="false" outlineLevel="0" collapsed="false">
      <c r="A74" s="6" t="n">
        <v>73</v>
      </c>
      <c r="B74" s="7" t="s">
        <v>555</v>
      </c>
      <c r="C74" s="6" t="str">
        <f aca="false">IF(U74&lt;&gt;"","Client",IF(D74&gt;=9,"A",IF(D74&gt;=7,"B","C")))</f>
        <v>B</v>
      </c>
      <c r="D74" s="6" t="n">
        <f aca="false">E74+F74+G74</f>
        <v>8</v>
      </c>
      <c r="E74" s="6" t="n">
        <v>4</v>
      </c>
      <c r="F74" s="6" t="n">
        <v>3</v>
      </c>
      <c r="G74" s="8" t="n">
        <v>1</v>
      </c>
      <c r="H74" s="6" t="s">
        <v>239</v>
      </c>
      <c r="I74" s="6" t="s">
        <v>77</v>
      </c>
      <c r="J74" s="2" t="s">
        <v>543</v>
      </c>
      <c r="K74" s="2" t="s">
        <v>544</v>
      </c>
      <c r="L74" s="2" t="s">
        <v>127</v>
      </c>
      <c r="M74" s="2"/>
      <c r="N74" s="2" t="s">
        <v>538</v>
      </c>
      <c r="O74" s="2" t="s">
        <v>545</v>
      </c>
      <c r="P74" s="2" t="s">
        <v>556</v>
      </c>
      <c r="Q74" s="6" t="s">
        <v>97</v>
      </c>
      <c r="R74" s="6" t="s">
        <v>106</v>
      </c>
      <c r="S74" s="9" t="s">
        <v>547</v>
      </c>
      <c r="T74" s="6"/>
      <c r="U74" s="6"/>
      <c r="V74" s="10"/>
      <c r="W74" s="10" t="s">
        <v>88</v>
      </c>
      <c r="X74" s="10"/>
      <c r="Y74" s="10"/>
    </row>
    <row r="75" customFormat="false" ht="23.85" hidden="false" customHeight="false" outlineLevel="0" collapsed="false">
      <c r="A75" s="6" t="n">
        <v>74</v>
      </c>
      <c r="B75" s="7" t="s">
        <v>557</v>
      </c>
      <c r="C75" s="6" t="str">
        <f aca="false">IF(U75&lt;&gt;"","Client",IF(D75&gt;=9,"A",IF(D75&gt;=7,"B","C")))</f>
        <v>B</v>
      </c>
      <c r="D75" s="6" t="n">
        <f aca="false">E75+F75+G75</f>
        <v>8</v>
      </c>
      <c r="E75" s="6" t="n">
        <v>4</v>
      </c>
      <c r="F75" s="6" t="n">
        <v>3</v>
      </c>
      <c r="G75" s="8" t="n">
        <v>1</v>
      </c>
      <c r="H75" s="6" t="s">
        <v>239</v>
      </c>
      <c r="I75" s="6" t="s">
        <v>77</v>
      </c>
      <c r="J75" s="2" t="s">
        <v>558</v>
      </c>
      <c r="K75" s="2" t="s">
        <v>559</v>
      </c>
      <c r="L75" s="2" t="s">
        <v>127</v>
      </c>
      <c r="M75" s="2"/>
      <c r="N75" s="2" t="s">
        <v>530</v>
      </c>
      <c r="O75" s="2" t="s">
        <v>560</v>
      </c>
      <c r="P75" s="2" t="s">
        <v>561</v>
      </c>
      <c r="Q75" s="6" t="s">
        <v>97</v>
      </c>
      <c r="R75" s="6" t="s">
        <v>106</v>
      </c>
      <c r="S75" s="9" t="s">
        <v>562</v>
      </c>
      <c r="T75" s="6"/>
      <c r="U75" s="6"/>
      <c r="V75" s="10"/>
      <c r="W75" s="10" t="s">
        <v>88</v>
      </c>
      <c r="X75" s="10"/>
      <c r="Y75" s="10"/>
    </row>
    <row r="76" customFormat="false" ht="23.85" hidden="false" customHeight="false" outlineLevel="0" collapsed="false">
      <c r="A76" s="6" t="n">
        <v>75</v>
      </c>
      <c r="B76" s="7" t="s">
        <v>563</v>
      </c>
      <c r="C76" s="6" t="str">
        <f aca="false">IF(U76&lt;&gt;"","Client",IF(D76&gt;=9,"A",IF(D76&gt;=7,"B","C")))</f>
        <v>B</v>
      </c>
      <c r="D76" s="6" t="n">
        <f aca="false">E76+F76+G76</f>
        <v>8</v>
      </c>
      <c r="E76" s="6" t="n">
        <v>4</v>
      </c>
      <c r="F76" s="6" t="n">
        <v>3</v>
      </c>
      <c r="G76" s="8" t="n">
        <v>1</v>
      </c>
      <c r="H76" s="6" t="s">
        <v>118</v>
      </c>
      <c r="I76" s="6" t="s">
        <v>77</v>
      </c>
      <c r="J76" s="2" t="s">
        <v>564</v>
      </c>
      <c r="K76" s="2" t="s">
        <v>92</v>
      </c>
      <c r="L76" s="2" t="s">
        <v>93</v>
      </c>
      <c r="M76" s="2"/>
      <c r="N76" s="2" t="s">
        <v>521</v>
      </c>
      <c r="O76" s="2" t="s">
        <v>565</v>
      </c>
      <c r="P76" s="2" t="s">
        <v>566</v>
      </c>
      <c r="Q76" s="6" t="s">
        <v>178</v>
      </c>
      <c r="R76" s="6" t="s">
        <v>98</v>
      </c>
      <c r="S76" s="9" t="s">
        <v>567</v>
      </c>
      <c r="T76" s="6"/>
      <c r="U76" s="6"/>
      <c r="V76" s="10"/>
      <c r="W76" s="10" t="s">
        <v>88</v>
      </c>
      <c r="X76" s="10"/>
      <c r="Y76" s="10"/>
    </row>
    <row r="77" customFormat="false" ht="23.85" hidden="false" customHeight="false" outlineLevel="0" collapsed="false">
      <c r="A77" s="6" t="n">
        <v>76</v>
      </c>
      <c r="B77" s="7" t="s">
        <v>568</v>
      </c>
      <c r="C77" s="6" t="str">
        <f aca="false">IF(U77&lt;&gt;"","Client",IF(D77&gt;=9,"A",IF(D77&gt;=7,"B","C")))</f>
        <v>B</v>
      </c>
      <c r="D77" s="6" t="n">
        <f aca="false">E77+F77+G77</f>
        <v>8</v>
      </c>
      <c r="E77" s="6" t="n">
        <v>4</v>
      </c>
      <c r="F77" s="6" t="n">
        <v>3</v>
      </c>
      <c r="G77" s="8" t="n">
        <v>1</v>
      </c>
      <c r="H77" s="6" t="s">
        <v>239</v>
      </c>
      <c r="I77" s="6" t="s">
        <v>77</v>
      </c>
      <c r="J77" s="2" t="s">
        <v>569</v>
      </c>
      <c r="K77" s="2" t="s">
        <v>570</v>
      </c>
      <c r="L77" s="2" t="s">
        <v>127</v>
      </c>
      <c r="M77" s="2"/>
      <c r="N77" s="2" t="s">
        <v>571</v>
      </c>
      <c r="O77" s="2" t="s">
        <v>572</v>
      </c>
      <c r="P77" s="2" t="s">
        <v>573</v>
      </c>
      <c r="Q77" s="6" t="s">
        <v>440</v>
      </c>
      <c r="R77" s="6" t="s">
        <v>85</v>
      </c>
      <c r="S77" s="9" t="s">
        <v>574</v>
      </c>
      <c r="T77" s="9" t="s">
        <v>575</v>
      </c>
      <c r="U77" s="6"/>
      <c r="V77" s="10"/>
      <c r="W77" s="10" t="s">
        <v>88</v>
      </c>
      <c r="X77" s="10"/>
      <c r="Y77" s="10"/>
    </row>
    <row r="78" customFormat="false" ht="23.85" hidden="false" customHeight="false" outlineLevel="0" collapsed="false">
      <c r="A78" s="6" t="n">
        <v>77</v>
      </c>
      <c r="B78" s="7" t="s">
        <v>576</v>
      </c>
      <c r="C78" s="6" t="str">
        <f aca="false">IF(U78&lt;&gt;"","Client",IF(D78&gt;=9,"A",IF(D78&gt;=7,"B","C")))</f>
        <v>B</v>
      </c>
      <c r="D78" s="6" t="n">
        <f aca="false">E78+F78+G78</f>
        <v>8</v>
      </c>
      <c r="E78" s="6" t="n">
        <v>4</v>
      </c>
      <c r="F78" s="6" t="n">
        <v>3</v>
      </c>
      <c r="G78" s="8" t="n">
        <v>1</v>
      </c>
      <c r="H78" s="6" t="s">
        <v>76</v>
      </c>
      <c r="I78" s="6" t="s">
        <v>77</v>
      </c>
      <c r="J78" s="2" t="s">
        <v>576</v>
      </c>
      <c r="K78" s="2" t="s">
        <v>577</v>
      </c>
      <c r="L78" s="2" t="s">
        <v>127</v>
      </c>
      <c r="M78" s="2"/>
      <c r="N78" s="2" t="s">
        <v>530</v>
      </c>
      <c r="O78" s="2" t="s">
        <v>578</v>
      </c>
      <c r="P78" s="2" t="s">
        <v>579</v>
      </c>
      <c r="Q78" s="6" t="s">
        <v>308</v>
      </c>
      <c r="R78" s="6" t="s">
        <v>85</v>
      </c>
      <c r="S78" s="9" t="s">
        <v>309</v>
      </c>
      <c r="T78" s="6"/>
      <c r="U78" s="6"/>
      <c r="V78" s="10"/>
      <c r="W78" s="10" t="s">
        <v>88</v>
      </c>
      <c r="X78" s="10"/>
      <c r="Y78" s="10"/>
    </row>
    <row r="79" customFormat="false" ht="23.85" hidden="false" customHeight="false" outlineLevel="0" collapsed="false">
      <c r="A79" s="6" t="n">
        <v>78</v>
      </c>
      <c r="B79" s="7" t="s">
        <v>580</v>
      </c>
      <c r="C79" s="6" t="str">
        <f aca="false">IF(U79&lt;&gt;"","Client",IF(D79&gt;=9,"A",IF(D79&gt;=7,"B","C")))</f>
        <v>B</v>
      </c>
      <c r="D79" s="6" t="n">
        <f aca="false">E79+F79+G79</f>
        <v>8</v>
      </c>
      <c r="E79" s="6" t="n">
        <v>4</v>
      </c>
      <c r="F79" s="6" t="n">
        <v>3</v>
      </c>
      <c r="G79" s="8" t="n">
        <v>1</v>
      </c>
      <c r="H79" s="6" t="s">
        <v>118</v>
      </c>
      <c r="I79" s="6" t="s">
        <v>77</v>
      </c>
      <c r="J79" s="2" t="s">
        <v>443</v>
      </c>
      <c r="K79" s="2" t="s">
        <v>92</v>
      </c>
      <c r="L79" s="2" t="s">
        <v>93</v>
      </c>
      <c r="M79" s="2"/>
      <c r="N79" s="2" t="s">
        <v>521</v>
      </c>
      <c r="O79" s="2" t="s">
        <v>581</v>
      </c>
      <c r="P79" s="2" t="s">
        <v>582</v>
      </c>
      <c r="Q79" s="6" t="s">
        <v>97</v>
      </c>
      <c r="R79" s="6" t="s">
        <v>98</v>
      </c>
      <c r="S79" s="6"/>
      <c r="T79" s="6"/>
      <c r="U79" s="6"/>
      <c r="V79" s="10"/>
      <c r="W79" s="10" t="s">
        <v>88</v>
      </c>
      <c r="X79" s="10"/>
      <c r="Y79" s="10"/>
    </row>
    <row r="80" customFormat="false" ht="23.85" hidden="false" customHeight="false" outlineLevel="0" collapsed="false">
      <c r="A80" s="6" t="n">
        <v>79</v>
      </c>
      <c r="B80" s="7" t="s">
        <v>583</v>
      </c>
      <c r="C80" s="6" t="str">
        <f aca="false">IF(U80&lt;&gt;"","Client",IF(D80&gt;=9,"A",IF(D80&gt;=7,"B","C")))</f>
        <v>B</v>
      </c>
      <c r="D80" s="6" t="n">
        <f aca="false">E80+F80+G80</f>
        <v>8</v>
      </c>
      <c r="E80" s="6" t="n">
        <v>4</v>
      </c>
      <c r="F80" s="6" t="n">
        <v>3</v>
      </c>
      <c r="G80" s="8" t="n">
        <v>1</v>
      </c>
      <c r="H80" s="6" t="s">
        <v>239</v>
      </c>
      <c r="I80" s="6" t="s">
        <v>77</v>
      </c>
      <c r="J80" s="2" t="s">
        <v>584</v>
      </c>
      <c r="K80" s="2" t="s">
        <v>92</v>
      </c>
      <c r="L80" s="2" t="s">
        <v>93</v>
      </c>
      <c r="M80" s="2"/>
      <c r="N80" s="2" t="s">
        <v>521</v>
      </c>
      <c r="O80" s="2" t="s">
        <v>585</v>
      </c>
      <c r="P80" s="2" t="s">
        <v>586</v>
      </c>
      <c r="Q80" s="6" t="s">
        <v>97</v>
      </c>
      <c r="R80" s="6" t="s">
        <v>98</v>
      </c>
      <c r="S80" s="6"/>
      <c r="T80" s="6"/>
      <c r="U80" s="6"/>
      <c r="V80" s="10"/>
      <c r="W80" s="10" t="s">
        <v>88</v>
      </c>
      <c r="X80" s="10"/>
      <c r="Y80" s="10"/>
    </row>
    <row r="81" customFormat="false" ht="23.85" hidden="false" customHeight="false" outlineLevel="0" collapsed="false">
      <c r="A81" s="6" t="n">
        <v>80</v>
      </c>
      <c r="B81" s="7" t="s">
        <v>587</v>
      </c>
      <c r="C81" s="6" t="str">
        <f aca="false">IF(U81&lt;&gt;"","Client",IF(D81&gt;=9,"A",IF(D81&gt;=7,"B","C")))</f>
        <v>B</v>
      </c>
      <c r="D81" s="6" t="n">
        <f aca="false">E81+F81+G81</f>
        <v>8</v>
      </c>
      <c r="E81" s="6" t="n">
        <v>4</v>
      </c>
      <c r="F81" s="6" t="n">
        <v>3</v>
      </c>
      <c r="G81" s="8" t="n">
        <v>1</v>
      </c>
      <c r="H81" s="6" t="s">
        <v>90</v>
      </c>
      <c r="I81" s="6" t="s">
        <v>77</v>
      </c>
      <c r="J81" s="2" t="s">
        <v>588</v>
      </c>
      <c r="K81" s="2" t="s">
        <v>92</v>
      </c>
      <c r="L81" s="2" t="s">
        <v>93</v>
      </c>
      <c r="M81" s="2"/>
      <c r="N81" s="2" t="s">
        <v>521</v>
      </c>
      <c r="O81" s="2" t="s">
        <v>589</v>
      </c>
      <c r="P81" s="2" t="s">
        <v>590</v>
      </c>
      <c r="Q81" s="6" t="s">
        <v>97</v>
      </c>
      <c r="R81" s="6" t="s">
        <v>98</v>
      </c>
      <c r="S81" s="6"/>
      <c r="T81" s="6"/>
      <c r="U81" s="6"/>
      <c r="V81" s="10"/>
      <c r="W81" s="10" t="s">
        <v>88</v>
      </c>
      <c r="X81" s="10"/>
      <c r="Y81" s="10"/>
    </row>
    <row r="82" customFormat="false" ht="23.85" hidden="false" customHeight="false" outlineLevel="0" collapsed="false">
      <c r="A82" s="6" t="n">
        <v>81</v>
      </c>
      <c r="B82" s="7" t="s">
        <v>591</v>
      </c>
      <c r="C82" s="6" t="str">
        <f aca="false">IF(U82&lt;&gt;"","Client",IF(D82&gt;=9,"A",IF(D82&gt;=7,"B","C")))</f>
        <v>B</v>
      </c>
      <c r="D82" s="6" t="n">
        <f aca="false">E82+F82+G82</f>
        <v>8</v>
      </c>
      <c r="E82" s="6" t="n">
        <v>4</v>
      </c>
      <c r="F82" s="6" t="n">
        <v>3</v>
      </c>
      <c r="G82" s="8" t="n">
        <v>1</v>
      </c>
      <c r="H82" s="6" t="s">
        <v>90</v>
      </c>
      <c r="I82" s="6" t="s">
        <v>77</v>
      </c>
      <c r="J82" s="2" t="s">
        <v>592</v>
      </c>
      <c r="K82" s="2" t="s">
        <v>92</v>
      </c>
      <c r="L82" s="2" t="s">
        <v>93</v>
      </c>
      <c r="M82" s="2"/>
      <c r="N82" s="2" t="s">
        <v>521</v>
      </c>
      <c r="O82" s="2" t="s">
        <v>593</v>
      </c>
      <c r="P82" s="2" t="s">
        <v>594</v>
      </c>
      <c r="Q82" s="6" t="s">
        <v>97</v>
      </c>
      <c r="R82" s="6" t="s">
        <v>98</v>
      </c>
      <c r="S82" s="6"/>
      <c r="T82" s="6"/>
      <c r="U82" s="6"/>
      <c r="V82" s="10"/>
      <c r="W82" s="10" t="s">
        <v>88</v>
      </c>
      <c r="X82" s="10"/>
      <c r="Y82" s="10"/>
    </row>
    <row r="83" customFormat="false" ht="15" hidden="false" customHeight="false" outlineLevel="0" collapsed="false">
      <c r="A83" s="6" t="n">
        <v>82</v>
      </c>
      <c r="B83" s="7" t="s">
        <v>595</v>
      </c>
      <c r="C83" s="6" t="str">
        <f aca="false">IF(U83&lt;&gt;"","Client",IF(D83&gt;=9,"A",IF(D83&gt;=7,"B","C")))</f>
        <v>B</v>
      </c>
      <c r="D83" s="6" t="n">
        <f aca="false">E83+F83+G83</f>
        <v>8</v>
      </c>
      <c r="E83" s="6" t="n">
        <v>4</v>
      </c>
      <c r="F83" s="6" t="n">
        <v>3</v>
      </c>
      <c r="G83" s="8" t="n">
        <v>1</v>
      </c>
      <c r="H83" s="6" t="s">
        <v>76</v>
      </c>
      <c r="I83" s="6" t="s">
        <v>77</v>
      </c>
      <c r="J83" s="2" t="s">
        <v>595</v>
      </c>
      <c r="K83" s="2" t="s">
        <v>92</v>
      </c>
      <c r="L83" s="2" t="s">
        <v>93</v>
      </c>
      <c r="M83" s="2"/>
      <c r="N83" s="2" t="s">
        <v>521</v>
      </c>
      <c r="O83" s="2" t="s">
        <v>596</v>
      </c>
      <c r="P83" s="2" t="s">
        <v>526</v>
      </c>
      <c r="Q83" s="6" t="s">
        <v>97</v>
      </c>
      <c r="R83" s="6" t="s">
        <v>98</v>
      </c>
      <c r="S83" s="6"/>
      <c r="T83" s="6"/>
      <c r="U83" s="6"/>
      <c r="V83" s="10"/>
      <c r="W83" s="10" t="s">
        <v>88</v>
      </c>
      <c r="X83" s="10"/>
      <c r="Y83" s="10"/>
    </row>
    <row r="84" customFormat="false" ht="68.65" hidden="false" customHeight="false" outlineLevel="0" collapsed="false">
      <c r="A84" s="6" t="n">
        <v>83</v>
      </c>
      <c r="B84" s="7" t="s">
        <v>597</v>
      </c>
      <c r="C84" s="6" t="str">
        <f aca="false">IF(U84&lt;&gt;"","Client",IF(D84&gt;=9,"A",IF(D84&gt;=7,"B","C")))</f>
        <v>B</v>
      </c>
      <c r="D84" s="6" t="n">
        <f aca="false">E84+F84+G84</f>
        <v>8</v>
      </c>
      <c r="E84" s="6" t="n">
        <v>4</v>
      </c>
      <c r="F84" s="6" t="n">
        <v>3</v>
      </c>
      <c r="G84" s="8" t="n">
        <v>1</v>
      </c>
      <c r="H84" s="6" t="s">
        <v>90</v>
      </c>
      <c r="I84" s="6" t="s">
        <v>77</v>
      </c>
      <c r="J84" s="2" t="s">
        <v>598</v>
      </c>
      <c r="K84" s="2" t="s">
        <v>599</v>
      </c>
      <c r="L84" s="2" t="s">
        <v>600</v>
      </c>
      <c r="M84" s="2"/>
      <c r="N84" s="2" t="s">
        <v>601</v>
      </c>
      <c r="O84" s="2" t="s">
        <v>602</v>
      </c>
      <c r="P84" s="2" t="s">
        <v>603</v>
      </c>
      <c r="Q84" s="6" t="s">
        <v>97</v>
      </c>
      <c r="R84" s="6" t="s">
        <v>106</v>
      </c>
      <c r="S84" s="9" t="s">
        <v>604</v>
      </c>
      <c r="T84" s="9" t="s">
        <v>605</v>
      </c>
      <c r="U84" s="6"/>
      <c r="V84" s="10"/>
      <c r="W84" s="10" t="s">
        <v>88</v>
      </c>
      <c r="X84" s="10"/>
      <c r="Y84" s="10"/>
    </row>
    <row r="85" customFormat="false" ht="23.85" hidden="false" customHeight="false" outlineLevel="0" collapsed="false">
      <c r="A85" s="6" t="n">
        <v>84</v>
      </c>
      <c r="B85" s="7" t="s">
        <v>606</v>
      </c>
      <c r="C85" s="6" t="str">
        <f aca="false">IF(U85&lt;&gt;"","Client",IF(D85&gt;=9,"A",IF(D85&gt;=7,"B","C")))</f>
        <v>B</v>
      </c>
      <c r="D85" s="6" t="n">
        <f aca="false">E85+F85+G85</f>
        <v>8</v>
      </c>
      <c r="E85" s="6" t="n">
        <v>4</v>
      </c>
      <c r="F85" s="6" t="n">
        <v>3</v>
      </c>
      <c r="G85" s="8" t="n">
        <v>1</v>
      </c>
      <c r="H85" s="6" t="s">
        <v>239</v>
      </c>
      <c r="I85" s="6" t="s">
        <v>77</v>
      </c>
      <c r="J85" s="2" t="s">
        <v>607</v>
      </c>
      <c r="K85" s="2" t="s">
        <v>92</v>
      </c>
      <c r="L85" s="2" t="s">
        <v>93</v>
      </c>
      <c r="M85" s="2"/>
      <c r="N85" s="2" t="s">
        <v>521</v>
      </c>
      <c r="O85" s="2" t="s">
        <v>608</v>
      </c>
      <c r="P85" s="2" t="s">
        <v>609</v>
      </c>
      <c r="Q85" s="6" t="s">
        <v>97</v>
      </c>
      <c r="R85" s="6" t="s">
        <v>98</v>
      </c>
      <c r="S85" s="9" t="s">
        <v>610</v>
      </c>
      <c r="T85" s="6"/>
      <c r="U85" s="6"/>
      <c r="V85" s="10"/>
      <c r="W85" s="10" t="s">
        <v>88</v>
      </c>
      <c r="X85" s="10"/>
      <c r="Y85" s="10"/>
    </row>
    <row r="86" customFormat="false" ht="23.85" hidden="false" customHeight="false" outlineLevel="0" collapsed="false">
      <c r="A86" s="6" t="n">
        <v>85</v>
      </c>
      <c r="B86" s="7" t="s">
        <v>611</v>
      </c>
      <c r="C86" s="6" t="str">
        <f aca="false">IF(U86&lt;&gt;"","Client",IF(D86&gt;=9,"A",IF(D86&gt;=7,"B","C")))</f>
        <v>B</v>
      </c>
      <c r="D86" s="6" t="n">
        <f aca="false">E86+F86+G86</f>
        <v>8</v>
      </c>
      <c r="E86" s="6" t="n">
        <v>4</v>
      </c>
      <c r="F86" s="6" t="n">
        <v>3</v>
      </c>
      <c r="G86" s="8" t="n">
        <v>1</v>
      </c>
      <c r="H86" s="6" t="s">
        <v>76</v>
      </c>
      <c r="I86" s="6" t="s">
        <v>77</v>
      </c>
      <c r="J86" s="2" t="s">
        <v>612</v>
      </c>
      <c r="K86" s="2" t="s">
        <v>92</v>
      </c>
      <c r="L86" s="2" t="s">
        <v>93</v>
      </c>
      <c r="M86" s="2"/>
      <c r="N86" s="2" t="s">
        <v>521</v>
      </c>
      <c r="O86" s="2" t="s">
        <v>613</v>
      </c>
      <c r="P86" s="2" t="s">
        <v>614</v>
      </c>
      <c r="Q86" s="6" t="s">
        <v>97</v>
      </c>
      <c r="R86" s="6" t="s">
        <v>85</v>
      </c>
      <c r="S86" s="9" t="s">
        <v>615</v>
      </c>
      <c r="T86" s="6"/>
      <c r="U86" s="6"/>
      <c r="V86" s="10"/>
      <c r="W86" s="10" t="s">
        <v>88</v>
      </c>
      <c r="X86" s="10"/>
      <c r="Y86" s="10"/>
    </row>
    <row r="87" customFormat="false" ht="23.85" hidden="false" customHeight="false" outlineLevel="0" collapsed="false">
      <c r="A87" s="6" t="n">
        <v>86</v>
      </c>
      <c r="B87" s="7" t="s">
        <v>616</v>
      </c>
      <c r="C87" s="6" t="str">
        <f aca="false">IF(U87&lt;&gt;"","Client",IF(D87&gt;=9,"A",IF(D87&gt;=7,"B","C")))</f>
        <v>B</v>
      </c>
      <c r="D87" s="6" t="n">
        <f aca="false">E87+F87+G87</f>
        <v>8</v>
      </c>
      <c r="E87" s="6" t="n">
        <v>4</v>
      </c>
      <c r="F87" s="6" t="n">
        <v>3</v>
      </c>
      <c r="G87" s="8" t="n">
        <v>1</v>
      </c>
      <c r="H87" s="6" t="s">
        <v>90</v>
      </c>
      <c r="I87" s="6" t="s">
        <v>77</v>
      </c>
      <c r="J87" s="2" t="s">
        <v>617</v>
      </c>
      <c r="K87" s="2" t="s">
        <v>92</v>
      </c>
      <c r="L87" s="2" t="s">
        <v>93</v>
      </c>
      <c r="M87" s="2"/>
      <c r="N87" s="2" t="s">
        <v>521</v>
      </c>
      <c r="O87" s="2" t="s">
        <v>618</v>
      </c>
      <c r="P87" s="2" t="s">
        <v>619</v>
      </c>
      <c r="Q87" s="6" t="s">
        <v>97</v>
      </c>
      <c r="R87" s="6" t="s">
        <v>98</v>
      </c>
      <c r="S87" s="9" t="s">
        <v>620</v>
      </c>
      <c r="T87" s="6"/>
      <c r="U87" s="6"/>
      <c r="V87" s="10"/>
      <c r="W87" s="10" t="s">
        <v>88</v>
      </c>
      <c r="X87" s="10"/>
      <c r="Y87" s="10"/>
    </row>
    <row r="88" customFormat="false" ht="15" hidden="false" customHeight="false" outlineLevel="0" collapsed="false">
      <c r="A88" s="6" t="n">
        <v>87</v>
      </c>
      <c r="B88" s="7" t="s">
        <v>621</v>
      </c>
      <c r="C88" s="6" t="str">
        <f aca="false">IF(U88&lt;&gt;"","Client",IF(D88&gt;=9,"A",IF(D88&gt;=7,"B","C")))</f>
        <v>B</v>
      </c>
      <c r="D88" s="6" t="n">
        <f aca="false">E88+F88+G88</f>
        <v>8</v>
      </c>
      <c r="E88" s="6" t="n">
        <v>4</v>
      </c>
      <c r="F88" s="6" t="n">
        <v>3</v>
      </c>
      <c r="G88" s="8" t="n">
        <v>1</v>
      </c>
      <c r="H88" s="6" t="s">
        <v>90</v>
      </c>
      <c r="I88" s="6" t="s">
        <v>77</v>
      </c>
      <c r="J88" s="2" t="s">
        <v>622</v>
      </c>
      <c r="K88" s="2" t="s">
        <v>92</v>
      </c>
      <c r="L88" s="2" t="s">
        <v>93</v>
      </c>
      <c r="M88" s="2"/>
      <c r="N88" s="2" t="s">
        <v>521</v>
      </c>
      <c r="O88" s="2" t="s">
        <v>623</v>
      </c>
      <c r="P88" s="2" t="s">
        <v>624</v>
      </c>
      <c r="Q88" s="6" t="s">
        <v>97</v>
      </c>
      <c r="R88" s="6" t="s">
        <v>98</v>
      </c>
      <c r="S88" s="6"/>
      <c r="T88" s="6"/>
      <c r="U88" s="6"/>
      <c r="V88" s="10"/>
      <c r="W88" s="10" t="s">
        <v>88</v>
      </c>
      <c r="X88" s="10"/>
      <c r="Y88" s="10"/>
    </row>
    <row r="89" customFormat="false" ht="23.85" hidden="false" customHeight="false" outlineLevel="0" collapsed="false">
      <c r="A89" s="6" t="n">
        <v>88</v>
      </c>
      <c r="B89" s="7" t="s">
        <v>625</v>
      </c>
      <c r="C89" s="6" t="str">
        <f aca="false">IF(U89&lt;&gt;"","Client",IF(D89&gt;=9,"A",IF(D89&gt;=7,"B","C")))</f>
        <v>B</v>
      </c>
      <c r="D89" s="6" t="n">
        <f aca="false">E89+F89+G89</f>
        <v>8</v>
      </c>
      <c r="E89" s="6" t="n">
        <v>3</v>
      </c>
      <c r="F89" s="6" t="n">
        <v>2</v>
      </c>
      <c r="G89" s="8" t="n">
        <v>3</v>
      </c>
      <c r="H89" s="6" t="s">
        <v>626</v>
      </c>
      <c r="I89" s="6" t="s">
        <v>287</v>
      </c>
      <c r="J89" s="2" t="s">
        <v>627</v>
      </c>
      <c r="K89" s="2" t="s">
        <v>577</v>
      </c>
      <c r="L89" s="2" t="s">
        <v>127</v>
      </c>
      <c r="M89" s="2"/>
      <c r="N89" s="2" t="s">
        <v>361</v>
      </c>
      <c r="O89" s="2" t="s">
        <v>628</v>
      </c>
      <c r="P89" s="2" t="s">
        <v>629</v>
      </c>
      <c r="Q89" s="6" t="s">
        <v>308</v>
      </c>
      <c r="R89" s="6" t="s">
        <v>85</v>
      </c>
      <c r="S89" s="9" t="s">
        <v>309</v>
      </c>
      <c r="T89" s="9" t="s">
        <v>630</v>
      </c>
      <c r="U89" s="6"/>
      <c r="V89" s="10"/>
      <c r="W89" s="10" t="s">
        <v>88</v>
      </c>
      <c r="X89" s="10"/>
      <c r="Y89" s="10"/>
    </row>
    <row r="90" customFormat="false" ht="68.65" hidden="false" customHeight="false" outlineLevel="0" collapsed="false">
      <c r="A90" s="6" t="n">
        <v>89</v>
      </c>
      <c r="B90" s="7" t="s">
        <v>631</v>
      </c>
      <c r="C90" s="6" t="str">
        <f aca="false">IF(U90&lt;&gt;"","Client",IF(D90&gt;=9,"A",IF(D90&gt;=7,"B","C")))</f>
        <v>B</v>
      </c>
      <c r="D90" s="6" t="n">
        <f aca="false">E90+F90+G90</f>
        <v>8</v>
      </c>
      <c r="E90" s="6" t="n">
        <v>3</v>
      </c>
      <c r="F90" s="6" t="n">
        <v>2</v>
      </c>
      <c r="G90" s="8" t="n">
        <v>3</v>
      </c>
      <c r="H90" s="6" t="s">
        <v>164</v>
      </c>
      <c r="I90" s="6" t="s">
        <v>287</v>
      </c>
      <c r="J90" s="2" t="s">
        <v>631</v>
      </c>
      <c r="K90" s="2" t="s">
        <v>632</v>
      </c>
      <c r="L90" s="2" t="s">
        <v>197</v>
      </c>
      <c r="M90" s="2"/>
      <c r="N90" s="2" t="s">
        <v>633</v>
      </c>
      <c r="O90" s="2" t="s">
        <v>634</v>
      </c>
      <c r="P90" s="2" t="s">
        <v>635</v>
      </c>
      <c r="Q90" s="6" t="s">
        <v>256</v>
      </c>
      <c r="R90" s="6" t="s">
        <v>85</v>
      </c>
      <c r="S90" s="9" t="s">
        <v>636</v>
      </c>
      <c r="T90" s="9" t="s">
        <v>637</v>
      </c>
      <c r="U90" s="6"/>
      <c r="V90" s="10"/>
      <c r="W90" s="10" t="s">
        <v>88</v>
      </c>
      <c r="X90" s="10"/>
      <c r="Y90" s="10"/>
    </row>
    <row r="91" customFormat="false" ht="23.85" hidden="false" customHeight="false" outlineLevel="0" collapsed="false">
      <c r="A91" s="6" t="n">
        <v>90</v>
      </c>
      <c r="B91" s="7" t="s">
        <v>638</v>
      </c>
      <c r="C91" s="6" t="str">
        <f aca="false">IF(U91&lt;&gt;"","Client",IF(D91&gt;=9,"A",IF(D91&gt;=7,"B","C")))</f>
        <v>B</v>
      </c>
      <c r="D91" s="6" t="n">
        <f aca="false">E91+F91+G91</f>
        <v>8</v>
      </c>
      <c r="E91" s="6" t="n">
        <v>3</v>
      </c>
      <c r="F91" s="6" t="n">
        <v>2</v>
      </c>
      <c r="G91" s="8" t="n">
        <v>3</v>
      </c>
      <c r="H91" s="6" t="s">
        <v>182</v>
      </c>
      <c r="I91" s="6" t="s">
        <v>287</v>
      </c>
      <c r="J91" s="2" t="s">
        <v>639</v>
      </c>
      <c r="K91" s="2" t="s">
        <v>92</v>
      </c>
      <c r="L91" s="2" t="s">
        <v>93</v>
      </c>
      <c r="M91" s="2"/>
      <c r="N91" s="2" t="s">
        <v>482</v>
      </c>
      <c r="O91" s="2" t="s">
        <v>640</v>
      </c>
      <c r="P91" s="2" t="s">
        <v>641</v>
      </c>
      <c r="Q91" s="6" t="s">
        <v>642</v>
      </c>
      <c r="R91" s="6" t="s">
        <v>98</v>
      </c>
      <c r="S91" s="9" t="s">
        <v>643</v>
      </c>
      <c r="T91" s="6"/>
      <c r="U91" s="6"/>
      <c r="V91" s="10"/>
      <c r="W91" s="10" t="s">
        <v>88</v>
      </c>
      <c r="X91" s="10"/>
      <c r="Y91" s="10"/>
    </row>
    <row r="92" customFormat="false" ht="15" hidden="false" customHeight="false" outlineLevel="0" collapsed="false">
      <c r="A92" s="6" t="n">
        <v>91</v>
      </c>
      <c r="B92" s="7" t="s">
        <v>644</v>
      </c>
      <c r="C92" s="6" t="str">
        <f aca="false">IF(U92&lt;&gt;"","Client",IF(D92&gt;=9,"A",IF(D92&gt;=7,"B","C")))</f>
        <v>B</v>
      </c>
      <c r="D92" s="6" t="n">
        <f aca="false">E92+F92+G92</f>
        <v>8</v>
      </c>
      <c r="E92" s="6" t="n">
        <v>3</v>
      </c>
      <c r="F92" s="6" t="n">
        <v>2</v>
      </c>
      <c r="G92" s="8" t="n">
        <v>3</v>
      </c>
      <c r="H92" s="6" t="s">
        <v>164</v>
      </c>
      <c r="I92" s="6" t="s">
        <v>287</v>
      </c>
      <c r="J92" s="2" t="s">
        <v>645</v>
      </c>
      <c r="K92" s="2" t="s">
        <v>92</v>
      </c>
      <c r="L92" s="2" t="s">
        <v>93</v>
      </c>
      <c r="M92" s="2"/>
      <c r="N92" s="2" t="s">
        <v>184</v>
      </c>
      <c r="O92" s="2" t="s">
        <v>646</v>
      </c>
      <c r="P92" s="2" t="s">
        <v>647</v>
      </c>
      <c r="Q92" s="6" t="s">
        <v>389</v>
      </c>
      <c r="R92" s="6" t="s">
        <v>98</v>
      </c>
      <c r="S92" s="9" t="s">
        <v>648</v>
      </c>
      <c r="T92" s="6"/>
      <c r="U92" s="6"/>
      <c r="V92" s="10"/>
      <c r="W92" s="10" t="s">
        <v>88</v>
      </c>
      <c r="X92" s="10"/>
      <c r="Y92" s="10"/>
    </row>
    <row r="93" customFormat="false" ht="23.85" hidden="false" customHeight="false" outlineLevel="0" collapsed="false">
      <c r="A93" s="6" t="n">
        <v>92</v>
      </c>
      <c r="B93" s="7" t="s">
        <v>649</v>
      </c>
      <c r="C93" s="6" t="str">
        <f aca="false">IF(U93&lt;&gt;"","Client",IF(D93&gt;=9,"A",IF(D93&gt;=7,"B","C")))</f>
        <v>B</v>
      </c>
      <c r="D93" s="6" t="n">
        <f aca="false">E93+F93+G93</f>
        <v>8</v>
      </c>
      <c r="E93" s="6" t="n">
        <v>3</v>
      </c>
      <c r="F93" s="6" t="n">
        <v>2</v>
      </c>
      <c r="G93" s="8" t="n">
        <v>3</v>
      </c>
      <c r="H93" s="6" t="s">
        <v>164</v>
      </c>
      <c r="I93" s="6" t="s">
        <v>287</v>
      </c>
      <c r="J93" s="2" t="s">
        <v>650</v>
      </c>
      <c r="K93" s="2" t="s">
        <v>651</v>
      </c>
      <c r="L93" s="2" t="s">
        <v>652</v>
      </c>
      <c r="M93" s="2"/>
      <c r="N93" s="2" t="s">
        <v>103</v>
      </c>
      <c r="O93" s="2" t="s">
        <v>653</v>
      </c>
      <c r="P93" s="2" t="s">
        <v>654</v>
      </c>
      <c r="Q93" s="6" t="s">
        <v>655</v>
      </c>
      <c r="R93" s="6" t="s">
        <v>106</v>
      </c>
      <c r="S93" s="9" t="s">
        <v>656</v>
      </c>
      <c r="T93" s="6"/>
      <c r="U93" s="6"/>
      <c r="V93" s="10"/>
      <c r="W93" s="10" t="s">
        <v>88</v>
      </c>
      <c r="X93" s="10"/>
      <c r="Y93" s="10"/>
    </row>
    <row r="94" customFormat="false" ht="23.85" hidden="false" customHeight="false" outlineLevel="0" collapsed="false">
      <c r="A94" s="6" t="n">
        <v>93</v>
      </c>
      <c r="B94" s="7" t="s">
        <v>657</v>
      </c>
      <c r="C94" s="6" t="str">
        <f aca="false">IF(U94&lt;&gt;"","Client",IF(D94&gt;=9,"A",IF(D94&gt;=7,"B","C")))</f>
        <v>B</v>
      </c>
      <c r="D94" s="6" t="n">
        <f aca="false">E94+F94+G94</f>
        <v>8</v>
      </c>
      <c r="E94" s="6" t="n">
        <v>3</v>
      </c>
      <c r="F94" s="6" t="n">
        <v>2</v>
      </c>
      <c r="G94" s="8" t="n">
        <v>3</v>
      </c>
      <c r="H94" s="6" t="s">
        <v>164</v>
      </c>
      <c r="I94" s="6" t="s">
        <v>287</v>
      </c>
      <c r="J94" s="2" t="s">
        <v>631</v>
      </c>
      <c r="K94" s="2" t="s">
        <v>658</v>
      </c>
      <c r="L94" s="2" t="s">
        <v>102</v>
      </c>
      <c r="M94" s="2"/>
      <c r="N94" s="2" t="s">
        <v>103</v>
      </c>
      <c r="O94" s="2" t="s">
        <v>659</v>
      </c>
      <c r="P94" s="2" t="s">
        <v>660</v>
      </c>
      <c r="Q94" s="6" t="s">
        <v>661</v>
      </c>
      <c r="R94" s="6" t="s">
        <v>106</v>
      </c>
      <c r="S94" s="9" t="s">
        <v>662</v>
      </c>
      <c r="T94" s="6"/>
      <c r="U94" s="6"/>
      <c r="V94" s="10"/>
      <c r="W94" s="10" t="s">
        <v>88</v>
      </c>
      <c r="X94" s="10"/>
      <c r="Y94" s="10"/>
    </row>
    <row r="95" customFormat="false" ht="23.85" hidden="false" customHeight="false" outlineLevel="0" collapsed="false">
      <c r="A95" s="6" t="n">
        <v>94</v>
      </c>
      <c r="B95" s="7" t="s">
        <v>663</v>
      </c>
      <c r="C95" s="6" t="str">
        <f aca="false">IF(U95&lt;&gt;"","Client",IF(D95&gt;=9,"A",IF(D95&gt;=7,"B","C")))</f>
        <v>B</v>
      </c>
      <c r="D95" s="6" t="n">
        <f aca="false">E95+F95+G95</f>
        <v>8</v>
      </c>
      <c r="E95" s="6" t="n">
        <v>3</v>
      </c>
      <c r="F95" s="6" t="n">
        <v>2</v>
      </c>
      <c r="G95" s="8" t="n">
        <v>3</v>
      </c>
      <c r="H95" s="6" t="s">
        <v>153</v>
      </c>
      <c r="I95" s="6" t="s">
        <v>287</v>
      </c>
      <c r="J95" s="2" t="s">
        <v>663</v>
      </c>
      <c r="K95" s="2" t="s">
        <v>664</v>
      </c>
      <c r="L95" s="2" t="s">
        <v>102</v>
      </c>
      <c r="M95" s="2"/>
      <c r="N95" s="2" t="s">
        <v>103</v>
      </c>
      <c r="O95" s="2" t="s">
        <v>665</v>
      </c>
      <c r="P95" s="2" t="s">
        <v>666</v>
      </c>
      <c r="Q95" s="6" t="s">
        <v>84</v>
      </c>
      <c r="R95" s="6" t="s">
        <v>106</v>
      </c>
      <c r="S95" s="9" t="s">
        <v>667</v>
      </c>
      <c r="T95" s="6"/>
      <c r="U95" s="6"/>
      <c r="V95" s="10"/>
      <c r="W95" s="10" t="s">
        <v>88</v>
      </c>
      <c r="X95" s="10"/>
      <c r="Y95" s="10"/>
    </row>
    <row r="96" customFormat="false" ht="23.85" hidden="false" customHeight="false" outlineLevel="0" collapsed="false">
      <c r="A96" s="6" t="n">
        <v>95</v>
      </c>
      <c r="B96" s="7" t="s">
        <v>668</v>
      </c>
      <c r="C96" s="6" t="str">
        <f aca="false">IF(U96&lt;&gt;"","Client",IF(D96&gt;=9,"A",IF(D96&gt;=7,"B","C")))</f>
        <v>B</v>
      </c>
      <c r="D96" s="6" t="n">
        <f aca="false">E96+F96+G96</f>
        <v>8</v>
      </c>
      <c r="E96" s="6" t="n">
        <v>3</v>
      </c>
      <c r="F96" s="6" t="n">
        <v>2</v>
      </c>
      <c r="G96" s="8" t="n">
        <v>3</v>
      </c>
      <c r="H96" s="6" t="s">
        <v>182</v>
      </c>
      <c r="I96" s="6" t="s">
        <v>287</v>
      </c>
      <c r="J96" s="2" t="s">
        <v>669</v>
      </c>
      <c r="K96" s="2" t="s">
        <v>501</v>
      </c>
      <c r="L96" s="2" t="s">
        <v>102</v>
      </c>
      <c r="M96" s="2"/>
      <c r="N96" s="2" t="s">
        <v>103</v>
      </c>
      <c r="O96" s="2" t="s">
        <v>670</v>
      </c>
      <c r="P96" s="2" t="s">
        <v>671</v>
      </c>
      <c r="Q96" s="6" t="s">
        <v>389</v>
      </c>
      <c r="R96" s="6" t="s">
        <v>106</v>
      </c>
      <c r="S96" s="9" t="s">
        <v>672</v>
      </c>
      <c r="T96" s="6"/>
      <c r="U96" s="6"/>
      <c r="V96" s="10"/>
      <c r="W96" s="10" t="s">
        <v>88</v>
      </c>
      <c r="X96" s="10"/>
      <c r="Y96" s="10"/>
    </row>
    <row r="97" customFormat="false" ht="23.85" hidden="false" customHeight="false" outlineLevel="0" collapsed="false">
      <c r="A97" s="6" t="n">
        <v>96</v>
      </c>
      <c r="B97" s="7" t="s">
        <v>673</v>
      </c>
      <c r="C97" s="6" t="str">
        <f aca="false">IF(U97&lt;&gt;"","Client",IF(D97&gt;=9,"A",IF(D97&gt;=7,"B","C")))</f>
        <v>B</v>
      </c>
      <c r="D97" s="6" t="n">
        <f aca="false">E97+F97+G97</f>
        <v>8</v>
      </c>
      <c r="E97" s="6" t="n">
        <v>3</v>
      </c>
      <c r="F97" s="6" t="n">
        <v>2</v>
      </c>
      <c r="G97" s="8" t="n">
        <v>3</v>
      </c>
      <c r="H97" s="6" t="s">
        <v>182</v>
      </c>
      <c r="I97" s="6" t="s">
        <v>287</v>
      </c>
      <c r="J97" s="2" t="s">
        <v>674</v>
      </c>
      <c r="K97" s="2" t="s">
        <v>92</v>
      </c>
      <c r="L97" s="2" t="s">
        <v>93</v>
      </c>
      <c r="M97" s="2"/>
      <c r="N97" s="2" t="s">
        <v>147</v>
      </c>
      <c r="O97" s="2" t="s">
        <v>675</v>
      </c>
      <c r="P97" s="2" t="s">
        <v>676</v>
      </c>
      <c r="Q97" s="6" t="s">
        <v>178</v>
      </c>
      <c r="R97" s="6" t="s">
        <v>98</v>
      </c>
      <c r="S97" s="9" t="s">
        <v>677</v>
      </c>
      <c r="T97" s="6"/>
      <c r="U97" s="6"/>
      <c r="V97" s="10"/>
      <c r="W97" s="10" t="s">
        <v>88</v>
      </c>
      <c r="X97" s="10"/>
      <c r="Y97" s="10"/>
    </row>
    <row r="98" customFormat="false" ht="23.85" hidden="false" customHeight="false" outlineLevel="0" collapsed="false">
      <c r="A98" s="6" t="n">
        <v>97</v>
      </c>
      <c r="B98" s="7" t="s">
        <v>678</v>
      </c>
      <c r="C98" s="6" t="str">
        <f aca="false">IF(U98&lt;&gt;"","Client",IF(D98&gt;=9,"A",IF(D98&gt;=7,"B","C")))</f>
        <v>B</v>
      </c>
      <c r="D98" s="6" t="n">
        <f aca="false">E98+F98+G98</f>
        <v>8</v>
      </c>
      <c r="E98" s="6" t="n">
        <v>3</v>
      </c>
      <c r="F98" s="6" t="n">
        <v>2</v>
      </c>
      <c r="G98" s="8" t="n">
        <v>3</v>
      </c>
      <c r="H98" s="6" t="s">
        <v>153</v>
      </c>
      <c r="I98" s="6" t="s">
        <v>287</v>
      </c>
      <c r="J98" s="2" t="s">
        <v>679</v>
      </c>
      <c r="K98" s="2" t="s">
        <v>680</v>
      </c>
      <c r="L98" s="2" t="s">
        <v>102</v>
      </c>
      <c r="M98" s="2"/>
      <c r="N98" s="2" t="s">
        <v>103</v>
      </c>
      <c r="O98" s="2" t="s">
        <v>681</v>
      </c>
      <c r="P98" s="2" t="s">
        <v>682</v>
      </c>
      <c r="Q98" s="6" t="s">
        <v>683</v>
      </c>
      <c r="R98" s="6" t="s">
        <v>85</v>
      </c>
      <c r="S98" s="9" t="s">
        <v>684</v>
      </c>
      <c r="T98" s="6"/>
      <c r="U98" s="6"/>
      <c r="V98" s="10"/>
      <c r="W98" s="10" t="s">
        <v>88</v>
      </c>
      <c r="X98" s="10"/>
      <c r="Y98" s="10"/>
    </row>
    <row r="99" customFormat="false" ht="79.85" hidden="false" customHeight="false" outlineLevel="0" collapsed="false">
      <c r="A99" s="6" t="n">
        <v>98</v>
      </c>
      <c r="B99" s="7" t="s">
        <v>685</v>
      </c>
      <c r="C99" s="6" t="str">
        <f aca="false">IF(U99&lt;&gt;"","Client",IF(D99&gt;=9,"A",IF(D99&gt;=7,"B","C")))</f>
        <v>B</v>
      </c>
      <c r="D99" s="6" t="n">
        <f aca="false">E99+F99+G99</f>
        <v>8</v>
      </c>
      <c r="E99" s="6" t="n">
        <v>3</v>
      </c>
      <c r="F99" s="6" t="n">
        <v>2</v>
      </c>
      <c r="G99" s="8" t="n">
        <v>3</v>
      </c>
      <c r="H99" s="6" t="s">
        <v>153</v>
      </c>
      <c r="I99" s="6" t="s">
        <v>287</v>
      </c>
      <c r="J99" s="2" t="s">
        <v>685</v>
      </c>
      <c r="K99" s="2" t="s">
        <v>686</v>
      </c>
      <c r="L99" s="2" t="s">
        <v>687</v>
      </c>
      <c r="M99" s="2"/>
      <c r="N99" s="2" t="s">
        <v>81</v>
      </c>
      <c r="O99" s="2" t="s">
        <v>688</v>
      </c>
      <c r="P99" s="2" t="s">
        <v>689</v>
      </c>
      <c r="Q99" s="6" t="s">
        <v>97</v>
      </c>
      <c r="R99" s="6" t="s">
        <v>85</v>
      </c>
      <c r="S99" s="9" t="s">
        <v>690</v>
      </c>
      <c r="T99" s="9" t="s">
        <v>691</v>
      </c>
      <c r="U99" s="6"/>
      <c r="V99" s="10"/>
      <c r="W99" s="10" t="s">
        <v>88</v>
      </c>
      <c r="X99" s="10"/>
      <c r="Y99" s="10"/>
    </row>
    <row r="100" customFormat="false" ht="23.85" hidden="false" customHeight="false" outlineLevel="0" collapsed="false">
      <c r="A100" s="6" t="n">
        <v>99</v>
      </c>
      <c r="B100" s="7" t="s">
        <v>692</v>
      </c>
      <c r="C100" s="6" t="str">
        <f aca="false">IF(U100&lt;&gt;"","Client",IF(D100&gt;=9,"A",IF(D100&gt;=7,"B","C")))</f>
        <v>B</v>
      </c>
      <c r="D100" s="6" t="n">
        <f aca="false">E100+F100+G100</f>
        <v>8</v>
      </c>
      <c r="E100" s="6" t="n">
        <v>3</v>
      </c>
      <c r="F100" s="6" t="n">
        <v>2</v>
      </c>
      <c r="G100" s="8" t="n">
        <v>3</v>
      </c>
      <c r="H100" s="6" t="s">
        <v>182</v>
      </c>
      <c r="I100" s="6" t="s">
        <v>287</v>
      </c>
      <c r="J100" s="2" t="s">
        <v>692</v>
      </c>
      <c r="K100" s="2" t="s">
        <v>693</v>
      </c>
      <c r="L100" s="2" t="s">
        <v>374</v>
      </c>
      <c r="M100" s="2"/>
      <c r="N100" s="2" t="s">
        <v>103</v>
      </c>
      <c r="O100" s="2" t="s">
        <v>381</v>
      </c>
      <c r="P100" s="2" t="s">
        <v>694</v>
      </c>
      <c r="Q100" s="6" t="s">
        <v>655</v>
      </c>
      <c r="R100" s="6" t="s">
        <v>85</v>
      </c>
      <c r="S100" s="9" t="s">
        <v>695</v>
      </c>
      <c r="T100" s="6"/>
      <c r="U100" s="6"/>
      <c r="V100" s="10"/>
      <c r="W100" s="10" t="s">
        <v>88</v>
      </c>
      <c r="X100" s="10"/>
      <c r="Y100" s="10"/>
    </row>
    <row r="101" customFormat="false" ht="15" hidden="false" customHeight="false" outlineLevel="0" collapsed="false">
      <c r="A101" s="6" t="n">
        <v>100</v>
      </c>
      <c r="B101" s="7" t="s">
        <v>696</v>
      </c>
      <c r="C101" s="6" t="str">
        <f aca="false">IF(U101&lt;&gt;"","Client",IF(D101&gt;=9,"A",IF(D101&gt;=7,"B","C")))</f>
        <v>B</v>
      </c>
      <c r="D101" s="6" t="n">
        <f aca="false">E101+F101+G101</f>
        <v>8</v>
      </c>
      <c r="E101" s="6" t="n">
        <v>3</v>
      </c>
      <c r="F101" s="6" t="n">
        <v>2</v>
      </c>
      <c r="G101" s="8" t="n">
        <v>3</v>
      </c>
      <c r="H101" s="6" t="s">
        <v>182</v>
      </c>
      <c r="I101" s="6" t="s">
        <v>287</v>
      </c>
      <c r="J101" s="2" t="s">
        <v>696</v>
      </c>
      <c r="K101" s="2" t="s">
        <v>92</v>
      </c>
      <c r="L101" s="2" t="s">
        <v>93</v>
      </c>
      <c r="M101" s="2"/>
      <c r="N101" s="2" t="s">
        <v>184</v>
      </c>
      <c r="O101" s="2" t="s">
        <v>697</v>
      </c>
      <c r="P101" s="2" t="s">
        <v>698</v>
      </c>
      <c r="Q101" s="6" t="s">
        <v>178</v>
      </c>
      <c r="R101" s="6" t="s">
        <v>85</v>
      </c>
      <c r="S101" s="9" t="s">
        <v>699</v>
      </c>
      <c r="T101" s="6"/>
      <c r="U101" s="6"/>
      <c r="V101" s="10"/>
      <c r="W101" s="10" t="s">
        <v>88</v>
      </c>
      <c r="X101" s="10"/>
      <c r="Y101" s="10"/>
    </row>
    <row r="102" customFormat="false" ht="35.05" hidden="false" customHeight="false" outlineLevel="0" collapsed="false">
      <c r="A102" s="6" t="n">
        <v>101</v>
      </c>
      <c r="B102" s="7" t="s">
        <v>700</v>
      </c>
      <c r="C102" s="6" t="str">
        <f aca="false">IF(U102&lt;&gt;"","Client",IF(D102&gt;=9,"A",IF(D102&gt;=7,"B","C")))</f>
        <v>B</v>
      </c>
      <c r="D102" s="6" t="n">
        <f aca="false">E102+F102+G102</f>
        <v>8</v>
      </c>
      <c r="E102" s="6" t="n">
        <v>3</v>
      </c>
      <c r="F102" s="6" t="n">
        <v>2</v>
      </c>
      <c r="G102" s="8" t="n">
        <v>3</v>
      </c>
      <c r="H102" s="6" t="s">
        <v>153</v>
      </c>
      <c r="I102" s="6" t="s">
        <v>287</v>
      </c>
      <c r="J102" s="2" t="s">
        <v>701</v>
      </c>
      <c r="K102" s="2" t="s">
        <v>702</v>
      </c>
      <c r="L102" s="2" t="s">
        <v>112</v>
      </c>
      <c r="M102" s="2"/>
      <c r="N102" s="2" t="s">
        <v>338</v>
      </c>
      <c r="O102" s="2" t="s">
        <v>703</v>
      </c>
      <c r="P102" s="2" t="s">
        <v>704</v>
      </c>
      <c r="Q102" s="6" t="s">
        <v>160</v>
      </c>
      <c r="R102" s="6" t="s">
        <v>85</v>
      </c>
      <c r="S102" s="9" t="s">
        <v>705</v>
      </c>
      <c r="T102" s="9" t="s">
        <v>706</v>
      </c>
      <c r="U102" s="6"/>
      <c r="V102" s="10"/>
      <c r="W102" s="10" t="s">
        <v>88</v>
      </c>
      <c r="X102" s="10"/>
      <c r="Y102" s="10"/>
    </row>
    <row r="103" customFormat="false" ht="15" hidden="false" customHeight="false" outlineLevel="0" collapsed="false">
      <c r="A103" s="6" t="n">
        <v>102</v>
      </c>
      <c r="B103" s="7" t="s">
        <v>707</v>
      </c>
      <c r="C103" s="6" t="str">
        <f aca="false">IF(U103&lt;&gt;"","Client",IF(D103&gt;=9,"A",IF(D103&gt;=7,"B","C")))</f>
        <v>B</v>
      </c>
      <c r="D103" s="6" t="n">
        <f aca="false">E103+F103+G103</f>
        <v>8</v>
      </c>
      <c r="E103" s="6" t="n">
        <v>3</v>
      </c>
      <c r="F103" s="6" t="n">
        <v>2</v>
      </c>
      <c r="G103" s="8" t="n">
        <v>3</v>
      </c>
      <c r="H103" s="6" t="s">
        <v>182</v>
      </c>
      <c r="I103" s="6" t="s">
        <v>287</v>
      </c>
      <c r="J103" s="2" t="s">
        <v>708</v>
      </c>
      <c r="K103" s="2" t="s">
        <v>92</v>
      </c>
      <c r="L103" s="2" t="s">
        <v>93</v>
      </c>
      <c r="M103" s="2"/>
      <c r="N103" s="2" t="s">
        <v>482</v>
      </c>
      <c r="O103" s="2" t="s">
        <v>709</v>
      </c>
      <c r="P103" s="2" t="s">
        <v>710</v>
      </c>
      <c r="Q103" s="6" t="s">
        <v>97</v>
      </c>
      <c r="R103" s="6" t="s">
        <v>98</v>
      </c>
      <c r="S103" s="6"/>
      <c r="T103" s="6"/>
      <c r="U103" s="6"/>
      <c r="V103" s="10"/>
      <c r="W103" s="10" t="s">
        <v>88</v>
      </c>
      <c r="X103" s="10"/>
      <c r="Y103" s="10"/>
    </row>
    <row r="104" customFormat="false" ht="23.85" hidden="false" customHeight="false" outlineLevel="0" collapsed="false">
      <c r="A104" s="6" t="n">
        <v>103</v>
      </c>
      <c r="B104" s="7" t="s">
        <v>711</v>
      </c>
      <c r="C104" s="6" t="str">
        <f aca="false">IF(U104&lt;&gt;"","Client",IF(D104&gt;=9,"A",IF(D104&gt;=7,"B","C")))</f>
        <v>B</v>
      </c>
      <c r="D104" s="6" t="n">
        <f aca="false">E104+F104+G104</f>
        <v>8</v>
      </c>
      <c r="E104" s="6" t="n">
        <v>3</v>
      </c>
      <c r="F104" s="6" t="n">
        <v>2</v>
      </c>
      <c r="G104" s="8" t="n">
        <v>3</v>
      </c>
      <c r="H104" s="6" t="s">
        <v>626</v>
      </c>
      <c r="I104" s="6" t="s">
        <v>287</v>
      </c>
      <c r="J104" s="2" t="s">
        <v>708</v>
      </c>
      <c r="K104" s="2" t="s">
        <v>92</v>
      </c>
      <c r="L104" s="2" t="s">
        <v>93</v>
      </c>
      <c r="M104" s="2"/>
      <c r="N104" s="2" t="s">
        <v>184</v>
      </c>
      <c r="O104" s="2" t="s">
        <v>712</v>
      </c>
      <c r="P104" s="2" t="s">
        <v>713</v>
      </c>
      <c r="Q104" s="6" t="s">
        <v>160</v>
      </c>
      <c r="R104" s="6" t="s">
        <v>85</v>
      </c>
      <c r="S104" s="9" t="s">
        <v>714</v>
      </c>
      <c r="T104" s="6"/>
      <c r="U104" s="6"/>
      <c r="V104" s="10"/>
      <c r="W104" s="10" t="s">
        <v>88</v>
      </c>
      <c r="X104" s="10"/>
      <c r="Y104" s="10"/>
    </row>
    <row r="105" customFormat="false" ht="23.85" hidden="false" customHeight="false" outlineLevel="0" collapsed="false">
      <c r="A105" s="6" t="n">
        <v>104</v>
      </c>
      <c r="B105" s="7" t="s">
        <v>645</v>
      </c>
      <c r="C105" s="6" t="str">
        <f aca="false">IF(U105&lt;&gt;"","Client",IF(D105&gt;=9,"A",IF(D105&gt;=7,"B","C")))</f>
        <v>B</v>
      </c>
      <c r="D105" s="6" t="n">
        <f aca="false">E105+F105+G105</f>
        <v>8</v>
      </c>
      <c r="E105" s="6" t="n">
        <v>3</v>
      </c>
      <c r="F105" s="6" t="n">
        <v>2</v>
      </c>
      <c r="G105" s="8" t="n">
        <v>3</v>
      </c>
      <c r="H105" s="6" t="s">
        <v>164</v>
      </c>
      <c r="I105" s="6" t="s">
        <v>287</v>
      </c>
      <c r="J105" s="2" t="s">
        <v>715</v>
      </c>
      <c r="K105" s="2" t="s">
        <v>716</v>
      </c>
      <c r="L105" s="2" t="s">
        <v>167</v>
      </c>
      <c r="M105" s="2"/>
      <c r="N105" s="2" t="s">
        <v>717</v>
      </c>
      <c r="O105" s="2" t="s">
        <v>718</v>
      </c>
      <c r="P105" s="2" t="s">
        <v>719</v>
      </c>
      <c r="Q105" s="6" t="s">
        <v>504</v>
      </c>
      <c r="R105" s="6" t="s">
        <v>106</v>
      </c>
      <c r="S105" s="9" t="s">
        <v>720</v>
      </c>
      <c r="T105" s="9" t="s">
        <v>721</v>
      </c>
      <c r="U105" s="6"/>
      <c r="V105" s="10"/>
      <c r="W105" s="10" t="s">
        <v>88</v>
      </c>
      <c r="X105" s="10"/>
      <c r="Y105" s="10"/>
    </row>
    <row r="106" customFormat="false" ht="23.85" hidden="false" customHeight="false" outlineLevel="0" collapsed="false">
      <c r="A106" s="6" t="n">
        <v>105</v>
      </c>
      <c r="B106" s="7" t="s">
        <v>722</v>
      </c>
      <c r="C106" s="6" t="str">
        <f aca="false">IF(U106&lt;&gt;"","Client",IF(D106&gt;=9,"A",IF(D106&gt;=7,"B","C")))</f>
        <v>B</v>
      </c>
      <c r="D106" s="6" t="n">
        <f aca="false">E106+F106+G106</f>
        <v>8</v>
      </c>
      <c r="E106" s="6" t="n">
        <v>3</v>
      </c>
      <c r="F106" s="6" t="n">
        <v>2</v>
      </c>
      <c r="G106" s="8" t="n">
        <v>3</v>
      </c>
      <c r="H106" s="6" t="s">
        <v>626</v>
      </c>
      <c r="I106" s="6" t="s">
        <v>287</v>
      </c>
      <c r="J106" s="2" t="s">
        <v>723</v>
      </c>
      <c r="K106" s="2" t="s">
        <v>724</v>
      </c>
      <c r="L106" s="2" t="s">
        <v>102</v>
      </c>
      <c r="M106" s="2"/>
      <c r="N106" s="2" t="s">
        <v>103</v>
      </c>
      <c r="O106" s="2" t="s">
        <v>725</v>
      </c>
      <c r="P106" s="2" t="s">
        <v>726</v>
      </c>
      <c r="Q106" s="6" t="s">
        <v>97</v>
      </c>
      <c r="R106" s="6" t="s">
        <v>85</v>
      </c>
      <c r="S106" s="9" t="s">
        <v>727</v>
      </c>
      <c r="T106" s="6"/>
      <c r="U106" s="6"/>
      <c r="V106" s="10"/>
      <c r="W106" s="10" t="s">
        <v>88</v>
      </c>
      <c r="X106" s="10"/>
      <c r="Y106" s="10"/>
    </row>
    <row r="107" customFormat="false" ht="46.25" hidden="false" customHeight="false" outlineLevel="0" collapsed="false">
      <c r="A107" s="6" t="n">
        <v>106</v>
      </c>
      <c r="B107" s="7" t="s">
        <v>728</v>
      </c>
      <c r="C107" s="6" t="str">
        <f aca="false">IF(U107&lt;&gt;"","Client",IF(D107&gt;=9,"A",IF(D107&gt;=7,"B","C")))</f>
        <v>B</v>
      </c>
      <c r="D107" s="6" t="n">
        <f aca="false">E107+F107+G107</f>
        <v>8</v>
      </c>
      <c r="E107" s="6" t="n">
        <v>3</v>
      </c>
      <c r="F107" s="6" t="n">
        <v>2</v>
      </c>
      <c r="G107" s="8" t="n">
        <v>3</v>
      </c>
      <c r="H107" s="6" t="s">
        <v>164</v>
      </c>
      <c r="I107" s="6" t="s">
        <v>287</v>
      </c>
      <c r="J107" s="2" t="s">
        <v>729</v>
      </c>
      <c r="K107" s="2" t="s">
        <v>730</v>
      </c>
      <c r="L107" s="2" t="s">
        <v>102</v>
      </c>
      <c r="M107" s="2"/>
      <c r="N107" s="2" t="s">
        <v>338</v>
      </c>
      <c r="O107" s="2" t="s">
        <v>731</v>
      </c>
      <c r="P107" s="2" t="s">
        <v>732</v>
      </c>
      <c r="Q107" s="6" t="s">
        <v>389</v>
      </c>
      <c r="R107" s="6" t="s">
        <v>106</v>
      </c>
      <c r="S107" s="9" t="s">
        <v>733</v>
      </c>
      <c r="T107" s="9" t="s">
        <v>734</v>
      </c>
      <c r="U107" s="6"/>
      <c r="V107" s="10"/>
      <c r="W107" s="10" t="s">
        <v>88</v>
      </c>
      <c r="X107" s="10"/>
      <c r="Y107" s="10"/>
    </row>
    <row r="108" customFormat="false" ht="23.85" hidden="false" customHeight="false" outlineLevel="0" collapsed="false">
      <c r="A108" s="6" t="n">
        <v>107</v>
      </c>
      <c r="B108" s="7" t="s">
        <v>735</v>
      </c>
      <c r="C108" s="6" t="str">
        <f aca="false">IF(U108&lt;&gt;"","Client",IF(D108&gt;=9,"A",IF(D108&gt;=7,"B","C")))</f>
        <v>B</v>
      </c>
      <c r="D108" s="6" t="n">
        <f aca="false">E108+F108+G108</f>
        <v>8</v>
      </c>
      <c r="E108" s="6" t="n">
        <v>3</v>
      </c>
      <c r="F108" s="6" t="n">
        <v>2</v>
      </c>
      <c r="G108" s="8" t="n">
        <v>3</v>
      </c>
      <c r="H108" s="6" t="s">
        <v>164</v>
      </c>
      <c r="I108" s="6" t="s">
        <v>287</v>
      </c>
      <c r="J108" s="2" t="s">
        <v>645</v>
      </c>
      <c r="K108" s="2" t="s">
        <v>736</v>
      </c>
      <c r="L108" s="2" t="s">
        <v>102</v>
      </c>
      <c r="M108" s="2"/>
      <c r="N108" s="2" t="s">
        <v>103</v>
      </c>
      <c r="O108" s="2" t="s">
        <v>737</v>
      </c>
      <c r="P108" s="2" t="s">
        <v>738</v>
      </c>
      <c r="Q108" s="6" t="s">
        <v>281</v>
      </c>
      <c r="R108" s="6" t="s">
        <v>85</v>
      </c>
      <c r="S108" s="9" t="s">
        <v>739</v>
      </c>
      <c r="T108" s="9" t="s">
        <v>740</v>
      </c>
      <c r="U108" s="6"/>
      <c r="V108" s="10"/>
      <c r="W108" s="10" t="s">
        <v>88</v>
      </c>
      <c r="X108" s="10"/>
      <c r="Y108" s="10"/>
    </row>
    <row r="109" customFormat="false" ht="46.25" hidden="false" customHeight="false" outlineLevel="0" collapsed="false">
      <c r="A109" s="6" t="n">
        <v>108</v>
      </c>
      <c r="B109" s="7" t="s">
        <v>741</v>
      </c>
      <c r="C109" s="6" t="str">
        <f aca="false">IF(U109&lt;&gt;"","Client",IF(D109&gt;=9,"A",IF(D109&gt;=7,"B","C")))</f>
        <v>B</v>
      </c>
      <c r="D109" s="6" t="n">
        <f aca="false">E109+F109+G109</f>
        <v>8</v>
      </c>
      <c r="E109" s="6" t="n">
        <v>3</v>
      </c>
      <c r="F109" s="6" t="n">
        <v>2</v>
      </c>
      <c r="G109" s="8" t="n">
        <v>3</v>
      </c>
      <c r="H109" s="6" t="s">
        <v>153</v>
      </c>
      <c r="I109" s="6" t="s">
        <v>287</v>
      </c>
      <c r="J109" s="2" t="s">
        <v>742</v>
      </c>
      <c r="K109" s="2" t="s">
        <v>743</v>
      </c>
      <c r="L109" s="2" t="s">
        <v>744</v>
      </c>
      <c r="M109" s="2"/>
      <c r="N109" s="2" t="s">
        <v>745</v>
      </c>
      <c r="O109" s="2" t="s">
        <v>746</v>
      </c>
      <c r="P109" s="2" t="s">
        <v>747</v>
      </c>
      <c r="Q109" s="6" t="s">
        <v>97</v>
      </c>
      <c r="R109" s="6" t="s">
        <v>85</v>
      </c>
      <c r="S109" s="9" t="s">
        <v>748</v>
      </c>
      <c r="T109" s="9" t="s">
        <v>749</v>
      </c>
      <c r="U109" s="6"/>
      <c r="V109" s="10"/>
      <c r="W109" s="10" t="s">
        <v>88</v>
      </c>
      <c r="X109" s="10"/>
      <c r="Y109" s="10"/>
    </row>
    <row r="110" customFormat="false" ht="35.05" hidden="false" customHeight="false" outlineLevel="0" collapsed="false">
      <c r="A110" s="6" t="n">
        <v>109</v>
      </c>
      <c r="B110" s="7" t="s">
        <v>750</v>
      </c>
      <c r="C110" s="6" t="str">
        <f aca="false">IF(U110&lt;&gt;"","Client",IF(D110&gt;=9,"A",IF(D110&gt;=7,"B","C")))</f>
        <v>B</v>
      </c>
      <c r="D110" s="6" t="n">
        <f aca="false">E110+F110+G110</f>
        <v>8</v>
      </c>
      <c r="E110" s="6" t="n">
        <v>3</v>
      </c>
      <c r="F110" s="6" t="n">
        <v>2</v>
      </c>
      <c r="G110" s="8" t="n">
        <v>3</v>
      </c>
      <c r="H110" s="6" t="s">
        <v>153</v>
      </c>
      <c r="I110" s="6" t="s">
        <v>287</v>
      </c>
      <c r="J110" s="2" t="s">
        <v>751</v>
      </c>
      <c r="K110" s="2" t="s">
        <v>752</v>
      </c>
      <c r="L110" s="2" t="s">
        <v>102</v>
      </c>
      <c r="M110" s="2"/>
      <c r="N110" s="2" t="s">
        <v>753</v>
      </c>
      <c r="O110" s="2" t="s">
        <v>754</v>
      </c>
      <c r="P110" s="2" t="s">
        <v>755</v>
      </c>
      <c r="Q110" s="6" t="s">
        <v>160</v>
      </c>
      <c r="R110" s="6" t="s">
        <v>85</v>
      </c>
      <c r="S110" s="9" t="s">
        <v>756</v>
      </c>
      <c r="T110" s="9" t="s">
        <v>757</v>
      </c>
      <c r="U110" s="6"/>
      <c r="V110" s="10"/>
      <c r="W110" s="10" t="s">
        <v>88</v>
      </c>
      <c r="X110" s="10"/>
      <c r="Y110" s="10"/>
    </row>
    <row r="111" customFormat="false" ht="23.85" hidden="false" customHeight="false" outlineLevel="0" collapsed="false">
      <c r="A111" s="6" t="n">
        <v>110</v>
      </c>
      <c r="B111" s="7" t="s">
        <v>758</v>
      </c>
      <c r="C111" s="6" t="str">
        <f aca="false">IF(U111&lt;&gt;"","Client",IF(D111&gt;=9,"A",IF(D111&gt;=7,"B","C")))</f>
        <v>B</v>
      </c>
      <c r="D111" s="6" t="n">
        <f aca="false">E111+F111+G111</f>
        <v>8</v>
      </c>
      <c r="E111" s="6" t="n">
        <v>3</v>
      </c>
      <c r="F111" s="6" t="n">
        <v>2</v>
      </c>
      <c r="G111" s="8" t="n">
        <v>3</v>
      </c>
      <c r="H111" s="6" t="s">
        <v>164</v>
      </c>
      <c r="I111" s="6" t="s">
        <v>287</v>
      </c>
      <c r="J111" s="2" t="s">
        <v>759</v>
      </c>
      <c r="K111" s="2" t="s">
        <v>760</v>
      </c>
      <c r="L111" s="2" t="s">
        <v>102</v>
      </c>
      <c r="M111" s="2"/>
      <c r="N111" s="2" t="s">
        <v>103</v>
      </c>
      <c r="O111" s="2" t="s">
        <v>761</v>
      </c>
      <c r="P111" s="2" t="s">
        <v>762</v>
      </c>
      <c r="Q111" s="6" t="s">
        <v>517</v>
      </c>
      <c r="R111" s="6" t="s">
        <v>85</v>
      </c>
      <c r="S111" s="9" t="s">
        <v>763</v>
      </c>
      <c r="T111" s="6"/>
      <c r="U111" s="6"/>
      <c r="V111" s="10"/>
      <c r="W111" s="10" t="s">
        <v>88</v>
      </c>
      <c r="X111" s="10"/>
      <c r="Y111" s="10"/>
    </row>
    <row r="112" customFormat="false" ht="46.25" hidden="false" customHeight="false" outlineLevel="0" collapsed="false">
      <c r="A112" s="6" t="n">
        <v>111</v>
      </c>
      <c r="B112" s="7" t="s">
        <v>764</v>
      </c>
      <c r="C112" s="6" t="str">
        <f aca="false">IF(U112&lt;&gt;"","Client",IF(D112&gt;=9,"A",IF(D112&gt;=7,"B","C")))</f>
        <v>B</v>
      </c>
      <c r="D112" s="6" t="n">
        <f aca="false">E112+F112+G112</f>
        <v>8</v>
      </c>
      <c r="E112" s="6" t="n">
        <v>3</v>
      </c>
      <c r="F112" s="6" t="n">
        <v>2</v>
      </c>
      <c r="G112" s="8" t="n">
        <v>3</v>
      </c>
      <c r="H112" s="6" t="s">
        <v>153</v>
      </c>
      <c r="I112" s="6" t="s">
        <v>287</v>
      </c>
      <c r="J112" s="2" t="s">
        <v>765</v>
      </c>
      <c r="K112" s="2" t="s">
        <v>766</v>
      </c>
      <c r="L112" s="2" t="s">
        <v>102</v>
      </c>
      <c r="M112" s="2" t="s">
        <v>401</v>
      </c>
      <c r="N112" s="2" t="s">
        <v>445</v>
      </c>
      <c r="O112" s="2" t="s">
        <v>767</v>
      </c>
      <c r="P112" s="2" t="s">
        <v>768</v>
      </c>
      <c r="Q112" s="6" t="s">
        <v>308</v>
      </c>
      <c r="R112" s="6" t="s">
        <v>85</v>
      </c>
      <c r="S112" s="9" t="s">
        <v>769</v>
      </c>
      <c r="T112" s="9" t="s">
        <v>770</v>
      </c>
      <c r="U112" s="6"/>
      <c r="V112" s="10"/>
      <c r="W112" s="10" t="s">
        <v>88</v>
      </c>
      <c r="X112" s="10"/>
      <c r="Y112" s="10"/>
    </row>
    <row r="113" customFormat="false" ht="35.05" hidden="false" customHeight="false" outlineLevel="0" collapsed="false">
      <c r="A113" s="6" t="n">
        <v>112</v>
      </c>
      <c r="B113" s="7" t="s">
        <v>771</v>
      </c>
      <c r="C113" s="6" t="str">
        <f aca="false">IF(U113&lt;&gt;"","Client",IF(D113&gt;=9,"A",IF(D113&gt;=7,"B","C")))</f>
        <v>B</v>
      </c>
      <c r="D113" s="6" t="n">
        <f aca="false">E113+F113+G113</f>
        <v>8</v>
      </c>
      <c r="E113" s="6" t="n">
        <v>4</v>
      </c>
      <c r="F113" s="6" t="n">
        <v>2</v>
      </c>
      <c r="G113" s="8" t="n">
        <v>2</v>
      </c>
      <c r="H113" s="6" t="s">
        <v>90</v>
      </c>
      <c r="I113" s="6" t="s">
        <v>287</v>
      </c>
      <c r="J113" s="2" t="s">
        <v>772</v>
      </c>
      <c r="K113" s="2" t="s">
        <v>773</v>
      </c>
      <c r="L113" s="2" t="s">
        <v>112</v>
      </c>
      <c r="M113" s="2"/>
      <c r="N113" s="2" t="s">
        <v>247</v>
      </c>
      <c r="O113" s="2" t="s">
        <v>774</v>
      </c>
      <c r="P113" s="2" t="s">
        <v>775</v>
      </c>
      <c r="Q113" s="6" t="s">
        <v>308</v>
      </c>
      <c r="R113" s="6" t="s">
        <v>85</v>
      </c>
      <c r="S113" s="9" t="s">
        <v>776</v>
      </c>
      <c r="T113" s="9" t="s">
        <v>777</v>
      </c>
      <c r="U113" s="6"/>
      <c r="V113" s="10"/>
      <c r="W113" s="10" t="s">
        <v>88</v>
      </c>
      <c r="X113" s="10"/>
      <c r="Y113" s="10"/>
    </row>
    <row r="114" customFormat="false" ht="23.85" hidden="false" customHeight="false" outlineLevel="0" collapsed="false">
      <c r="A114" s="6" t="n">
        <v>113</v>
      </c>
      <c r="B114" s="7" t="s">
        <v>778</v>
      </c>
      <c r="C114" s="6" t="str">
        <f aca="false">IF(U114&lt;&gt;"","Client",IF(D114&gt;=9,"A",IF(D114&gt;=7,"B","C")))</f>
        <v>B</v>
      </c>
      <c r="D114" s="6" t="n">
        <f aca="false">E114+F114+G114</f>
        <v>8</v>
      </c>
      <c r="E114" s="6" t="n">
        <v>4</v>
      </c>
      <c r="F114" s="6" t="n">
        <v>2</v>
      </c>
      <c r="G114" s="8" t="n">
        <v>2</v>
      </c>
      <c r="H114" s="6" t="s">
        <v>118</v>
      </c>
      <c r="I114" s="6" t="s">
        <v>287</v>
      </c>
      <c r="J114" s="2" t="s">
        <v>779</v>
      </c>
      <c r="K114" s="2" t="s">
        <v>92</v>
      </c>
      <c r="L114" s="2" t="s">
        <v>93</v>
      </c>
      <c r="M114" s="2"/>
      <c r="N114" s="2" t="s">
        <v>219</v>
      </c>
      <c r="O114" s="2" t="s">
        <v>780</v>
      </c>
      <c r="P114" s="2" t="s">
        <v>781</v>
      </c>
      <c r="Q114" s="6" t="s">
        <v>130</v>
      </c>
      <c r="R114" s="6" t="s">
        <v>98</v>
      </c>
      <c r="S114" s="9" t="s">
        <v>782</v>
      </c>
      <c r="T114" s="6"/>
      <c r="U114" s="6"/>
      <c r="V114" s="10"/>
      <c r="W114" s="10" t="s">
        <v>88</v>
      </c>
      <c r="X114" s="10"/>
      <c r="Y114" s="10"/>
    </row>
    <row r="115" customFormat="false" ht="23.85" hidden="false" customHeight="false" outlineLevel="0" collapsed="false">
      <c r="A115" s="6" t="n">
        <v>114</v>
      </c>
      <c r="B115" s="7" t="s">
        <v>783</v>
      </c>
      <c r="C115" s="6" t="str">
        <f aca="false">IF(U115&lt;&gt;"","Client",IF(D115&gt;=9,"A",IF(D115&gt;=7,"B","C")))</f>
        <v>B</v>
      </c>
      <c r="D115" s="6" t="n">
        <f aca="false">E115+F115+G115</f>
        <v>8</v>
      </c>
      <c r="E115" s="6" t="n">
        <v>4</v>
      </c>
      <c r="F115" s="6" t="n">
        <v>2</v>
      </c>
      <c r="G115" s="8" t="n">
        <v>2</v>
      </c>
      <c r="H115" s="6" t="s">
        <v>76</v>
      </c>
      <c r="I115" s="6" t="s">
        <v>287</v>
      </c>
      <c r="J115" s="2" t="s">
        <v>784</v>
      </c>
      <c r="K115" s="2" t="s">
        <v>92</v>
      </c>
      <c r="L115" s="2" t="s">
        <v>93</v>
      </c>
      <c r="M115" s="2"/>
      <c r="N115" s="2" t="s">
        <v>219</v>
      </c>
      <c r="O115" s="2" t="s">
        <v>785</v>
      </c>
      <c r="P115" s="2" t="s">
        <v>786</v>
      </c>
      <c r="Q115" s="6" t="s">
        <v>448</v>
      </c>
      <c r="R115" s="6" t="s">
        <v>98</v>
      </c>
      <c r="S115" s="9" t="s">
        <v>787</v>
      </c>
      <c r="T115" s="6"/>
      <c r="U115" s="6"/>
      <c r="V115" s="10"/>
      <c r="W115" s="10" t="s">
        <v>88</v>
      </c>
      <c r="X115" s="10"/>
      <c r="Y115" s="10"/>
    </row>
    <row r="116" customFormat="false" ht="15" hidden="false" customHeight="false" outlineLevel="0" collapsed="false">
      <c r="A116" s="6" t="n">
        <v>115</v>
      </c>
      <c r="B116" s="7" t="s">
        <v>788</v>
      </c>
      <c r="C116" s="6" t="str">
        <f aca="false">IF(U116&lt;&gt;"","Client",IF(D116&gt;=9,"A",IF(D116&gt;=7,"B","C")))</f>
        <v>B</v>
      </c>
      <c r="D116" s="6" t="n">
        <f aca="false">E116+F116+G116</f>
        <v>8</v>
      </c>
      <c r="E116" s="6" t="n">
        <v>4</v>
      </c>
      <c r="F116" s="6" t="n">
        <v>2</v>
      </c>
      <c r="G116" s="8" t="n">
        <v>2</v>
      </c>
      <c r="H116" s="6" t="s">
        <v>239</v>
      </c>
      <c r="I116" s="6" t="s">
        <v>287</v>
      </c>
      <c r="J116" s="2" t="s">
        <v>789</v>
      </c>
      <c r="K116" s="2" t="s">
        <v>790</v>
      </c>
      <c r="L116" s="2" t="s">
        <v>127</v>
      </c>
      <c r="M116" s="2"/>
      <c r="N116" s="2" t="s">
        <v>269</v>
      </c>
      <c r="O116" s="2" t="s">
        <v>791</v>
      </c>
      <c r="P116" s="2" t="s">
        <v>792</v>
      </c>
      <c r="Q116" s="6" t="s">
        <v>84</v>
      </c>
      <c r="R116" s="6" t="s">
        <v>85</v>
      </c>
      <c r="S116" s="9" t="s">
        <v>793</v>
      </c>
      <c r="T116" s="6"/>
      <c r="U116" s="6"/>
      <c r="V116" s="10"/>
      <c r="W116" s="10" t="s">
        <v>88</v>
      </c>
      <c r="X116" s="10"/>
      <c r="Y116" s="10"/>
    </row>
    <row r="117" customFormat="false" ht="23.85" hidden="false" customHeight="false" outlineLevel="0" collapsed="false">
      <c r="A117" s="6" t="n">
        <v>116</v>
      </c>
      <c r="B117" s="7" t="s">
        <v>794</v>
      </c>
      <c r="C117" s="6" t="str">
        <f aca="false">IF(U117&lt;&gt;"","Client",IF(D117&gt;=9,"A",IF(D117&gt;=7,"B","C")))</f>
        <v>B</v>
      </c>
      <c r="D117" s="6" t="n">
        <f aca="false">E117+F117+G117</f>
        <v>8</v>
      </c>
      <c r="E117" s="6" t="n">
        <v>4</v>
      </c>
      <c r="F117" s="6" t="n">
        <v>2</v>
      </c>
      <c r="G117" s="8" t="n">
        <v>2</v>
      </c>
      <c r="H117" s="6" t="s">
        <v>76</v>
      </c>
      <c r="I117" s="6" t="s">
        <v>287</v>
      </c>
      <c r="J117" s="2" t="s">
        <v>795</v>
      </c>
      <c r="K117" s="2" t="s">
        <v>92</v>
      </c>
      <c r="L117" s="2" t="s">
        <v>93</v>
      </c>
      <c r="M117" s="2"/>
      <c r="N117" s="2" t="s">
        <v>219</v>
      </c>
      <c r="O117" s="2" t="s">
        <v>796</v>
      </c>
      <c r="P117" s="2" t="s">
        <v>797</v>
      </c>
      <c r="Q117" s="6" t="s">
        <v>178</v>
      </c>
      <c r="R117" s="6" t="s">
        <v>98</v>
      </c>
      <c r="S117" s="9" t="s">
        <v>798</v>
      </c>
      <c r="T117" s="6"/>
      <c r="U117" s="6"/>
      <c r="V117" s="10"/>
      <c r="W117" s="10" t="s">
        <v>88</v>
      </c>
      <c r="X117" s="10"/>
      <c r="Y117" s="10"/>
    </row>
    <row r="118" customFormat="false" ht="23.85" hidden="false" customHeight="false" outlineLevel="0" collapsed="false">
      <c r="A118" s="6" t="n">
        <v>117</v>
      </c>
      <c r="B118" s="7" t="s">
        <v>799</v>
      </c>
      <c r="C118" s="6" t="str">
        <f aca="false">IF(U118&lt;&gt;"","Client",IF(D118&gt;=9,"A",IF(D118&gt;=7,"B","C")))</f>
        <v>B</v>
      </c>
      <c r="D118" s="6" t="n">
        <f aca="false">E118+F118+G118</f>
        <v>8</v>
      </c>
      <c r="E118" s="6" t="n">
        <v>4</v>
      </c>
      <c r="F118" s="6" t="n">
        <v>2</v>
      </c>
      <c r="G118" s="8" t="n">
        <v>2</v>
      </c>
      <c r="H118" s="6" t="s">
        <v>76</v>
      </c>
      <c r="I118" s="6" t="s">
        <v>287</v>
      </c>
      <c r="J118" s="2" t="s">
        <v>800</v>
      </c>
      <c r="K118" s="2" t="s">
        <v>801</v>
      </c>
      <c r="L118" s="2" t="s">
        <v>167</v>
      </c>
      <c r="M118" s="2"/>
      <c r="N118" s="2" t="s">
        <v>802</v>
      </c>
      <c r="O118" s="2" t="s">
        <v>803</v>
      </c>
      <c r="P118" s="2" t="s">
        <v>804</v>
      </c>
      <c r="Q118" s="6" t="s">
        <v>341</v>
      </c>
      <c r="R118" s="6" t="s">
        <v>106</v>
      </c>
      <c r="S118" s="9" t="s">
        <v>805</v>
      </c>
      <c r="T118" s="6"/>
      <c r="U118" s="6"/>
      <c r="V118" s="10"/>
      <c r="W118" s="10" t="s">
        <v>88</v>
      </c>
      <c r="X118" s="10"/>
      <c r="Y118" s="10"/>
    </row>
    <row r="119" customFormat="false" ht="15" hidden="false" customHeight="false" outlineLevel="0" collapsed="false">
      <c r="A119" s="6" t="n">
        <v>118</v>
      </c>
      <c r="B119" s="7" t="s">
        <v>806</v>
      </c>
      <c r="C119" s="6" t="str">
        <f aca="false">IF(U119&lt;&gt;"","Client",IF(D119&gt;=9,"A",IF(D119&gt;=7,"B","C")))</f>
        <v>B</v>
      </c>
      <c r="D119" s="6" t="n">
        <f aca="false">E119+F119+G119</f>
        <v>8</v>
      </c>
      <c r="E119" s="6" t="n">
        <v>4</v>
      </c>
      <c r="F119" s="6" t="n">
        <v>2</v>
      </c>
      <c r="G119" s="8" t="n">
        <v>2</v>
      </c>
      <c r="H119" s="6" t="s">
        <v>76</v>
      </c>
      <c r="I119" s="6" t="s">
        <v>287</v>
      </c>
      <c r="J119" s="2" t="s">
        <v>806</v>
      </c>
      <c r="K119" s="2" t="s">
        <v>92</v>
      </c>
      <c r="L119" s="2" t="s">
        <v>93</v>
      </c>
      <c r="M119" s="2"/>
      <c r="N119" s="2" t="s">
        <v>219</v>
      </c>
      <c r="O119" s="2" t="s">
        <v>807</v>
      </c>
      <c r="P119" s="2" t="s">
        <v>808</v>
      </c>
      <c r="Q119" s="6" t="s">
        <v>97</v>
      </c>
      <c r="R119" s="6" t="s">
        <v>106</v>
      </c>
      <c r="S119" s="9" t="s">
        <v>809</v>
      </c>
      <c r="T119" s="6"/>
      <c r="U119" s="6"/>
      <c r="V119" s="10"/>
      <c r="W119" s="10" t="s">
        <v>88</v>
      </c>
      <c r="X119" s="10"/>
      <c r="Y119" s="10"/>
    </row>
    <row r="120" customFormat="false" ht="23.85" hidden="false" customHeight="false" outlineLevel="0" collapsed="false">
      <c r="A120" s="6" t="n">
        <v>119</v>
      </c>
      <c r="B120" s="7" t="s">
        <v>810</v>
      </c>
      <c r="C120" s="6" t="str">
        <f aca="false">IF(U120&lt;&gt;"","Client",IF(D120&gt;=9,"A",IF(D120&gt;=7,"B","C")))</f>
        <v>B</v>
      </c>
      <c r="D120" s="6" t="n">
        <f aca="false">E120+F120+G120</f>
        <v>8</v>
      </c>
      <c r="E120" s="6" t="n">
        <v>4</v>
      </c>
      <c r="F120" s="6" t="n">
        <v>2</v>
      </c>
      <c r="G120" s="8" t="n">
        <v>2</v>
      </c>
      <c r="H120" s="6" t="s">
        <v>239</v>
      </c>
      <c r="I120" s="6" t="s">
        <v>287</v>
      </c>
      <c r="J120" s="2" t="s">
        <v>811</v>
      </c>
      <c r="K120" s="2" t="s">
        <v>812</v>
      </c>
      <c r="L120" s="2" t="s">
        <v>127</v>
      </c>
      <c r="M120" s="2"/>
      <c r="N120" s="2" t="s">
        <v>247</v>
      </c>
      <c r="O120" s="2" t="s">
        <v>813</v>
      </c>
      <c r="P120" s="2" t="s">
        <v>814</v>
      </c>
      <c r="Q120" s="6" t="s">
        <v>160</v>
      </c>
      <c r="R120" s="6" t="s">
        <v>106</v>
      </c>
      <c r="S120" s="9" t="s">
        <v>815</v>
      </c>
      <c r="T120" s="9" t="s">
        <v>816</v>
      </c>
      <c r="U120" s="6"/>
      <c r="V120" s="10"/>
      <c r="W120" s="10" t="s">
        <v>88</v>
      </c>
      <c r="X120" s="10"/>
      <c r="Y120" s="10"/>
    </row>
    <row r="121" customFormat="false" ht="35.05" hidden="false" customHeight="false" outlineLevel="0" collapsed="false">
      <c r="A121" s="6" t="n">
        <v>120</v>
      </c>
      <c r="B121" s="7" t="s">
        <v>817</v>
      </c>
      <c r="C121" s="6" t="str">
        <f aca="false">IF(U121&lt;&gt;"","Client",IF(D121&gt;=9,"A",IF(D121&gt;=7,"B","C")))</f>
        <v>B</v>
      </c>
      <c r="D121" s="6" t="n">
        <f aca="false">E121+F121+G121</f>
        <v>8</v>
      </c>
      <c r="E121" s="6" t="n">
        <v>4</v>
      </c>
      <c r="F121" s="6" t="n">
        <v>2</v>
      </c>
      <c r="G121" s="8" t="n">
        <v>2</v>
      </c>
      <c r="H121" s="6" t="s">
        <v>118</v>
      </c>
      <c r="I121" s="6" t="s">
        <v>287</v>
      </c>
      <c r="J121" s="2" t="s">
        <v>818</v>
      </c>
      <c r="K121" s="2" t="s">
        <v>819</v>
      </c>
      <c r="L121" s="2" t="s">
        <v>127</v>
      </c>
      <c r="M121" s="2"/>
      <c r="N121" s="2" t="s">
        <v>247</v>
      </c>
      <c r="O121" s="2" t="s">
        <v>820</v>
      </c>
      <c r="P121" s="2" t="s">
        <v>821</v>
      </c>
      <c r="Q121" s="6" t="s">
        <v>130</v>
      </c>
      <c r="R121" s="6" t="s">
        <v>85</v>
      </c>
      <c r="S121" s="9" t="s">
        <v>822</v>
      </c>
      <c r="T121" s="6"/>
      <c r="U121" s="6"/>
      <c r="V121" s="10"/>
      <c r="W121" s="10" t="s">
        <v>88</v>
      </c>
      <c r="X121" s="10"/>
      <c r="Y121" s="10"/>
    </row>
    <row r="122" customFormat="false" ht="35.05" hidden="false" customHeight="false" outlineLevel="0" collapsed="false">
      <c r="A122" s="6" t="n">
        <v>121</v>
      </c>
      <c r="B122" s="7" t="s">
        <v>823</v>
      </c>
      <c r="C122" s="6" t="str">
        <f aca="false">IF(U122&lt;&gt;"","Client",IF(D122&gt;=9,"A",IF(D122&gt;=7,"B","C")))</f>
        <v>B</v>
      </c>
      <c r="D122" s="6" t="n">
        <f aca="false">E122+F122+G122</f>
        <v>8</v>
      </c>
      <c r="E122" s="6" t="n">
        <v>4</v>
      </c>
      <c r="F122" s="6" t="n">
        <v>2</v>
      </c>
      <c r="G122" s="8" t="n">
        <v>2</v>
      </c>
      <c r="H122" s="6" t="s">
        <v>90</v>
      </c>
      <c r="I122" s="6" t="s">
        <v>287</v>
      </c>
      <c r="J122" s="2" t="s">
        <v>824</v>
      </c>
      <c r="K122" s="2" t="s">
        <v>825</v>
      </c>
      <c r="L122" s="2" t="s">
        <v>127</v>
      </c>
      <c r="M122" s="2"/>
      <c r="N122" s="2" t="s">
        <v>269</v>
      </c>
      <c r="O122" s="2" t="s">
        <v>826</v>
      </c>
      <c r="P122" s="2" t="s">
        <v>827</v>
      </c>
      <c r="Q122" s="6" t="s">
        <v>84</v>
      </c>
      <c r="R122" s="6" t="s">
        <v>85</v>
      </c>
      <c r="S122" s="9" t="s">
        <v>828</v>
      </c>
      <c r="T122" s="6"/>
      <c r="U122" s="6"/>
      <c r="V122" s="10"/>
      <c r="W122" s="10" t="s">
        <v>88</v>
      </c>
      <c r="X122" s="10"/>
      <c r="Y122" s="10"/>
    </row>
    <row r="123" customFormat="false" ht="23.85" hidden="false" customHeight="false" outlineLevel="0" collapsed="false">
      <c r="A123" s="6" t="n">
        <v>122</v>
      </c>
      <c r="B123" s="7" t="s">
        <v>829</v>
      </c>
      <c r="C123" s="6" t="str">
        <f aca="false">IF(U123&lt;&gt;"","Client",IF(D123&gt;=9,"A",IF(D123&gt;=7,"B","C")))</f>
        <v>B</v>
      </c>
      <c r="D123" s="6" t="n">
        <f aca="false">E123+F123+G123</f>
        <v>8</v>
      </c>
      <c r="E123" s="6" t="n">
        <v>4</v>
      </c>
      <c r="F123" s="6" t="n">
        <v>2</v>
      </c>
      <c r="G123" s="8" t="n">
        <v>2</v>
      </c>
      <c r="H123" s="6" t="s">
        <v>76</v>
      </c>
      <c r="I123" s="6" t="s">
        <v>287</v>
      </c>
      <c r="J123" s="2" t="s">
        <v>830</v>
      </c>
      <c r="K123" s="2" t="s">
        <v>831</v>
      </c>
      <c r="L123" s="2" t="s">
        <v>167</v>
      </c>
      <c r="M123" s="2"/>
      <c r="N123" s="2" t="s">
        <v>247</v>
      </c>
      <c r="O123" s="2" t="s">
        <v>832</v>
      </c>
      <c r="P123" s="2" t="s">
        <v>833</v>
      </c>
      <c r="Q123" s="6" t="s">
        <v>834</v>
      </c>
      <c r="R123" s="6" t="s">
        <v>106</v>
      </c>
      <c r="S123" s="9" t="s">
        <v>835</v>
      </c>
      <c r="T123" s="6"/>
      <c r="U123" s="6"/>
      <c r="V123" s="10"/>
      <c r="W123" s="10" t="s">
        <v>88</v>
      </c>
      <c r="X123" s="10"/>
      <c r="Y123" s="10"/>
    </row>
    <row r="124" customFormat="false" ht="15" hidden="false" customHeight="false" outlineLevel="0" collapsed="false">
      <c r="A124" s="6" t="n">
        <v>123</v>
      </c>
      <c r="B124" s="7" t="s">
        <v>836</v>
      </c>
      <c r="C124" s="6" t="str">
        <f aca="false">IF(U124&lt;&gt;"","Client",IF(D124&gt;=9,"A",IF(D124&gt;=7,"B","C")))</f>
        <v>B</v>
      </c>
      <c r="D124" s="6" t="n">
        <f aca="false">E124+F124+G124</f>
        <v>8</v>
      </c>
      <c r="E124" s="6" t="n">
        <v>4</v>
      </c>
      <c r="F124" s="6" t="n">
        <v>2</v>
      </c>
      <c r="G124" s="8" t="n">
        <v>2</v>
      </c>
      <c r="H124" s="6" t="s">
        <v>239</v>
      </c>
      <c r="I124" s="6" t="s">
        <v>287</v>
      </c>
      <c r="J124" s="2" t="s">
        <v>836</v>
      </c>
      <c r="K124" s="2" t="s">
        <v>92</v>
      </c>
      <c r="L124" s="2" t="s">
        <v>93</v>
      </c>
      <c r="M124" s="2"/>
      <c r="N124" s="2" t="s">
        <v>219</v>
      </c>
      <c r="O124" s="2" t="s">
        <v>837</v>
      </c>
      <c r="P124" s="2" t="s">
        <v>838</v>
      </c>
      <c r="Q124" s="6" t="s">
        <v>130</v>
      </c>
      <c r="R124" s="6" t="s">
        <v>85</v>
      </c>
      <c r="S124" s="9" t="s">
        <v>839</v>
      </c>
      <c r="T124" s="6"/>
      <c r="U124" s="6"/>
      <c r="V124" s="10"/>
      <c r="W124" s="10" t="s">
        <v>88</v>
      </c>
      <c r="X124" s="10"/>
      <c r="Y124" s="10"/>
    </row>
    <row r="125" customFormat="false" ht="23.85" hidden="false" customHeight="false" outlineLevel="0" collapsed="false">
      <c r="A125" s="6" t="n">
        <v>124</v>
      </c>
      <c r="B125" s="7" t="s">
        <v>840</v>
      </c>
      <c r="C125" s="6" t="str">
        <f aca="false">IF(U125&lt;&gt;"","Client",IF(D125&gt;=9,"A",IF(D125&gt;=7,"B","C")))</f>
        <v>B</v>
      </c>
      <c r="D125" s="6" t="n">
        <f aca="false">E125+F125+G125</f>
        <v>8</v>
      </c>
      <c r="E125" s="6" t="n">
        <v>4</v>
      </c>
      <c r="F125" s="6" t="n">
        <v>2</v>
      </c>
      <c r="G125" s="8" t="n">
        <v>2</v>
      </c>
      <c r="H125" s="6" t="s">
        <v>118</v>
      </c>
      <c r="I125" s="6" t="s">
        <v>287</v>
      </c>
      <c r="J125" s="2" t="s">
        <v>841</v>
      </c>
      <c r="K125" s="2" t="s">
        <v>842</v>
      </c>
      <c r="L125" s="2" t="s">
        <v>112</v>
      </c>
      <c r="M125" s="2"/>
      <c r="N125" s="2" t="s">
        <v>247</v>
      </c>
      <c r="O125" s="2" t="s">
        <v>843</v>
      </c>
      <c r="P125" s="2" t="s">
        <v>844</v>
      </c>
      <c r="Q125" s="6" t="s">
        <v>97</v>
      </c>
      <c r="R125" s="6" t="s">
        <v>106</v>
      </c>
      <c r="S125" s="9" t="s">
        <v>845</v>
      </c>
      <c r="T125" s="9" t="s">
        <v>846</v>
      </c>
      <c r="U125" s="6"/>
      <c r="V125" s="10"/>
      <c r="W125" s="10" t="s">
        <v>88</v>
      </c>
      <c r="X125" s="10"/>
      <c r="Y125" s="10"/>
    </row>
    <row r="126" customFormat="false" ht="23.85" hidden="false" customHeight="false" outlineLevel="0" collapsed="false">
      <c r="A126" s="6" t="n">
        <v>125</v>
      </c>
      <c r="B126" s="7" t="s">
        <v>847</v>
      </c>
      <c r="C126" s="6" t="str">
        <f aca="false">IF(U126&lt;&gt;"","Client",IF(D126&gt;=9,"A",IF(D126&gt;=7,"B","C")))</f>
        <v>B</v>
      </c>
      <c r="D126" s="6" t="n">
        <f aca="false">E126+F126+G126</f>
        <v>8</v>
      </c>
      <c r="E126" s="6" t="n">
        <v>4</v>
      </c>
      <c r="F126" s="6" t="n">
        <v>2</v>
      </c>
      <c r="G126" s="8" t="n">
        <v>2</v>
      </c>
      <c r="H126" s="6" t="s">
        <v>118</v>
      </c>
      <c r="I126" s="6" t="s">
        <v>287</v>
      </c>
      <c r="J126" s="2" t="s">
        <v>848</v>
      </c>
      <c r="K126" s="2" t="s">
        <v>92</v>
      </c>
      <c r="L126" s="2" t="s">
        <v>93</v>
      </c>
      <c r="M126" s="2"/>
      <c r="N126" s="2" t="s">
        <v>219</v>
      </c>
      <c r="O126" s="2" t="s">
        <v>849</v>
      </c>
      <c r="P126" s="2" t="s">
        <v>850</v>
      </c>
      <c r="Q126" s="6" t="s">
        <v>389</v>
      </c>
      <c r="R126" s="6" t="s">
        <v>98</v>
      </c>
      <c r="S126" s="9" t="s">
        <v>851</v>
      </c>
      <c r="T126" s="6"/>
      <c r="U126" s="6"/>
      <c r="V126" s="10"/>
      <c r="W126" s="10" t="s">
        <v>88</v>
      </c>
      <c r="X126" s="10"/>
      <c r="Y126" s="10"/>
    </row>
    <row r="127" customFormat="false" ht="23.85" hidden="false" customHeight="false" outlineLevel="0" collapsed="false">
      <c r="A127" s="6" t="n">
        <v>126</v>
      </c>
      <c r="B127" s="7" t="s">
        <v>852</v>
      </c>
      <c r="C127" s="6" t="str">
        <f aca="false">IF(U127&lt;&gt;"","Client",IF(D127&gt;=9,"A",IF(D127&gt;=7,"B","C")))</f>
        <v>B</v>
      </c>
      <c r="D127" s="6" t="n">
        <f aca="false">E127+F127+G127</f>
        <v>8</v>
      </c>
      <c r="E127" s="6" t="n">
        <v>4</v>
      </c>
      <c r="F127" s="6" t="n">
        <v>2</v>
      </c>
      <c r="G127" s="8" t="n">
        <v>2</v>
      </c>
      <c r="H127" s="6" t="s">
        <v>76</v>
      </c>
      <c r="I127" s="6" t="s">
        <v>287</v>
      </c>
      <c r="J127" s="2" t="s">
        <v>467</v>
      </c>
      <c r="K127" s="2" t="s">
        <v>92</v>
      </c>
      <c r="L127" s="2" t="s">
        <v>93</v>
      </c>
      <c r="M127" s="2"/>
      <c r="N127" s="2" t="s">
        <v>219</v>
      </c>
      <c r="O127" s="2" t="s">
        <v>853</v>
      </c>
      <c r="P127" s="2" t="s">
        <v>854</v>
      </c>
      <c r="Q127" s="6" t="s">
        <v>97</v>
      </c>
      <c r="R127" s="6" t="s">
        <v>98</v>
      </c>
      <c r="S127" s="6"/>
      <c r="T127" s="6"/>
      <c r="U127" s="6"/>
      <c r="V127" s="10"/>
      <c r="W127" s="10" t="s">
        <v>88</v>
      </c>
      <c r="X127" s="10"/>
      <c r="Y127" s="10"/>
    </row>
    <row r="128" customFormat="false" ht="23.85" hidden="false" customHeight="false" outlineLevel="0" collapsed="false">
      <c r="A128" s="6" t="n">
        <v>127</v>
      </c>
      <c r="B128" s="7" t="s">
        <v>855</v>
      </c>
      <c r="C128" s="6" t="str">
        <f aca="false">IF(U128&lt;&gt;"","Client",IF(D128&gt;=9,"A",IF(D128&gt;=7,"B","C")))</f>
        <v>B</v>
      </c>
      <c r="D128" s="6" t="n">
        <f aca="false">E128+F128+G128</f>
        <v>8</v>
      </c>
      <c r="E128" s="6" t="n">
        <v>4</v>
      </c>
      <c r="F128" s="6" t="n">
        <v>2</v>
      </c>
      <c r="G128" s="8" t="n">
        <v>2</v>
      </c>
      <c r="H128" s="6" t="s">
        <v>76</v>
      </c>
      <c r="I128" s="6" t="s">
        <v>287</v>
      </c>
      <c r="J128" s="2" t="s">
        <v>134</v>
      </c>
      <c r="K128" s="2" t="s">
        <v>856</v>
      </c>
      <c r="L128" s="2" t="s">
        <v>167</v>
      </c>
      <c r="M128" s="2"/>
      <c r="N128" s="2" t="s">
        <v>802</v>
      </c>
      <c r="O128" s="2" t="s">
        <v>857</v>
      </c>
      <c r="P128" s="2" t="s">
        <v>858</v>
      </c>
      <c r="Q128" s="6" t="s">
        <v>97</v>
      </c>
      <c r="R128" s="6" t="s">
        <v>85</v>
      </c>
      <c r="S128" s="9" t="s">
        <v>859</v>
      </c>
      <c r="T128" s="9" t="s">
        <v>860</v>
      </c>
      <c r="U128" s="6"/>
      <c r="V128" s="10"/>
      <c r="W128" s="10" t="s">
        <v>88</v>
      </c>
      <c r="X128" s="10"/>
      <c r="Y128" s="10"/>
    </row>
    <row r="129" customFormat="false" ht="15" hidden="false" customHeight="false" outlineLevel="0" collapsed="false">
      <c r="A129" s="6" t="n">
        <v>128</v>
      </c>
      <c r="B129" s="7" t="s">
        <v>861</v>
      </c>
      <c r="C129" s="6" t="str">
        <f aca="false">IF(U129&lt;&gt;"","Client",IF(D129&gt;=9,"A",IF(D129&gt;=7,"B","C")))</f>
        <v>B</v>
      </c>
      <c r="D129" s="6" t="n">
        <f aca="false">E129+F129+G129</f>
        <v>8</v>
      </c>
      <c r="E129" s="6" t="n">
        <v>4</v>
      </c>
      <c r="F129" s="6" t="n">
        <v>2</v>
      </c>
      <c r="G129" s="8" t="n">
        <v>2</v>
      </c>
      <c r="H129" s="6" t="s">
        <v>90</v>
      </c>
      <c r="I129" s="6" t="s">
        <v>287</v>
      </c>
      <c r="J129" s="2" t="s">
        <v>862</v>
      </c>
      <c r="K129" s="2" t="s">
        <v>863</v>
      </c>
      <c r="L129" s="2" t="s">
        <v>102</v>
      </c>
      <c r="M129" s="2"/>
      <c r="N129" s="2" t="s">
        <v>247</v>
      </c>
      <c r="O129" s="2" t="s">
        <v>864</v>
      </c>
      <c r="P129" s="2" t="s">
        <v>865</v>
      </c>
      <c r="Q129" s="6" t="s">
        <v>866</v>
      </c>
      <c r="R129" s="6" t="s">
        <v>106</v>
      </c>
      <c r="S129" s="9" t="s">
        <v>867</v>
      </c>
      <c r="T129" s="6"/>
      <c r="U129" s="6"/>
      <c r="V129" s="10"/>
      <c r="W129" s="10" t="s">
        <v>88</v>
      </c>
      <c r="X129" s="10"/>
      <c r="Y129" s="10"/>
    </row>
    <row r="130" customFormat="false" ht="23.85" hidden="false" customHeight="false" outlineLevel="0" collapsed="false">
      <c r="A130" s="6" t="n">
        <v>129</v>
      </c>
      <c r="B130" s="7" t="s">
        <v>868</v>
      </c>
      <c r="C130" s="6" t="str">
        <f aca="false">IF(U130&lt;&gt;"","Client",IF(D130&gt;=9,"A",IF(D130&gt;=7,"B","C")))</f>
        <v>B</v>
      </c>
      <c r="D130" s="6" t="n">
        <f aca="false">E130+F130+G130</f>
        <v>8</v>
      </c>
      <c r="E130" s="6" t="n">
        <v>4</v>
      </c>
      <c r="F130" s="6" t="n">
        <v>2</v>
      </c>
      <c r="G130" s="8" t="n">
        <v>2</v>
      </c>
      <c r="H130" s="6" t="s">
        <v>90</v>
      </c>
      <c r="I130" s="6" t="s">
        <v>287</v>
      </c>
      <c r="J130" s="2" t="s">
        <v>869</v>
      </c>
      <c r="K130" s="2" t="s">
        <v>870</v>
      </c>
      <c r="L130" s="2" t="s">
        <v>102</v>
      </c>
      <c r="M130" s="2"/>
      <c r="N130" s="2" t="s">
        <v>247</v>
      </c>
      <c r="O130" s="2" t="s">
        <v>871</v>
      </c>
      <c r="P130" s="2" t="s">
        <v>872</v>
      </c>
      <c r="Q130" s="6" t="s">
        <v>873</v>
      </c>
      <c r="R130" s="6" t="s">
        <v>106</v>
      </c>
      <c r="S130" s="9" t="s">
        <v>874</v>
      </c>
      <c r="T130" s="6"/>
      <c r="U130" s="6"/>
      <c r="V130" s="10"/>
      <c r="W130" s="10" t="s">
        <v>88</v>
      </c>
      <c r="X130" s="10"/>
      <c r="Y130" s="10"/>
    </row>
    <row r="131" customFormat="false" ht="23.85" hidden="false" customHeight="false" outlineLevel="0" collapsed="false">
      <c r="A131" s="6" t="n">
        <v>130</v>
      </c>
      <c r="B131" s="7" t="s">
        <v>875</v>
      </c>
      <c r="C131" s="6" t="str">
        <f aca="false">IF(U131&lt;&gt;"","Client",IF(D131&gt;=9,"A",IF(D131&gt;=7,"B","C")))</f>
        <v>B</v>
      </c>
      <c r="D131" s="6" t="n">
        <f aca="false">E131+F131+G131</f>
        <v>8</v>
      </c>
      <c r="E131" s="6" t="n">
        <v>4</v>
      </c>
      <c r="F131" s="6" t="n">
        <v>2</v>
      </c>
      <c r="G131" s="8" t="n">
        <v>2</v>
      </c>
      <c r="H131" s="6" t="s">
        <v>90</v>
      </c>
      <c r="I131" s="6" t="s">
        <v>287</v>
      </c>
      <c r="J131" s="2" t="s">
        <v>598</v>
      </c>
      <c r="K131" s="2" t="s">
        <v>92</v>
      </c>
      <c r="L131" s="2" t="s">
        <v>93</v>
      </c>
      <c r="M131" s="2"/>
      <c r="N131" s="2" t="s">
        <v>219</v>
      </c>
      <c r="O131" s="2" t="s">
        <v>876</v>
      </c>
      <c r="P131" s="2" t="s">
        <v>877</v>
      </c>
      <c r="Q131" s="6" t="s">
        <v>97</v>
      </c>
      <c r="R131" s="6" t="s">
        <v>98</v>
      </c>
      <c r="S131" s="6"/>
      <c r="T131" s="6"/>
      <c r="U131" s="6"/>
      <c r="V131" s="10"/>
      <c r="W131" s="10" t="s">
        <v>88</v>
      </c>
      <c r="X131" s="10"/>
      <c r="Y131" s="10"/>
    </row>
    <row r="132" customFormat="false" ht="23.85" hidden="false" customHeight="false" outlineLevel="0" collapsed="false">
      <c r="A132" s="6" t="n">
        <v>131</v>
      </c>
      <c r="B132" s="7" t="s">
        <v>878</v>
      </c>
      <c r="C132" s="6" t="str">
        <f aca="false">IF(U132&lt;&gt;"","Client",IF(D132&gt;=9,"A",IF(D132&gt;=7,"B","C")))</f>
        <v>B</v>
      </c>
      <c r="D132" s="6" t="n">
        <f aca="false">E132+F132+G132</f>
        <v>8</v>
      </c>
      <c r="E132" s="6" t="n">
        <v>4</v>
      </c>
      <c r="F132" s="6" t="n">
        <v>2</v>
      </c>
      <c r="G132" s="8" t="n">
        <v>2</v>
      </c>
      <c r="H132" s="6" t="s">
        <v>118</v>
      </c>
      <c r="I132" s="6" t="s">
        <v>287</v>
      </c>
      <c r="J132" s="2" t="s">
        <v>879</v>
      </c>
      <c r="K132" s="2" t="s">
        <v>880</v>
      </c>
      <c r="L132" s="2" t="s">
        <v>102</v>
      </c>
      <c r="M132" s="2"/>
      <c r="N132" s="2" t="s">
        <v>247</v>
      </c>
      <c r="O132" s="2" t="s">
        <v>881</v>
      </c>
      <c r="P132" s="2" t="s">
        <v>882</v>
      </c>
      <c r="Q132" s="6" t="s">
        <v>883</v>
      </c>
      <c r="R132" s="6" t="s">
        <v>106</v>
      </c>
      <c r="S132" s="9" t="s">
        <v>884</v>
      </c>
      <c r="T132" s="6"/>
      <c r="U132" s="6"/>
      <c r="V132" s="10"/>
      <c r="W132" s="10" t="s">
        <v>88</v>
      </c>
      <c r="X132" s="10"/>
      <c r="Y132" s="10"/>
    </row>
    <row r="133" customFormat="false" ht="15" hidden="false" customHeight="false" outlineLevel="0" collapsed="false">
      <c r="A133" s="6" t="n">
        <v>132</v>
      </c>
      <c r="B133" s="7" t="s">
        <v>885</v>
      </c>
      <c r="C133" s="6" t="str">
        <f aca="false">IF(U133&lt;&gt;"","Client",IF(D133&gt;=9,"A",IF(D133&gt;=7,"B","C")))</f>
        <v>B</v>
      </c>
      <c r="D133" s="6" t="n">
        <f aca="false">E133+F133+G133</f>
        <v>7</v>
      </c>
      <c r="E133" s="6" t="n">
        <v>3</v>
      </c>
      <c r="F133" s="6" t="n">
        <v>3</v>
      </c>
      <c r="G133" s="8" t="n">
        <v>1</v>
      </c>
      <c r="H133" s="6" t="s">
        <v>164</v>
      </c>
      <c r="I133" s="6" t="s">
        <v>77</v>
      </c>
      <c r="J133" s="2" t="s">
        <v>886</v>
      </c>
      <c r="K133" s="2" t="s">
        <v>92</v>
      </c>
      <c r="L133" s="2" t="s">
        <v>93</v>
      </c>
      <c r="M133" s="2"/>
      <c r="N133" s="2" t="s">
        <v>521</v>
      </c>
      <c r="O133" s="2" t="s">
        <v>887</v>
      </c>
      <c r="P133" s="2" t="s">
        <v>888</v>
      </c>
      <c r="Q133" s="6" t="s">
        <v>97</v>
      </c>
      <c r="R133" s="6" t="s">
        <v>98</v>
      </c>
      <c r="S133" s="6"/>
      <c r="T133" s="6"/>
      <c r="U133" s="6"/>
      <c r="V133" s="10"/>
      <c r="W133" s="10" t="s">
        <v>88</v>
      </c>
      <c r="X133" s="10"/>
      <c r="Y133" s="10"/>
    </row>
    <row r="134" customFormat="false" ht="15" hidden="false" customHeight="false" outlineLevel="0" collapsed="false">
      <c r="A134" s="6" t="n">
        <v>133</v>
      </c>
      <c r="B134" s="7" t="s">
        <v>889</v>
      </c>
      <c r="C134" s="6" t="str">
        <f aca="false">IF(U134&lt;&gt;"","Client",IF(D134&gt;=9,"A",IF(D134&gt;=7,"B","C")))</f>
        <v>B</v>
      </c>
      <c r="D134" s="6" t="n">
        <f aca="false">E134+F134+G134</f>
        <v>7</v>
      </c>
      <c r="E134" s="6" t="n">
        <v>3</v>
      </c>
      <c r="F134" s="6" t="n">
        <v>3</v>
      </c>
      <c r="G134" s="8" t="n">
        <v>1</v>
      </c>
      <c r="H134" s="6" t="s">
        <v>164</v>
      </c>
      <c r="I134" s="6" t="s">
        <v>77</v>
      </c>
      <c r="J134" s="2" t="s">
        <v>729</v>
      </c>
      <c r="K134" s="2" t="s">
        <v>92</v>
      </c>
      <c r="L134" s="2" t="s">
        <v>93</v>
      </c>
      <c r="M134" s="2"/>
      <c r="N134" s="2" t="s">
        <v>521</v>
      </c>
      <c r="O134" s="2" t="s">
        <v>890</v>
      </c>
      <c r="P134" s="2" t="s">
        <v>891</v>
      </c>
      <c r="Q134" s="6" t="s">
        <v>97</v>
      </c>
      <c r="R134" s="6" t="s">
        <v>98</v>
      </c>
      <c r="S134" s="6"/>
      <c r="T134" s="6"/>
      <c r="U134" s="6"/>
      <c r="V134" s="10"/>
      <c r="W134" s="10" t="s">
        <v>88</v>
      </c>
      <c r="X134" s="10"/>
      <c r="Y134" s="10"/>
    </row>
    <row r="135" customFormat="false" ht="23.85" hidden="false" customHeight="false" outlineLevel="0" collapsed="false">
      <c r="A135" s="6" t="n">
        <v>134</v>
      </c>
      <c r="B135" s="7" t="s">
        <v>892</v>
      </c>
      <c r="C135" s="6" t="str">
        <f aca="false">IF(U135&lt;&gt;"","Client",IF(D135&gt;=9,"A",IF(D135&gt;=7,"B","C")))</f>
        <v>B</v>
      </c>
      <c r="D135" s="6" t="n">
        <f aca="false">E135+F135+G135</f>
        <v>7</v>
      </c>
      <c r="E135" s="6" t="n">
        <v>3</v>
      </c>
      <c r="F135" s="6" t="n">
        <v>3</v>
      </c>
      <c r="G135" s="8" t="n">
        <v>1</v>
      </c>
      <c r="H135" s="6" t="s">
        <v>164</v>
      </c>
      <c r="I135" s="6" t="s">
        <v>77</v>
      </c>
      <c r="J135" s="2" t="s">
        <v>893</v>
      </c>
      <c r="K135" s="2" t="s">
        <v>92</v>
      </c>
      <c r="L135" s="2" t="s">
        <v>93</v>
      </c>
      <c r="M135" s="2"/>
      <c r="N135" s="2" t="s">
        <v>521</v>
      </c>
      <c r="O135" s="2" t="s">
        <v>894</v>
      </c>
      <c r="P135" s="2" t="s">
        <v>895</v>
      </c>
      <c r="Q135" s="6" t="s">
        <v>150</v>
      </c>
      <c r="R135" s="6" t="s">
        <v>98</v>
      </c>
      <c r="S135" s="9" t="s">
        <v>896</v>
      </c>
      <c r="T135" s="6"/>
      <c r="U135" s="6"/>
      <c r="V135" s="10"/>
      <c r="W135" s="10" t="s">
        <v>88</v>
      </c>
      <c r="X135" s="10"/>
      <c r="Y135" s="10"/>
    </row>
    <row r="136" customFormat="false" ht="23.85" hidden="false" customHeight="false" outlineLevel="0" collapsed="false">
      <c r="A136" s="6" t="n">
        <v>135</v>
      </c>
      <c r="B136" s="7" t="s">
        <v>897</v>
      </c>
      <c r="C136" s="6" t="str">
        <f aca="false">IF(U136&lt;&gt;"","Client",IF(D136&gt;=9,"A",IF(D136&gt;=7,"B","C")))</f>
        <v>B</v>
      </c>
      <c r="D136" s="6" t="n">
        <f aca="false">E136+F136+G136</f>
        <v>7</v>
      </c>
      <c r="E136" s="6" t="n">
        <v>3</v>
      </c>
      <c r="F136" s="6" t="n">
        <v>3</v>
      </c>
      <c r="G136" s="8" t="n">
        <v>1</v>
      </c>
      <c r="H136" s="6" t="s">
        <v>164</v>
      </c>
      <c r="I136" s="6" t="s">
        <v>77</v>
      </c>
      <c r="J136" s="2" t="s">
        <v>898</v>
      </c>
      <c r="K136" s="2" t="s">
        <v>899</v>
      </c>
      <c r="L136" s="2" t="s">
        <v>127</v>
      </c>
      <c r="M136" s="2"/>
      <c r="N136" s="2" t="s">
        <v>530</v>
      </c>
      <c r="O136" s="2" t="s">
        <v>900</v>
      </c>
      <c r="P136" s="2" t="s">
        <v>901</v>
      </c>
      <c r="Q136" s="6" t="s">
        <v>383</v>
      </c>
      <c r="R136" s="6" t="s">
        <v>85</v>
      </c>
      <c r="S136" s="9" t="s">
        <v>902</v>
      </c>
      <c r="T136" s="6"/>
      <c r="U136" s="6"/>
      <c r="V136" s="10"/>
      <c r="W136" s="10" t="s">
        <v>88</v>
      </c>
      <c r="X136" s="10"/>
      <c r="Y136" s="10"/>
    </row>
    <row r="137" customFormat="false" ht="23.85" hidden="false" customHeight="false" outlineLevel="0" collapsed="false">
      <c r="A137" s="6" t="n">
        <v>136</v>
      </c>
      <c r="B137" s="7" t="s">
        <v>903</v>
      </c>
      <c r="C137" s="6" t="str">
        <f aca="false">IF(U137&lt;&gt;"","Client",IF(D137&gt;=9,"A",IF(D137&gt;=7,"B","C")))</f>
        <v>B</v>
      </c>
      <c r="D137" s="6" t="n">
        <f aca="false">E137+F137+G137</f>
        <v>7</v>
      </c>
      <c r="E137" s="6" t="n">
        <v>3</v>
      </c>
      <c r="F137" s="6" t="n">
        <v>3</v>
      </c>
      <c r="G137" s="8" t="n">
        <v>1</v>
      </c>
      <c r="H137" s="6" t="s">
        <v>182</v>
      </c>
      <c r="I137" s="6" t="s">
        <v>77</v>
      </c>
      <c r="J137" s="2" t="s">
        <v>904</v>
      </c>
      <c r="K137" s="2" t="s">
        <v>905</v>
      </c>
      <c r="L137" s="2" t="s">
        <v>127</v>
      </c>
      <c r="M137" s="2"/>
      <c r="N137" s="2" t="s">
        <v>530</v>
      </c>
      <c r="O137" s="2" t="s">
        <v>906</v>
      </c>
      <c r="P137" s="2" t="s">
        <v>907</v>
      </c>
      <c r="Q137" s="6" t="s">
        <v>655</v>
      </c>
      <c r="R137" s="6" t="s">
        <v>85</v>
      </c>
      <c r="S137" s="9" t="s">
        <v>908</v>
      </c>
      <c r="T137" s="6"/>
      <c r="U137" s="6"/>
      <c r="V137" s="10"/>
      <c r="W137" s="10" t="s">
        <v>88</v>
      </c>
      <c r="X137" s="10"/>
      <c r="Y137" s="10"/>
    </row>
    <row r="138" customFormat="false" ht="23.85" hidden="false" customHeight="false" outlineLevel="0" collapsed="false">
      <c r="A138" s="6" t="n">
        <v>137</v>
      </c>
      <c r="B138" s="7" t="s">
        <v>909</v>
      </c>
      <c r="C138" s="6" t="str">
        <f aca="false">IF(U138&lt;&gt;"","Client",IF(D138&gt;=9,"A",IF(D138&gt;=7,"B","C")))</f>
        <v>B</v>
      </c>
      <c r="D138" s="6" t="n">
        <f aca="false">E138+F138+G138</f>
        <v>7</v>
      </c>
      <c r="E138" s="6" t="n">
        <v>3</v>
      </c>
      <c r="F138" s="6" t="n">
        <v>3</v>
      </c>
      <c r="G138" s="8" t="n">
        <v>1</v>
      </c>
      <c r="H138" s="6" t="s">
        <v>153</v>
      </c>
      <c r="I138" s="6" t="s">
        <v>77</v>
      </c>
      <c r="J138" s="2" t="s">
        <v>910</v>
      </c>
      <c r="K138" s="2" t="s">
        <v>92</v>
      </c>
      <c r="L138" s="2" t="s">
        <v>93</v>
      </c>
      <c r="M138" s="2"/>
      <c r="N138" s="2" t="s">
        <v>521</v>
      </c>
      <c r="O138" s="2" t="s">
        <v>911</v>
      </c>
      <c r="P138" s="2" t="s">
        <v>912</v>
      </c>
      <c r="Q138" s="6" t="s">
        <v>97</v>
      </c>
      <c r="R138" s="6" t="s">
        <v>98</v>
      </c>
      <c r="S138" s="6"/>
      <c r="T138" s="6"/>
      <c r="U138" s="6"/>
      <c r="V138" s="10"/>
      <c r="W138" s="10" t="s">
        <v>88</v>
      </c>
      <c r="X138" s="10"/>
      <c r="Y138" s="10"/>
    </row>
    <row r="139" customFormat="false" ht="15" hidden="false" customHeight="false" outlineLevel="0" collapsed="false">
      <c r="A139" s="6" t="n">
        <v>138</v>
      </c>
      <c r="B139" s="7" t="s">
        <v>913</v>
      </c>
      <c r="C139" s="6" t="str">
        <f aca="false">IF(U139&lt;&gt;"","Client",IF(D139&gt;=9,"A",IF(D139&gt;=7,"B","C")))</f>
        <v>B</v>
      </c>
      <c r="D139" s="6" t="n">
        <f aca="false">E139+F139+G139</f>
        <v>7</v>
      </c>
      <c r="E139" s="6" t="n">
        <v>3</v>
      </c>
      <c r="F139" s="6" t="n">
        <v>3</v>
      </c>
      <c r="G139" s="8" t="n">
        <v>1</v>
      </c>
      <c r="H139" s="6" t="s">
        <v>164</v>
      </c>
      <c r="I139" s="6" t="s">
        <v>77</v>
      </c>
      <c r="J139" s="2" t="s">
        <v>645</v>
      </c>
      <c r="K139" s="2" t="s">
        <v>92</v>
      </c>
      <c r="L139" s="2" t="s">
        <v>93</v>
      </c>
      <c r="M139" s="2"/>
      <c r="N139" s="2" t="s">
        <v>521</v>
      </c>
      <c r="O139" s="2" t="s">
        <v>914</v>
      </c>
      <c r="P139" s="2" t="s">
        <v>915</v>
      </c>
      <c r="Q139" s="6" t="s">
        <v>143</v>
      </c>
      <c r="R139" s="6" t="s">
        <v>98</v>
      </c>
      <c r="S139" s="9" t="s">
        <v>916</v>
      </c>
      <c r="T139" s="6"/>
      <c r="U139" s="6"/>
      <c r="V139" s="10"/>
      <c r="W139" s="10" t="s">
        <v>88</v>
      </c>
      <c r="X139" s="10"/>
      <c r="Y139" s="10"/>
    </row>
    <row r="140" customFormat="false" ht="23.85" hidden="false" customHeight="false" outlineLevel="0" collapsed="false">
      <c r="A140" s="6" t="n">
        <v>139</v>
      </c>
      <c r="B140" s="7" t="s">
        <v>917</v>
      </c>
      <c r="C140" s="6" t="str">
        <f aca="false">IF(U140&lt;&gt;"","Client",IF(D140&gt;=9,"A",IF(D140&gt;=7,"B","C")))</f>
        <v>B</v>
      </c>
      <c r="D140" s="6" t="n">
        <f aca="false">E140+F140+G140</f>
        <v>7</v>
      </c>
      <c r="E140" s="6" t="n">
        <v>3</v>
      </c>
      <c r="F140" s="6" t="n">
        <v>3</v>
      </c>
      <c r="G140" s="8" t="n">
        <v>1</v>
      </c>
      <c r="H140" s="6" t="s">
        <v>164</v>
      </c>
      <c r="I140" s="6" t="s">
        <v>77</v>
      </c>
      <c r="J140" s="2" t="s">
        <v>918</v>
      </c>
      <c r="K140" s="2" t="s">
        <v>919</v>
      </c>
      <c r="L140" s="2" t="s">
        <v>127</v>
      </c>
      <c r="M140" s="2"/>
      <c r="N140" s="2" t="s">
        <v>538</v>
      </c>
      <c r="O140" s="2" t="s">
        <v>920</v>
      </c>
      <c r="P140" s="2" t="s">
        <v>921</v>
      </c>
      <c r="Q140" s="6" t="s">
        <v>517</v>
      </c>
      <c r="R140" s="6" t="s">
        <v>85</v>
      </c>
      <c r="S140" s="9" t="s">
        <v>922</v>
      </c>
      <c r="T140" s="9" t="s">
        <v>923</v>
      </c>
      <c r="U140" s="6"/>
      <c r="V140" s="10"/>
      <c r="W140" s="10" t="s">
        <v>88</v>
      </c>
      <c r="X140" s="10"/>
      <c r="Y140" s="10"/>
    </row>
    <row r="141" customFormat="false" ht="15" hidden="false" customHeight="false" outlineLevel="0" collapsed="false">
      <c r="A141" s="6" t="n">
        <v>140</v>
      </c>
      <c r="B141" s="7" t="s">
        <v>924</v>
      </c>
      <c r="C141" s="6" t="str">
        <f aca="false">IF(U141&lt;&gt;"","Client",IF(D141&gt;=9,"A",IF(D141&gt;=7,"B","C")))</f>
        <v>B</v>
      </c>
      <c r="D141" s="6" t="n">
        <f aca="false">E141+F141+G141</f>
        <v>7</v>
      </c>
      <c r="E141" s="6" t="n">
        <v>3</v>
      </c>
      <c r="F141" s="6" t="n">
        <v>3</v>
      </c>
      <c r="G141" s="8" t="n">
        <v>1</v>
      </c>
      <c r="H141" s="6" t="s">
        <v>164</v>
      </c>
      <c r="I141" s="6" t="s">
        <v>77</v>
      </c>
      <c r="J141" s="2" t="s">
        <v>925</v>
      </c>
      <c r="K141" s="2" t="s">
        <v>92</v>
      </c>
      <c r="L141" s="2" t="s">
        <v>93</v>
      </c>
      <c r="M141" s="2"/>
      <c r="N141" s="2" t="s">
        <v>521</v>
      </c>
      <c r="O141" s="2"/>
      <c r="P141" s="2" t="s">
        <v>926</v>
      </c>
      <c r="Q141" s="6" t="s">
        <v>97</v>
      </c>
      <c r="R141" s="6" t="s">
        <v>98</v>
      </c>
      <c r="S141" s="6"/>
      <c r="T141" s="6"/>
      <c r="U141" s="6"/>
      <c r="V141" s="10"/>
      <c r="W141" s="10" t="s">
        <v>88</v>
      </c>
      <c r="X141" s="10"/>
      <c r="Y141" s="10"/>
    </row>
    <row r="142" customFormat="false" ht="35.05" hidden="false" customHeight="false" outlineLevel="0" collapsed="false">
      <c r="A142" s="6" t="n">
        <v>141</v>
      </c>
      <c r="B142" s="7" t="s">
        <v>927</v>
      </c>
      <c r="C142" s="6" t="str">
        <f aca="false">IF(U142&lt;&gt;"","Client",IF(D142&gt;=9,"A",IF(D142&gt;=7,"B","C")))</f>
        <v>B</v>
      </c>
      <c r="D142" s="6" t="n">
        <f aca="false">E142+F142+G142</f>
        <v>7</v>
      </c>
      <c r="E142" s="6" t="n">
        <v>4</v>
      </c>
      <c r="F142" s="6" t="n">
        <v>3</v>
      </c>
      <c r="G142" s="8" t="n">
        <v>0</v>
      </c>
      <c r="H142" s="6" t="s">
        <v>90</v>
      </c>
      <c r="I142" s="6" t="s">
        <v>77</v>
      </c>
      <c r="J142" s="2" t="s">
        <v>928</v>
      </c>
      <c r="K142" s="2" t="s">
        <v>929</v>
      </c>
      <c r="L142" s="2" t="s">
        <v>127</v>
      </c>
      <c r="M142" s="2"/>
      <c r="N142" s="2"/>
      <c r="O142" s="2" t="s">
        <v>930</v>
      </c>
      <c r="P142" s="2" t="s">
        <v>931</v>
      </c>
      <c r="Q142" s="6" t="s">
        <v>308</v>
      </c>
      <c r="R142" s="6" t="s">
        <v>106</v>
      </c>
      <c r="S142" s="9" t="s">
        <v>932</v>
      </c>
      <c r="T142" s="9" t="s">
        <v>933</v>
      </c>
      <c r="U142" s="6"/>
      <c r="V142" s="10"/>
      <c r="W142" s="10" t="s">
        <v>88</v>
      </c>
      <c r="X142" s="10"/>
      <c r="Y142" s="10"/>
    </row>
    <row r="143" customFormat="false" ht="15" hidden="false" customHeight="false" outlineLevel="0" collapsed="false">
      <c r="A143" s="6" t="n">
        <v>142</v>
      </c>
      <c r="B143" s="7" t="s">
        <v>934</v>
      </c>
      <c r="C143" s="6" t="str">
        <f aca="false">IF(U143&lt;&gt;"","Client",IF(D143&gt;=9,"A",IF(D143&gt;=7,"B","C")))</f>
        <v>B</v>
      </c>
      <c r="D143" s="6" t="n">
        <f aca="false">E143+F143+G143</f>
        <v>7</v>
      </c>
      <c r="E143" s="6" t="n">
        <v>4</v>
      </c>
      <c r="F143" s="6" t="n">
        <v>3</v>
      </c>
      <c r="G143" s="8" t="n">
        <v>0</v>
      </c>
      <c r="H143" s="6" t="s">
        <v>239</v>
      </c>
      <c r="I143" s="6" t="s">
        <v>77</v>
      </c>
      <c r="J143" s="2" t="s">
        <v>935</v>
      </c>
      <c r="K143" s="2" t="s">
        <v>544</v>
      </c>
      <c r="L143" s="2" t="s">
        <v>127</v>
      </c>
      <c r="M143" s="2"/>
      <c r="N143" s="2"/>
      <c r="O143" s="2" t="s">
        <v>936</v>
      </c>
      <c r="P143" s="2" t="s">
        <v>937</v>
      </c>
      <c r="Q143" s="6" t="s">
        <v>97</v>
      </c>
      <c r="R143" s="6" t="s">
        <v>106</v>
      </c>
      <c r="S143" s="9" t="s">
        <v>547</v>
      </c>
      <c r="T143" s="6"/>
      <c r="U143" s="6"/>
      <c r="V143" s="10"/>
      <c r="W143" s="10" t="s">
        <v>88</v>
      </c>
      <c r="X143" s="10"/>
      <c r="Y143" s="10"/>
    </row>
    <row r="144" customFormat="false" ht="15" hidden="false" customHeight="false" outlineLevel="0" collapsed="false">
      <c r="A144" s="6" t="n">
        <v>143</v>
      </c>
      <c r="B144" s="7" t="s">
        <v>938</v>
      </c>
      <c r="C144" s="6" t="str">
        <f aca="false">IF(U144&lt;&gt;"","Client",IF(D144&gt;=9,"A",IF(D144&gt;=7,"B","C")))</f>
        <v>B</v>
      </c>
      <c r="D144" s="6" t="n">
        <f aca="false">E144+F144+G144</f>
        <v>7</v>
      </c>
      <c r="E144" s="6" t="n">
        <v>4</v>
      </c>
      <c r="F144" s="6" t="n">
        <v>3</v>
      </c>
      <c r="G144" s="8" t="n">
        <v>0</v>
      </c>
      <c r="H144" s="6" t="s">
        <v>76</v>
      </c>
      <c r="I144" s="6" t="s">
        <v>77</v>
      </c>
      <c r="J144" s="2" t="s">
        <v>939</v>
      </c>
      <c r="K144" s="2" t="s">
        <v>544</v>
      </c>
      <c r="L144" s="2" t="s">
        <v>127</v>
      </c>
      <c r="M144" s="2"/>
      <c r="N144" s="2"/>
      <c r="O144" s="2" t="s">
        <v>936</v>
      </c>
      <c r="P144" s="2" t="s">
        <v>940</v>
      </c>
      <c r="Q144" s="6" t="s">
        <v>97</v>
      </c>
      <c r="R144" s="6" t="s">
        <v>106</v>
      </c>
      <c r="S144" s="9" t="s">
        <v>547</v>
      </c>
      <c r="T144" s="6"/>
      <c r="U144" s="6"/>
      <c r="V144" s="10"/>
      <c r="W144" s="10" t="s">
        <v>88</v>
      </c>
      <c r="X144" s="10"/>
      <c r="Y144" s="10"/>
    </row>
    <row r="145" customFormat="false" ht="35.05" hidden="false" customHeight="false" outlineLevel="0" collapsed="false">
      <c r="A145" s="6" t="n">
        <v>144</v>
      </c>
      <c r="B145" s="7" t="s">
        <v>941</v>
      </c>
      <c r="C145" s="6" t="str">
        <f aca="false">IF(U145&lt;&gt;"","Client",IF(D145&gt;=9,"A",IF(D145&gt;=7,"B","C")))</f>
        <v>B</v>
      </c>
      <c r="D145" s="6" t="n">
        <f aca="false">E145+F145+G145</f>
        <v>7</v>
      </c>
      <c r="E145" s="6" t="n">
        <v>4</v>
      </c>
      <c r="F145" s="6" t="n">
        <v>3</v>
      </c>
      <c r="G145" s="8" t="n">
        <v>0</v>
      </c>
      <c r="H145" s="6" t="s">
        <v>118</v>
      </c>
      <c r="I145" s="6" t="s">
        <v>77</v>
      </c>
      <c r="J145" s="2" t="s">
        <v>942</v>
      </c>
      <c r="K145" s="2" t="s">
        <v>943</v>
      </c>
      <c r="L145" s="2" t="s">
        <v>127</v>
      </c>
      <c r="M145" s="2"/>
      <c r="N145" s="2"/>
      <c r="O145" s="2" t="s">
        <v>944</v>
      </c>
      <c r="P145" s="2" t="s">
        <v>945</v>
      </c>
      <c r="Q145" s="6" t="s">
        <v>150</v>
      </c>
      <c r="R145" s="6" t="s">
        <v>85</v>
      </c>
      <c r="S145" s="9" t="s">
        <v>946</v>
      </c>
      <c r="T145" s="6"/>
      <c r="U145" s="6"/>
      <c r="V145" s="10"/>
      <c r="W145" s="10" t="s">
        <v>88</v>
      </c>
      <c r="X145" s="10"/>
      <c r="Y145" s="10"/>
    </row>
    <row r="146" customFormat="false" ht="35.05" hidden="false" customHeight="false" outlineLevel="0" collapsed="false">
      <c r="A146" s="6" t="n">
        <v>145</v>
      </c>
      <c r="B146" s="7" t="s">
        <v>947</v>
      </c>
      <c r="C146" s="6" t="str">
        <f aca="false">IF(U146&lt;&gt;"","Client",IF(D146&gt;=9,"A",IF(D146&gt;=7,"B","C")))</f>
        <v>B</v>
      </c>
      <c r="D146" s="6" t="n">
        <f aca="false">E146+F146+G146</f>
        <v>7</v>
      </c>
      <c r="E146" s="6" t="n">
        <v>4</v>
      </c>
      <c r="F146" s="6" t="n">
        <v>3</v>
      </c>
      <c r="G146" s="8" t="n">
        <v>0</v>
      </c>
      <c r="H146" s="6" t="s">
        <v>90</v>
      </c>
      <c r="I146" s="6" t="s">
        <v>77</v>
      </c>
      <c r="J146" s="2" t="s">
        <v>948</v>
      </c>
      <c r="K146" s="2" t="s">
        <v>949</v>
      </c>
      <c r="L146" s="2" t="s">
        <v>167</v>
      </c>
      <c r="M146" s="2"/>
      <c r="N146" s="2" t="s">
        <v>950</v>
      </c>
      <c r="O146" s="2" t="s">
        <v>951</v>
      </c>
      <c r="P146" s="2" t="s">
        <v>952</v>
      </c>
      <c r="Q146" s="6" t="s">
        <v>130</v>
      </c>
      <c r="R146" s="6" t="s">
        <v>85</v>
      </c>
      <c r="S146" s="9" t="s">
        <v>953</v>
      </c>
      <c r="T146" s="9" t="s">
        <v>954</v>
      </c>
      <c r="U146" s="6"/>
      <c r="V146" s="10"/>
      <c r="W146" s="10" t="s">
        <v>88</v>
      </c>
      <c r="X146" s="10"/>
      <c r="Y146" s="10"/>
    </row>
    <row r="147" customFormat="false" ht="23.85" hidden="false" customHeight="false" outlineLevel="0" collapsed="false">
      <c r="A147" s="6" t="n">
        <v>146</v>
      </c>
      <c r="B147" s="7" t="s">
        <v>955</v>
      </c>
      <c r="C147" s="6" t="str">
        <f aca="false">IF(U147&lt;&gt;"","Client",IF(D147&gt;=9,"A",IF(D147&gt;=7,"B","C")))</f>
        <v>B</v>
      </c>
      <c r="D147" s="6" t="n">
        <f aca="false">E147+F147+G147</f>
        <v>7</v>
      </c>
      <c r="E147" s="6" t="n">
        <v>4</v>
      </c>
      <c r="F147" s="6" t="n">
        <v>3</v>
      </c>
      <c r="G147" s="8" t="n">
        <v>0</v>
      </c>
      <c r="H147" s="6" t="s">
        <v>239</v>
      </c>
      <c r="I147" s="6" t="s">
        <v>77</v>
      </c>
      <c r="J147" s="2" t="s">
        <v>956</v>
      </c>
      <c r="K147" s="2" t="s">
        <v>957</v>
      </c>
      <c r="L147" s="2" t="s">
        <v>127</v>
      </c>
      <c r="M147" s="2"/>
      <c r="N147" s="2"/>
      <c r="O147" s="2" t="s">
        <v>958</v>
      </c>
      <c r="P147" s="2" t="s">
        <v>959</v>
      </c>
      <c r="Q147" s="6" t="s">
        <v>960</v>
      </c>
      <c r="R147" s="6" t="s">
        <v>98</v>
      </c>
      <c r="S147" s="9" t="s">
        <v>961</v>
      </c>
      <c r="T147" s="6"/>
      <c r="U147" s="6"/>
      <c r="V147" s="10"/>
      <c r="W147" s="10" t="s">
        <v>88</v>
      </c>
      <c r="X147" s="10"/>
      <c r="Y147" s="10"/>
    </row>
    <row r="148" customFormat="false" ht="23.85" hidden="false" customHeight="false" outlineLevel="0" collapsed="false">
      <c r="A148" s="6" t="n">
        <v>147</v>
      </c>
      <c r="B148" s="7" t="s">
        <v>962</v>
      </c>
      <c r="C148" s="6" t="str">
        <f aca="false">IF(U148&lt;&gt;"","Client",IF(D148&gt;=9,"A",IF(D148&gt;=7,"B","C")))</f>
        <v>B</v>
      </c>
      <c r="D148" s="6" t="n">
        <f aca="false">E148+F148+G148</f>
        <v>7</v>
      </c>
      <c r="E148" s="6" t="n">
        <v>4</v>
      </c>
      <c r="F148" s="6" t="n">
        <v>3</v>
      </c>
      <c r="G148" s="8" t="n">
        <v>0</v>
      </c>
      <c r="H148" s="6" t="s">
        <v>90</v>
      </c>
      <c r="I148" s="6" t="s">
        <v>77</v>
      </c>
      <c r="J148" s="2" t="s">
        <v>963</v>
      </c>
      <c r="K148" s="2" t="s">
        <v>964</v>
      </c>
      <c r="L148" s="2" t="s">
        <v>167</v>
      </c>
      <c r="M148" s="2"/>
      <c r="N148" s="2"/>
      <c r="O148" s="2" t="s">
        <v>965</v>
      </c>
      <c r="P148" s="2" t="s">
        <v>966</v>
      </c>
      <c r="Q148" s="6" t="s">
        <v>967</v>
      </c>
      <c r="R148" s="6" t="s">
        <v>85</v>
      </c>
      <c r="S148" s="9" t="s">
        <v>968</v>
      </c>
      <c r="T148" s="6"/>
      <c r="U148" s="6"/>
      <c r="V148" s="10"/>
      <c r="W148" s="10" t="s">
        <v>88</v>
      </c>
      <c r="X148" s="10"/>
      <c r="Y148" s="10"/>
    </row>
    <row r="149" customFormat="false" ht="15" hidden="false" customHeight="false" outlineLevel="0" collapsed="false">
      <c r="A149" s="6" t="n">
        <v>148</v>
      </c>
      <c r="B149" s="7" t="s">
        <v>969</v>
      </c>
      <c r="C149" s="6" t="str">
        <f aca="false">IF(U149&lt;&gt;"","Client",IF(D149&gt;=9,"A",IF(D149&gt;=7,"B","C")))</f>
        <v>B</v>
      </c>
      <c r="D149" s="6" t="n">
        <f aca="false">E149+F149+G149</f>
        <v>7</v>
      </c>
      <c r="E149" s="6" t="n">
        <v>4</v>
      </c>
      <c r="F149" s="6" t="n">
        <v>3</v>
      </c>
      <c r="G149" s="8" t="n">
        <v>0</v>
      </c>
      <c r="H149" s="6" t="s">
        <v>90</v>
      </c>
      <c r="I149" s="6" t="s">
        <v>77</v>
      </c>
      <c r="J149" s="2" t="s">
        <v>928</v>
      </c>
      <c r="K149" s="2" t="s">
        <v>970</v>
      </c>
      <c r="L149" s="2" t="s">
        <v>127</v>
      </c>
      <c r="M149" s="2"/>
      <c r="N149" s="2"/>
      <c r="O149" s="2" t="s">
        <v>971</v>
      </c>
      <c r="P149" s="2" t="s">
        <v>972</v>
      </c>
      <c r="Q149" s="6" t="s">
        <v>97</v>
      </c>
      <c r="R149" s="6" t="s">
        <v>106</v>
      </c>
      <c r="S149" s="9" t="s">
        <v>973</v>
      </c>
      <c r="T149" s="6"/>
      <c r="U149" s="6"/>
      <c r="V149" s="10"/>
      <c r="W149" s="10" t="s">
        <v>88</v>
      </c>
      <c r="X149" s="10"/>
      <c r="Y149" s="10"/>
    </row>
    <row r="150" customFormat="false" ht="15" hidden="false" customHeight="false" outlineLevel="0" collapsed="false">
      <c r="A150" s="6" t="n">
        <v>149</v>
      </c>
      <c r="B150" s="7" t="s">
        <v>974</v>
      </c>
      <c r="C150" s="6" t="str">
        <f aca="false">IF(U150&lt;&gt;"","Client",IF(D150&gt;=9,"A",IF(D150&gt;=7,"B","C")))</f>
        <v>B</v>
      </c>
      <c r="D150" s="6" t="n">
        <f aca="false">E150+F150+G150</f>
        <v>7</v>
      </c>
      <c r="E150" s="6" t="n">
        <v>4</v>
      </c>
      <c r="F150" s="6" t="n">
        <v>3</v>
      </c>
      <c r="G150" s="8" t="n">
        <v>0</v>
      </c>
      <c r="H150" s="6" t="s">
        <v>76</v>
      </c>
      <c r="I150" s="6" t="s">
        <v>77</v>
      </c>
      <c r="J150" s="2" t="s">
        <v>975</v>
      </c>
      <c r="K150" s="2" t="s">
        <v>970</v>
      </c>
      <c r="L150" s="2" t="s">
        <v>127</v>
      </c>
      <c r="M150" s="2"/>
      <c r="N150" s="2"/>
      <c r="O150" s="2" t="s">
        <v>971</v>
      </c>
      <c r="P150" s="2" t="s">
        <v>976</v>
      </c>
      <c r="Q150" s="6" t="s">
        <v>97</v>
      </c>
      <c r="R150" s="6" t="s">
        <v>106</v>
      </c>
      <c r="S150" s="9" t="s">
        <v>973</v>
      </c>
      <c r="T150" s="6"/>
      <c r="U150" s="6"/>
      <c r="V150" s="10"/>
      <c r="W150" s="10" t="s">
        <v>88</v>
      </c>
      <c r="X150" s="10"/>
      <c r="Y150" s="10"/>
    </row>
    <row r="151" customFormat="false" ht="23.85" hidden="false" customHeight="false" outlineLevel="0" collapsed="false">
      <c r="A151" s="6" t="n">
        <v>150</v>
      </c>
      <c r="B151" s="7" t="s">
        <v>977</v>
      </c>
      <c r="C151" s="6" t="str">
        <f aca="false">IF(U151&lt;&gt;"","Client",IF(D151&gt;=9,"A",IF(D151&gt;=7,"B","C")))</f>
        <v>B</v>
      </c>
      <c r="D151" s="6" t="n">
        <f aca="false">E151+F151+G151</f>
        <v>7</v>
      </c>
      <c r="E151" s="6" t="n">
        <v>4</v>
      </c>
      <c r="F151" s="6" t="n">
        <v>3</v>
      </c>
      <c r="G151" s="8" t="n">
        <v>0</v>
      </c>
      <c r="H151" s="6" t="s">
        <v>76</v>
      </c>
      <c r="I151" s="6" t="s">
        <v>77</v>
      </c>
      <c r="J151" s="2" t="s">
        <v>978</v>
      </c>
      <c r="K151" s="2" t="s">
        <v>970</v>
      </c>
      <c r="L151" s="2" t="s">
        <v>127</v>
      </c>
      <c r="M151" s="2"/>
      <c r="N151" s="2"/>
      <c r="O151" s="2" t="s">
        <v>979</v>
      </c>
      <c r="P151" s="2" t="s">
        <v>980</v>
      </c>
      <c r="Q151" s="6" t="s">
        <v>97</v>
      </c>
      <c r="R151" s="6" t="s">
        <v>106</v>
      </c>
      <c r="S151" s="9" t="s">
        <v>973</v>
      </c>
      <c r="T151" s="6"/>
      <c r="U151" s="6"/>
      <c r="V151" s="10"/>
      <c r="W151" s="10" t="s">
        <v>88</v>
      </c>
      <c r="X151" s="10"/>
      <c r="Y151" s="10"/>
    </row>
    <row r="152" customFormat="false" ht="23.85" hidden="false" customHeight="false" outlineLevel="0" collapsed="false">
      <c r="A152" s="6" t="n">
        <v>151</v>
      </c>
      <c r="B152" s="7" t="s">
        <v>981</v>
      </c>
      <c r="C152" s="6" t="str">
        <f aca="false">IF(U152&lt;&gt;"","Client",IF(D152&gt;=9,"A",IF(D152&gt;=7,"B","C")))</f>
        <v>B</v>
      </c>
      <c r="D152" s="6" t="n">
        <f aca="false">E152+F152+G152</f>
        <v>7</v>
      </c>
      <c r="E152" s="6" t="n">
        <v>4</v>
      </c>
      <c r="F152" s="6" t="n">
        <v>3</v>
      </c>
      <c r="G152" s="8" t="n">
        <v>0</v>
      </c>
      <c r="H152" s="6" t="s">
        <v>118</v>
      </c>
      <c r="I152" s="6" t="s">
        <v>77</v>
      </c>
      <c r="J152" s="2" t="s">
        <v>981</v>
      </c>
      <c r="K152" s="2" t="s">
        <v>982</v>
      </c>
      <c r="L152" s="2" t="s">
        <v>127</v>
      </c>
      <c r="M152" s="2"/>
      <c r="N152" s="2"/>
      <c r="O152" s="2" t="s">
        <v>983</v>
      </c>
      <c r="P152" s="2" t="s">
        <v>984</v>
      </c>
      <c r="Q152" s="6" t="s">
        <v>97</v>
      </c>
      <c r="R152" s="6" t="s">
        <v>106</v>
      </c>
      <c r="S152" s="9" t="s">
        <v>985</v>
      </c>
      <c r="T152" s="9" t="s">
        <v>986</v>
      </c>
      <c r="U152" s="6"/>
      <c r="V152" s="10"/>
      <c r="W152" s="10" t="s">
        <v>88</v>
      </c>
      <c r="X152" s="10"/>
      <c r="Y152" s="10"/>
    </row>
    <row r="153" customFormat="false" ht="79.85" hidden="false" customHeight="false" outlineLevel="0" collapsed="false">
      <c r="A153" s="6" t="n">
        <v>152</v>
      </c>
      <c r="B153" s="7" t="s">
        <v>987</v>
      </c>
      <c r="C153" s="6" t="str">
        <f aca="false">IF(U153&lt;&gt;"","Client",IF(D153&gt;=9,"A",IF(D153&gt;=7,"B","C")))</f>
        <v>B</v>
      </c>
      <c r="D153" s="6" t="n">
        <f aca="false">E153+F153+G153</f>
        <v>7</v>
      </c>
      <c r="E153" s="6" t="n">
        <v>4</v>
      </c>
      <c r="F153" s="6" t="n">
        <v>3</v>
      </c>
      <c r="G153" s="8" t="n">
        <v>0</v>
      </c>
      <c r="H153" s="6" t="s">
        <v>76</v>
      </c>
      <c r="I153" s="6" t="s">
        <v>77</v>
      </c>
      <c r="J153" s="2" t="s">
        <v>988</v>
      </c>
      <c r="K153" s="2" t="s">
        <v>989</v>
      </c>
      <c r="L153" s="2" t="s">
        <v>197</v>
      </c>
      <c r="M153" s="2"/>
      <c r="N153" s="2" t="s">
        <v>990</v>
      </c>
      <c r="O153" s="2" t="s">
        <v>991</v>
      </c>
      <c r="P153" s="2" t="s">
        <v>992</v>
      </c>
      <c r="Q153" s="6" t="s">
        <v>97</v>
      </c>
      <c r="R153" s="6" t="s">
        <v>85</v>
      </c>
      <c r="S153" s="9" t="s">
        <v>993</v>
      </c>
      <c r="T153" s="9" t="s">
        <v>994</v>
      </c>
      <c r="U153" s="6"/>
      <c r="V153" s="10"/>
      <c r="W153" s="10" t="s">
        <v>88</v>
      </c>
      <c r="X153" s="10"/>
      <c r="Y153" s="10"/>
    </row>
    <row r="154" customFormat="false" ht="15" hidden="false" customHeight="false" outlineLevel="0" collapsed="false">
      <c r="A154" s="6" t="n">
        <v>153</v>
      </c>
      <c r="B154" s="7" t="s">
        <v>995</v>
      </c>
      <c r="C154" s="6" t="str">
        <f aca="false">IF(U154&lt;&gt;"","Client",IF(D154&gt;=9,"A",IF(D154&gt;=7,"B","C")))</f>
        <v>B</v>
      </c>
      <c r="D154" s="6" t="n">
        <f aca="false">E154+F154+G154</f>
        <v>7</v>
      </c>
      <c r="E154" s="6" t="n">
        <v>4</v>
      </c>
      <c r="F154" s="6" t="n">
        <v>3</v>
      </c>
      <c r="G154" s="8" t="n">
        <v>0</v>
      </c>
      <c r="H154" s="6" t="s">
        <v>76</v>
      </c>
      <c r="I154" s="6" t="s">
        <v>77</v>
      </c>
      <c r="J154" s="2" t="s">
        <v>995</v>
      </c>
      <c r="K154" s="2" t="s">
        <v>996</v>
      </c>
      <c r="L154" s="2" t="s">
        <v>127</v>
      </c>
      <c r="M154" s="2"/>
      <c r="N154" s="2"/>
      <c r="O154" s="2" t="s">
        <v>997</v>
      </c>
      <c r="P154" s="2" t="s">
        <v>998</v>
      </c>
      <c r="Q154" s="6" t="s">
        <v>999</v>
      </c>
      <c r="R154" s="6" t="s">
        <v>106</v>
      </c>
      <c r="S154" s="9" t="s">
        <v>1000</v>
      </c>
      <c r="T154" s="6"/>
      <c r="U154" s="6"/>
      <c r="V154" s="10"/>
      <c r="W154" s="10" t="s">
        <v>88</v>
      </c>
      <c r="X154" s="10"/>
      <c r="Y154" s="10"/>
    </row>
    <row r="155" customFormat="false" ht="15" hidden="false" customHeight="false" outlineLevel="0" collapsed="false">
      <c r="A155" s="6" t="n">
        <v>154</v>
      </c>
      <c r="B155" s="7" t="s">
        <v>1001</v>
      </c>
      <c r="C155" s="6" t="str">
        <f aca="false">IF(U155&lt;&gt;"","Client",IF(D155&gt;=9,"A",IF(D155&gt;=7,"B","C")))</f>
        <v>B</v>
      </c>
      <c r="D155" s="6" t="n">
        <f aca="false">E155+F155+G155</f>
        <v>7</v>
      </c>
      <c r="E155" s="6" t="n">
        <v>4</v>
      </c>
      <c r="F155" s="6" t="n">
        <v>3</v>
      </c>
      <c r="G155" s="8" t="n">
        <v>0</v>
      </c>
      <c r="H155" s="6" t="s">
        <v>239</v>
      </c>
      <c r="I155" s="6" t="s">
        <v>77</v>
      </c>
      <c r="J155" s="2" t="s">
        <v>1002</v>
      </c>
      <c r="K155" s="2" t="s">
        <v>1003</v>
      </c>
      <c r="L155" s="2" t="s">
        <v>127</v>
      </c>
      <c r="M155" s="2"/>
      <c r="N155" s="2"/>
      <c r="O155" s="2"/>
      <c r="P155" s="2" t="s">
        <v>1004</v>
      </c>
      <c r="Q155" s="6" t="s">
        <v>389</v>
      </c>
      <c r="R155" s="6" t="s">
        <v>85</v>
      </c>
      <c r="S155" s="9" t="s">
        <v>1005</v>
      </c>
      <c r="T155" s="6"/>
      <c r="U155" s="6"/>
      <c r="V155" s="10"/>
      <c r="W155" s="10" t="s">
        <v>88</v>
      </c>
      <c r="X155" s="10"/>
      <c r="Y155" s="10"/>
    </row>
    <row r="156" customFormat="false" ht="23.85" hidden="false" customHeight="false" outlineLevel="0" collapsed="false">
      <c r="A156" s="6" t="n">
        <v>155</v>
      </c>
      <c r="B156" s="7" t="s">
        <v>1006</v>
      </c>
      <c r="C156" s="6" t="str">
        <f aca="false">IF(U156&lt;&gt;"","Client",IF(D156&gt;=9,"A",IF(D156&gt;=7,"B","C")))</f>
        <v>B</v>
      </c>
      <c r="D156" s="6" t="n">
        <f aca="false">E156+F156+G156</f>
        <v>7</v>
      </c>
      <c r="E156" s="6" t="n">
        <v>4</v>
      </c>
      <c r="F156" s="6" t="n">
        <v>3</v>
      </c>
      <c r="G156" s="8" t="n">
        <v>0</v>
      </c>
      <c r="H156" s="6" t="s">
        <v>90</v>
      </c>
      <c r="I156" s="6" t="s">
        <v>77</v>
      </c>
      <c r="J156" s="2" t="s">
        <v>928</v>
      </c>
      <c r="K156" s="2" t="s">
        <v>905</v>
      </c>
      <c r="L156" s="2" t="s">
        <v>127</v>
      </c>
      <c r="M156" s="2"/>
      <c r="N156" s="2"/>
      <c r="O156" s="2" t="s">
        <v>1007</v>
      </c>
      <c r="P156" s="2" t="s">
        <v>1008</v>
      </c>
      <c r="Q156" s="6" t="s">
        <v>642</v>
      </c>
      <c r="R156" s="6" t="s">
        <v>85</v>
      </c>
      <c r="S156" s="9" t="s">
        <v>1009</v>
      </c>
      <c r="T156" s="6"/>
      <c r="U156" s="6"/>
      <c r="V156" s="10"/>
      <c r="W156" s="10" t="s">
        <v>88</v>
      </c>
      <c r="X156" s="10"/>
      <c r="Y156" s="10"/>
    </row>
    <row r="157" customFormat="false" ht="23.85" hidden="false" customHeight="false" outlineLevel="0" collapsed="false">
      <c r="A157" s="6" t="n">
        <v>156</v>
      </c>
      <c r="B157" s="7" t="s">
        <v>1010</v>
      </c>
      <c r="C157" s="6" t="str">
        <f aca="false">IF(U157&lt;&gt;"","Client",IF(D157&gt;=9,"A",IF(D157&gt;=7,"B","C")))</f>
        <v>B</v>
      </c>
      <c r="D157" s="6" t="n">
        <f aca="false">E157+F157+G157</f>
        <v>7</v>
      </c>
      <c r="E157" s="6" t="n">
        <v>4</v>
      </c>
      <c r="F157" s="6" t="n">
        <v>3</v>
      </c>
      <c r="G157" s="8" t="n">
        <v>0</v>
      </c>
      <c r="H157" s="6" t="s">
        <v>239</v>
      </c>
      <c r="I157" s="6" t="s">
        <v>77</v>
      </c>
      <c r="J157" s="2" t="s">
        <v>1011</v>
      </c>
      <c r="K157" s="2" t="s">
        <v>544</v>
      </c>
      <c r="L157" s="2" t="s">
        <v>127</v>
      </c>
      <c r="M157" s="2"/>
      <c r="N157" s="2"/>
      <c r="O157" s="2" t="s">
        <v>1012</v>
      </c>
      <c r="P157" s="2" t="s">
        <v>1013</v>
      </c>
      <c r="Q157" s="6" t="s">
        <v>97</v>
      </c>
      <c r="R157" s="6" t="s">
        <v>106</v>
      </c>
      <c r="S157" s="9" t="s">
        <v>547</v>
      </c>
      <c r="T157" s="6"/>
      <c r="U157" s="6"/>
      <c r="V157" s="10"/>
      <c r="W157" s="10" t="s">
        <v>88</v>
      </c>
      <c r="X157" s="10"/>
      <c r="Y157" s="10"/>
    </row>
    <row r="158" customFormat="false" ht="23.85" hidden="false" customHeight="false" outlineLevel="0" collapsed="false">
      <c r="A158" s="6" t="n">
        <v>157</v>
      </c>
      <c r="B158" s="7" t="s">
        <v>1014</v>
      </c>
      <c r="C158" s="6" t="str">
        <f aca="false">IF(U158&lt;&gt;"","Client",IF(D158&gt;=9,"A",IF(D158&gt;=7,"B","C")))</f>
        <v>B</v>
      </c>
      <c r="D158" s="6" t="n">
        <f aca="false">E158+F158+G158</f>
        <v>7</v>
      </c>
      <c r="E158" s="6" t="n">
        <v>4</v>
      </c>
      <c r="F158" s="6" t="n">
        <v>3</v>
      </c>
      <c r="G158" s="8" t="n">
        <v>0</v>
      </c>
      <c r="H158" s="6" t="s">
        <v>90</v>
      </c>
      <c r="I158" s="6" t="s">
        <v>77</v>
      </c>
      <c r="J158" s="2" t="s">
        <v>824</v>
      </c>
      <c r="K158" s="2" t="s">
        <v>1015</v>
      </c>
      <c r="L158" s="2" t="s">
        <v>652</v>
      </c>
      <c r="M158" s="2"/>
      <c r="N158" s="2"/>
      <c r="O158" s="2" t="s">
        <v>1016</v>
      </c>
      <c r="P158" s="2" t="s">
        <v>1017</v>
      </c>
      <c r="Q158" s="6" t="s">
        <v>281</v>
      </c>
      <c r="R158" s="6" t="s">
        <v>106</v>
      </c>
      <c r="S158" s="9" t="s">
        <v>1018</v>
      </c>
      <c r="T158" s="6"/>
      <c r="U158" s="6"/>
      <c r="V158" s="10"/>
      <c r="W158" s="10" t="s">
        <v>88</v>
      </c>
      <c r="X158" s="10"/>
      <c r="Y158" s="10"/>
    </row>
    <row r="159" customFormat="false" ht="23.85" hidden="false" customHeight="false" outlineLevel="0" collapsed="false">
      <c r="A159" s="6" t="n">
        <v>158</v>
      </c>
      <c r="B159" s="7" t="s">
        <v>1019</v>
      </c>
      <c r="C159" s="6" t="str">
        <f aca="false">IF(U159&lt;&gt;"","Client",IF(D159&gt;=9,"A",IF(D159&gt;=7,"B","C")))</f>
        <v>B</v>
      </c>
      <c r="D159" s="6" t="n">
        <f aca="false">E159+F159+G159</f>
        <v>7</v>
      </c>
      <c r="E159" s="6" t="n">
        <v>4</v>
      </c>
      <c r="F159" s="6" t="n">
        <v>3</v>
      </c>
      <c r="G159" s="8" t="n">
        <v>0</v>
      </c>
      <c r="H159" s="6" t="s">
        <v>76</v>
      </c>
      <c r="I159" s="6" t="s">
        <v>77</v>
      </c>
      <c r="J159" s="2" t="s">
        <v>975</v>
      </c>
      <c r="K159" s="2" t="s">
        <v>1020</v>
      </c>
      <c r="L159" s="2" t="s">
        <v>127</v>
      </c>
      <c r="M159" s="2"/>
      <c r="N159" s="2"/>
      <c r="O159" s="2" t="s">
        <v>1021</v>
      </c>
      <c r="P159" s="2" t="s">
        <v>1022</v>
      </c>
      <c r="Q159" s="6" t="s">
        <v>97</v>
      </c>
      <c r="R159" s="6" t="s">
        <v>98</v>
      </c>
      <c r="S159" s="9" t="s">
        <v>1023</v>
      </c>
      <c r="T159" s="6"/>
      <c r="U159" s="6"/>
      <c r="V159" s="10"/>
      <c r="W159" s="10" t="s">
        <v>88</v>
      </c>
      <c r="X159" s="10"/>
      <c r="Y159" s="10"/>
    </row>
    <row r="160" customFormat="false" ht="23.85" hidden="false" customHeight="false" outlineLevel="0" collapsed="false">
      <c r="A160" s="6" t="n">
        <v>159</v>
      </c>
      <c r="B160" s="7" t="s">
        <v>1024</v>
      </c>
      <c r="C160" s="6" t="str">
        <f aca="false">IF(U160&lt;&gt;"","Client",IF(D160&gt;=9,"A",IF(D160&gt;=7,"B","C")))</f>
        <v>B</v>
      </c>
      <c r="D160" s="6" t="n">
        <f aca="false">E160+F160+G160</f>
        <v>7</v>
      </c>
      <c r="E160" s="6" t="n">
        <v>4</v>
      </c>
      <c r="F160" s="6" t="n">
        <v>3</v>
      </c>
      <c r="G160" s="8" t="n">
        <v>0</v>
      </c>
      <c r="H160" s="6" t="s">
        <v>118</v>
      </c>
      <c r="I160" s="6" t="s">
        <v>77</v>
      </c>
      <c r="J160" s="2" t="s">
        <v>1025</v>
      </c>
      <c r="K160" s="2" t="s">
        <v>1026</v>
      </c>
      <c r="L160" s="2" t="s">
        <v>127</v>
      </c>
      <c r="M160" s="2"/>
      <c r="N160" s="2"/>
      <c r="O160" s="2" t="s">
        <v>1027</v>
      </c>
      <c r="P160" s="2" t="s">
        <v>1028</v>
      </c>
      <c r="Q160" s="6" t="s">
        <v>97</v>
      </c>
      <c r="R160" s="6" t="s">
        <v>106</v>
      </c>
      <c r="S160" s="9" t="s">
        <v>1029</v>
      </c>
      <c r="T160" s="9" t="s">
        <v>547</v>
      </c>
      <c r="U160" s="6"/>
      <c r="V160" s="10"/>
      <c r="W160" s="10" t="s">
        <v>88</v>
      </c>
      <c r="X160" s="10"/>
      <c r="Y160" s="10"/>
    </row>
    <row r="161" customFormat="false" ht="23.85" hidden="false" customHeight="false" outlineLevel="0" collapsed="false">
      <c r="A161" s="6" t="n">
        <v>160</v>
      </c>
      <c r="B161" s="7" t="s">
        <v>1030</v>
      </c>
      <c r="C161" s="6" t="str">
        <f aca="false">IF(U161&lt;&gt;"","Client",IF(D161&gt;=9,"A",IF(D161&gt;=7,"B","C")))</f>
        <v>B</v>
      </c>
      <c r="D161" s="6" t="n">
        <f aca="false">E161+F161+G161</f>
        <v>7</v>
      </c>
      <c r="E161" s="6" t="n">
        <v>4</v>
      </c>
      <c r="F161" s="6" t="n">
        <v>3</v>
      </c>
      <c r="G161" s="8" t="n">
        <v>0</v>
      </c>
      <c r="H161" s="6" t="s">
        <v>90</v>
      </c>
      <c r="I161" s="6" t="s">
        <v>77</v>
      </c>
      <c r="J161" s="2" t="s">
        <v>928</v>
      </c>
      <c r="K161" s="2" t="s">
        <v>1031</v>
      </c>
      <c r="L161" s="2" t="s">
        <v>127</v>
      </c>
      <c r="M161" s="2"/>
      <c r="N161" s="2"/>
      <c r="O161" s="2" t="s">
        <v>1032</v>
      </c>
      <c r="P161" s="2" t="s">
        <v>1033</v>
      </c>
      <c r="Q161" s="6" t="s">
        <v>97</v>
      </c>
      <c r="R161" s="6" t="s">
        <v>106</v>
      </c>
      <c r="S161" s="9" t="s">
        <v>562</v>
      </c>
      <c r="T161" s="6"/>
      <c r="U161" s="6"/>
      <c r="V161" s="10"/>
      <c r="W161" s="10" t="s">
        <v>88</v>
      </c>
      <c r="X161" s="10"/>
      <c r="Y161" s="10"/>
    </row>
    <row r="162" customFormat="false" ht="15" hidden="false" customHeight="false" outlineLevel="0" collapsed="false">
      <c r="A162" s="6" t="n">
        <v>161</v>
      </c>
      <c r="B162" s="7" t="s">
        <v>1034</v>
      </c>
      <c r="C162" s="6" t="str">
        <f aca="false">IF(U162&lt;&gt;"","Client",IF(D162&gt;=9,"A",IF(D162&gt;=7,"B","C")))</f>
        <v>B</v>
      </c>
      <c r="D162" s="6" t="n">
        <f aca="false">E162+F162+G162</f>
        <v>7</v>
      </c>
      <c r="E162" s="6" t="n">
        <v>4</v>
      </c>
      <c r="F162" s="6" t="n">
        <v>3</v>
      </c>
      <c r="G162" s="8" t="n">
        <v>0</v>
      </c>
      <c r="H162" s="6" t="s">
        <v>239</v>
      </c>
      <c r="I162" s="6" t="s">
        <v>77</v>
      </c>
      <c r="J162" s="2" t="s">
        <v>1035</v>
      </c>
      <c r="K162" s="2" t="s">
        <v>1036</v>
      </c>
      <c r="L162" s="2" t="s">
        <v>127</v>
      </c>
      <c r="M162" s="2"/>
      <c r="N162" s="2"/>
      <c r="O162" s="2" t="s">
        <v>1037</v>
      </c>
      <c r="P162" s="2" t="s">
        <v>1038</v>
      </c>
      <c r="Q162" s="6" t="s">
        <v>332</v>
      </c>
      <c r="R162" s="6" t="s">
        <v>85</v>
      </c>
      <c r="S162" s="9" t="s">
        <v>1039</v>
      </c>
      <c r="T162" s="6"/>
      <c r="U162" s="6"/>
      <c r="V162" s="10"/>
      <c r="W162" s="10" t="s">
        <v>88</v>
      </c>
      <c r="X162" s="10"/>
      <c r="Y162" s="10"/>
    </row>
    <row r="163" customFormat="false" ht="35.05" hidden="false" customHeight="false" outlineLevel="0" collapsed="false">
      <c r="A163" s="6" t="n">
        <v>162</v>
      </c>
      <c r="B163" s="7" t="s">
        <v>1040</v>
      </c>
      <c r="C163" s="6" t="str">
        <f aca="false">IF(U163&lt;&gt;"","Client",IF(D163&gt;=9,"A",IF(D163&gt;=7,"B","C")))</f>
        <v>B</v>
      </c>
      <c r="D163" s="6" t="n">
        <f aca="false">E163+F163+G163</f>
        <v>7</v>
      </c>
      <c r="E163" s="6" t="n">
        <v>4</v>
      </c>
      <c r="F163" s="6" t="n">
        <v>3</v>
      </c>
      <c r="G163" s="8" t="n">
        <v>0</v>
      </c>
      <c r="H163" s="6" t="s">
        <v>118</v>
      </c>
      <c r="I163" s="6" t="s">
        <v>77</v>
      </c>
      <c r="J163" s="2" t="s">
        <v>1041</v>
      </c>
      <c r="K163" s="2" t="s">
        <v>1042</v>
      </c>
      <c r="L163" s="2" t="s">
        <v>127</v>
      </c>
      <c r="M163" s="2"/>
      <c r="N163" s="2" t="s">
        <v>1043</v>
      </c>
      <c r="O163" s="2" t="s">
        <v>1044</v>
      </c>
      <c r="P163" s="2" t="s">
        <v>1045</v>
      </c>
      <c r="Q163" s="6" t="s">
        <v>130</v>
      </c>
      <c r="R163" s="6" t="s">
        <v>85</v>
      </c>
      <c r="S163" s="9" t="s">
        <v>1046</v>
      </c>
      <c r="T163" s="9" t="s">
        <v>1047</v>
      </c>
      <c r="U163" s="6"/>
      <c r="V163" s="10"/>
      <c r="W163" s="10" t="s">
        <v>88</v>
      </c>
      <c r="X163" s="10"/>
      <c r="Y163" s="10"/>
    </row>
    <row r="164" customFormat="false" ht="23.85" hidden="false" customHeight="false" outlineLevel="0" collapsed="false">
      <c r="A164" s="6" t="n">
        <v>163</v>
      </c>
      <c r="B164" s="7" t="s">
        <v>1048</v>
      </c>
      <c r="C164" s="6" t="str">
        <f aca="false">IF(U164&lt;&gt;"","Client",IF(D164&gt;=9,"A",IF(D164&gt;=7,"B","C")))</f>
        <v>B</v>
      </c>
      <c r="D164" s="6" t="n">
        <f aca="false">E164+F164+G164</f>
        <v>7</v>
      </c>
      <c r="E164" s="6" t="n">
        <v>4</v>
      </c>
      <c r="F164" s="6" t="n">
        <v>3</v>
      </c>
      <c r="G164" s="8" t="n">
        <v>0</v>
      </c>
      <c r="H164" s="6" t="s">
        <v>239</v>
      </c>
      <c r="I164" s="6" t="s">
        <v>77</v>
      </c>
      <c r="J164" s="2" t="s">
        <v>134</v>
      </c>
      <c r="K164" s="2" t="s">
        <v>1049</v>
      </c>
      <c r="L164" s="2" t="s">
        <v>127</v>
      </c>
      <c r="M164" s="2"/>
      <c r="N164" s="2" t="s">
        <v>1050</v>
      </c>
      <c r="O164" s="2" t="s">
        <v>1051</v>
      </c>
      <c r="P164" s="2" t="s">
        <v>1052</v>
      </c>
      <c r="Q164" s="6" t="s">
        <v>308</v>
      </c>
      <c r="R164" s="6" t="s">
        <v>85</v>
      </c>
      <c r="S164" s="9" t="s">
        <v>309</v>
      </c>
      <c r="T164" s="6"/>
      <c r="U164" s="6"/>
      <c r="V164" s="10"/>
      <c r="W164" s="10" t="s">
        <v>88</v>
      </c>
      <c r="X164" s="10"/>
      <c r="Y164" s="10"/>
    </row>
    <row r="165" customFormat="false" ht="23.85" hidden="false" customHeight="false" outlineLevel="0" collapsed="false">
      <c r="A165" s="6" t="n">
        <v>164</v>
      </c>
      <c r="B165" s="7" t="s">
        <v>1053</v>
      </c>
      <c r="C165" s="6" t="str">
        <f aca="false">IF(U165&lt;&gt;"","Client",IF(D165&gt;=9,"A",IF(D165&gt;=7,"B","C")))</f>
        <v>B</v>
      </c>
      <c r="D165" s="6" t="n">
        <f aca="false">E165+F165+G165</f>
        <v>7</v>
      </c>
      <c r="E165" s="6" t="n">
        <v>4</v>
      </c>
      <c r="F165" s="6" t="n">
        <v>3</v>
      </c>
      <c r="G165" s="8" t="n">
        <v>0</v>
      </c>
      <c r="H165" s="6" t="s">
        <v>239</v>
      </c>
      <c r="I165" s="6" t="s">
        <v>77</v>
      </c>
      <c r="J165" s="2" t="s">
        <v>1053</v>
      </c>
      <c r="K165" s="2" t="s">
        <v>1054</v>
      </c>
      <c r="L165" s="2" t="s">
        <v>127</v>
      </c>
      <c r="M165" s="2"/>
      <c r="N165" s="2"/>
      <c r="O165" s="2" t="s">
        <v>1055</v>
      </c>
      <c r="P165" s="2" t="s">
        <v>1056</v>
      </c>
      <c r="Q165" s="6" t="s">
        <v>97</v>
      </c>
      <c r="R165" s="6" t="s">
        <v>106</v>
      </c>
      <c r="S165" s="9" t="s">
        <v>1057</v>
      </c>
      <c r="T165" s="9" t="s">
        <v>973</v>
      </c>
      <c r="U165" s="6"/>
      <c r="V165" s="10"/>
      <c r="W165" s="10" t="s">
        <v>88</v>
      </c>
      <c r="X165" s="10"/>
      <c r="Y165" s="10"/>
    </row>
    <row r="166" customFormat="false" ht="15" hidden="false" customHeight="false" outlineLevel="0" collapsed="false">
      <c r="A166" s="6" t="n">
        <v>165</v>
      </c>
      <c r="B166" s="7" t="s">
        <v>1058</v>
      </c>
      <c r="C166" s="6" t="str">
        <f aca="false">IF(U166&lt;&gt;"","Client",IF(D166&gt;=9,"A",IF(D166&gt;=7,"B","C")))</f>
        <v>B</v>
      </c>
      <c r="D166" s="6" t="n">
        <f aca="false">E166+F166+G166</f>
        <v>7</v>
      </c>
      <c r="E166" s="6" t="n">
        <v>4</v>
      </c>
      <c r="F166" s="6" t="n">
        <v>3</v>
      </c>
      <c r="G166" s="8" t="n">
        <v>0</v>
      </c>
      <c r="H166" s="6" t="s">
        <v>90</v>
      </c>
      <c r="I166" s="6" t="s">
        <v>77</v>
      </c>
      <c r="J166" s="2" t="s">
        <v>1058</v>
      </c>
      <c r="K166" s="2" t="s">
        <v>1059</v>
      </c>
      <c r="L166" s="2" t="s">
        <v>127</v>
      </c>
      <c r="M166" s="2"/>
      <c r="N166" s="2"/>
      <c r="O166" s="2" t="s">
        <v>1060</v>
      </c>
      <c r="P166" s="2" t="s">
        <v>1061</v>
      </c>
      <c r="Q166" s="6" t="s">
        <v>517</v>
      </c>
      <c r="R166" s="6" t="s">
        <v>85</v>
      </c>
      <c r="S166" s="9" t="s">
        <v>1062</v>
      </c>
      <c r="T166" s="6"/>
      <c r="U166" s="6"/>
      <c r="V166" s="10"/>
      <c r="W166" s="10" t="s">
        <v>88</v>
      </c>
      <c r="X166" s="10"/>
      <c r="Y166" s="10"/>
    </row>
    <row r="167" customFormat="false" ht="15" hidden="false" customHeight="false" outlineLevel="0" collapsed="false">
      <c r="A167" s="6" t="n">
        <v>166</v>
      </c>
      <c r="B167" s="7" t="s">
        <v>1063</v>
      </c>
      <c r="C167" s="6" t="str">
        <f aca="false">IF(U167&lt;&gt;"","Client",IF(D167&gt;=9,"A",IF(D167&gt;=7,"B","C")))</f>
        <v>B</v>
      </c>
      <c r="D167" s="6" t="n">
        <f aca="false">E167+F167+G167</f>
        <v>7</v>
      </c>
      <c r="E167" s="6" t="n">
        <v>4</v>
      </c>
      <c r="F167" s="6" t="n">
        <v>3</v>
      </c>
      <c r="G167" s="8" t="n">
        <v>0</v>
      </c>
      <c r="H167" s="6" t="s">
        <v>90</v>
      </c>
      <c r="I167" s="6" t="s">
        <v>77</v>
      </c>
      <c r="J167" s="2" t="s">
        <v>824</v>
      </c>
      <c r="K167" s="2" t="s">
        <v>268</v>
      </c>
      <c r="L167" s="2" t="s">
        <v>127</v>
      </c>
      <c r="M167" s="2"/>
      <c r="N167" s="2"/>
      <c r="O167" s="2" t="s">
        <v>1064</v>
      </c>
      <c r="P167" s="2" t="s">
        <v>1065</v>
      </c>
      <c r="Q167" s="6" t="s">
        <v>97</v>
      </c>
      <c r="R167" s="6" t="s">
        <v>106</v>
      </c>
      <c r="S167" s="9" t="s">
        <v>272</v>
      </c>
      <c r="T167" s="6"/>
      <c r="U167" s="6"/>
      <c r="V167" s="10"/>
      <c r="W167" s="10" t="s">
        <v>88</v>
      </c>
      <c r="X167" s="10"/>
      <c r="Y167" s="10"/>
    </row>
    <row r="168" customFormat="false" ht="15" hidden="false" customHeight="false" outlineLevel="0" collapsed="false">
      <c r="A168" s="6" t="n">
        <v>167</v>
      </c>
      <c r="B168" s="7" t="s">
        <v>1066</v>
      </c>
      <c r="C168" s="6" t="str">
        <f aca="false">IF(U168&lt;&gt;"","Client",IF(D168&gt;=9,"A",IF(D168&gt;=7,"B","C")))</f>
        <v>B</v>
      </c>
      <c r="D168" s="6" t="n">
        <f aca="false">E168+F168+G168</f>
        <v>7</v>
      </c>
      <c r="E168" s="6" t="n">
        <v>4</v>
      </c>
      <c r="F168" s="6" t="n">
        <v>3</v>
      </c>
      <c r="G168" s="8" t="n">
        <v>0</v>
      </c>
      <c r="H168" s="6" t="s">
        <v>90</v>
      </c>
      <c r="I168" s="6" t="s">
        <v>77</v>
      </c>
      <c r="J168" s="2" t="s">
        <v>824</v>
      </c>
      <c r="K168" s="2" t="s">
        <v>268</v>
      </c>
      <c r="L168" s="2" t="s">
        <v>127</v>
      </c>
      <c r="M168" s="2"/>
      <c r="N168" s="2"/>
      <c r="O168" s="2" t="s">
        <v>1064</v>
      </c>
      <c r="P168" s="2" t="s">
        <v>1067</v>
      </c>
      <c r="Q168" s="6" t="s">
        <v>97</v>
      </c>
      <c r="R168" s="6" t="s">
        <v>106</v>
      </c>
      <c r="S168" s="9" t="s">
        <v>272</v>
      </c>
      <c r="T168" s="6"/>
      <c r="U168" s="6"/>
      <c r="V168" s="10"/>
      <c r="W168" s="10" t="s">
        <v>88</v>
      </c>
      <c r="X168" s="10"/>
      <c r="Y168" s="10"/>
    </row>
    <row r="169" customFormat="false" ht="15" hidden="false" customHeight="false" outlineLevel="0" collapsed="false">
      <c r="A169" s="6" t="n">
        <v>168</v>
      </c>
      <c r="B169" s="7" t="s">
        <v>1068</v>
      </c>
      <c r="C169" s="6" t="str">
        <f aca="false">IF(U169&lt;&gt;"","Client",IF(D169&gt;=9,"A",IF(D169&gt;=7,"B","C")))</f>
        <v>B</v>
      </c>
      <c r="D169" s="6" t="n">
        <f aca="false">E169+F169+G169</f>
        <v>7</v>
      </c>
      <c r="E169" s="6" t="n">
        <v>4</v>
      </c>
      <c r="F169" s="6" t="n">
        <v>3</v>
      </c>
      <c r="G169" s="8" t="n">
        <v>0</v>
      </c>
      <c r="H169" s="6" t="s">
        <v>239</v>
      </c>
      <c r="I169" s="6" t="s">
        <v>77</v>
      </c>
      <c r="J169" s="2" t="s">
        <v>1068</v>
      </c>
      <c r="K169" s="2" t="s">
        <v>905</v>
      </c>
      <c r="L169" s="2" t="s">
        <v>127</v>
      </c>
      <c r="M169" s="2"/>
      <c r="N169" s="2"/>
      <c r="O169" s="2"/>
      <c r="P169" s="2" t="s">
        <v>1069</v>
      </c>
      <c r="Q169" s="6" t="s">
        <v>411</v>
      </c>
      <c r="R169" s="6" t="s">
        <v>85</v>
      </c>
      <c r="S169" s="9" t="s">
        <v>1070</v>
      </c>
      <c r="T169" s="6"/>
      <c r="U169" s="6"/>
      <c r="V169" s="10"/>
      <c r="W169" s="10" t="s">
        <v>88</v>
      </c>
      <c r="X169" s="10"/>
      <c r="Y169" s="10"/>
    </row>
    <row r="170" customFormat="false" ht="23.85" hidden="false" customHeight="false" outlineLevel="0" collapsed="false">
      <c r="A170" s="6" t="n">
        <v>169</v>
      </c>
      <c r="B170" s="7" t="s">
        <v>1071</v>
      </c>
      <c r="C170" s="6" t="str">
        <f aca="false">IF(U170&lt;&gt;"","Client",IF(D170&gt;=9,"A",IF(D170&gt;=7,"B","C")))</f>
        <v>B</v>
      </c>
      <c r="D170" s="6" t="n">
        <f aca="false">E170+F170+G170</f>
        <v>7</v>
      </c>
      <c r="E170" s="6" t="n">
        <v>4</v>
      </c>
      <c r="F170" s="6" t="n">
        <v>3</v>
      </c>
      <c r="G170" s="8" t="n">
        <v>0</v>
      </c>
      <c r="H170" s="6" t="s">
        <v>76</v>
      </c>
      <c r="I170" s="6" t="s">
        <v>77</v>
      </c>
      <c r="J170" s="2" t="s">
        <v>1011</v>
      </c>
      <c r="K170" s="2" t="s">
        <v>544</v>
      </c>
      <c r="L170" s="2" t="s">
        <v>127</v>
      </c>
      <c r="M170" s="2"/>
      <c r="N170" s="2"/>
      <c r="O170" s="2" t="s">
        <v>1012</v>
      </c>
      <c r="P170" s="2" t="s">
        <v>1072</v>
      </c>
      <c r="Q170" s="6" t="s">
        <v>97</v>
      </c>
      <c r="R170" s="6" t="s">
        <v>106</v>
      </c>
      <c r="S170" s="9" t="s">
        <v>547</v>
      </c>
      <c r="T170" s="6"/>
      <c r="U170" s="6"/>
      <c r="V170" s="10"/>
      <c r="W170" s="10" t="s">
        <v>88</v>
      </c>
      <c r="X170" s="10"/>
      <c r="Y170" s="10"/>
    </row>
    <row r="171" customFormat="false" ht="15" hidden="false" customHeight="false" outlineLevel="0" collapsed="false">
      <c r="A171" s="6" t="n">
        <v>170</v>
      </c>
      <c r="B171" s="7" t="s">
        <v>1073</v>
      </c>
      <c r="C171" s="6" t="str">
        <f aca="false">IF(U171&lt;&gt;"","Client",IF(D171&gt;=9,"A",IF(D171&gt;=7,"B","C")))</f>
        <v>B</v>
      </c>
      <c r="D171" s="6" t="n">
        <f aca="false">E171+F171+G171</f>
        <v>7</v>
      </c>
      <c r="E171" s="6" t="n">
        <v>4</v>
      </c>
      <c r="F171" s="6" t="n">
        <v>3</v>
      </c>
      <c r="G171" s="8" t="n">
        <v>0</v>
      </c>
      <c r="H171" s="6" t="s">
        <v>90</v>
      </c>
      <c r="I171" s="6" t="s">
        <v>77</v>
      </c>
      <c r="J171" s="2" t="s">
        <v>1074</v>
      </c>
      <c r="K171" s="2" t="s">
        <v>1075</v>
      </c>
      <c r="L171" s="2" t="s">
        <v>127</v>
      </c>
      <c r="M171" s="2"/>
      <c r="N171" s="2"/>
      <c r="O171" s="2" t="s">
        <v>1037</v>
      </c>
      <c r="P171" s="2" t="s">
        <v>1076</v>
      </c>
      <c r="Q171" s="6" t="s">
        <v>236</v>
      </c>
      <c r="R171" s="6" t="s">
        <v>85</v>
      </c>
      <c r="S171" s="9" t="s">
        <v>1077</v>
      </c>
      <c r="T171" s="6"/>
      <c r="U171" s="6"/>
      <c r="V171" s="10"/>
      <c r="W171" s="10" t="s">
        <v>88</v>
      </c>
      <c r="X171" s="10"/>
      <c r="Y171" s="10"/>
    </row>
    <row r="172" customFormat="false" ht="35.05" hidden="false" customHeight="false" outlineLevel="0" collapsed="false">
      <c r="A172" s="6" t="n">
        <v>171</v>
      </c>
      <c r="B172" s="7" t="s">
        <v>1078</v>
      </c>
      <c r="C172" s="6" t="str">
        <f aca="false">IF(U172&lt;&gt;"","Client",IF(D172&gt;=9,"A",IF(D172&gt;=7,"B","C")))</f>
        <v>B</v>
      </c>
      <c r="D172" s="6" t="n">
        <f aca="false">E172+F172+G172</f>
        <v>7</v>
      </c>
      <c r="E172" s="6" t="n">
        <v>4</v>
      </c>
      <c r="F172" s="6" t="n">
        <v>3</v>
      </c>
      <c r="G172" s="8" t="n">
        <v>0</v>
      </c>
      <c r="H172" s="6" t="s">
        <v>76</v>
      </c>
      <c r="I172" s="6" t="s">
        <v>77</v>
      </c>
      <c r="J172" s="2" t="s">
        <v>134</v>
      </c>
      <c r="K172" s="2" t="s">
        <v>1079</v>
      </c>
      <c r="L172" s="2" t="s">
        <v>127</v>
      </c>
      <c r="M172" s="2"/>
      <c r="N172" s="2"/>
      <c r="O172" s="2" t="s">
        <v>1080</v>
      </c>
      <c r="P172" s="2" t="s">
        <v>1081</v>
      </c>
      <c r="Q172" s="6" t="s">
        <v>97</v>
      </c>
      <c r="R172" s="6" t="s">
        <v>106</v>
      </c>
      <c r="S172" s="9" t="s">
        <v>1082</v>
      </c>
      <c r="T172" s="9" t="s">
        <v>1083</v>
      </c>
      <c r="U172" s="6"/>
      <c r="V172" s="10"/>
      <c r="W172" s="10" t="s">
        <v>88</v>
      </c>
      <c r="X172" s="10"/>
      <c r="Y172" s="10"/>
    </row>
    <row r="173" customFormat="false" ht="23.85" hidden="false" customHeight="false" outlineLevel="0" collapsed="false">
      <c r="A173" s="6" t="n">
        <v>172</v>
      </c>
      <c r="B173" s="7" t="s">
        <v>1084</v>
      </c>
      <c r="C173" s="6" t="str">
        <f aca="false">IF(U173&lt;&gt;"","Client",IF(D173&gt;=9,"A",IF(D173&gt;=7,"B","C")))</f>
        <v>B</v>
      </c>
      <c r="D173" s="6" t="n">
        <f aca="false">E173+F173+G173</f>
        <v>7</v>
      </c>
      <c r="E173" s="6" t="n">
        <v>2</v>
      </c>
      <c r="F173" s="6" t="n">
        <v>2</v>
      </c>
      <c r="G173" s="8" t="n">
        <v>3</v>
      </c>
      <c r="H173" s="6" t="s">
        <v>1085</v>
      </c>
      <c r="I173" s="6" t="s">
        <v>287</v>
      </c>
      <c r="J173" s="2" t="s">
        <v>1084</v>
      </c>
      <c r="K173" s="2" t="s">
        <v>92</v>
      </c>
      <c r="L173" s="2" t="s">
        <v>93</v>
      </c>
      <c r="M173" s="2"/>
      <c r="N173" s="2" t="s">
        <v>453</v>
      </c>
      <c r="O173" s="2" t="s">
        <v>1086</v>
      </c>
      <c r="P173" s="2" t="s">
        <v>1087</v>
      </c>
      <c r="Q173" s="6" t="s">
        <v>97</v>
      </c>
      <c r="R173" s="6" t="s">
        <v>85</v>
      </c>
      <c r="S173" s="9" t="s">
        <v>1088</v>
      </c>
      <c r="T173" s="9" t="s">
        <v>1089</v>
      </c>
      <c r="U173" s="6"/>
      <c r="V173" s="10"/>
      <c r="W173" s="10" t="s">
        <v>88</v>
      </c>
      <c r="X173" s="10"/>
      <c r="Y173" s="10"/>
    </row>
    <row r="174" customFormat="false" ht="57.45" hidden="false" customHeight="false" outlineLevel="0" collapsed="false">
      <c r="A174" s="6" t="n">
        <v>173</v>
      </c>
      <c r="B174" s="7" t="s">
        <v>1090</v>
      </c>
      <c r="C174" s="6" t="str">
        <f aca="false">IF(U174&lt;&gt;"","Client",IF(D174&gt;=9,"A",IF(D174&gt;=7,"B","C")))</f>
        <v>B</v>
      </c>
      <c r="D174" s="6" t="n">
        <f aca="false">E174+F174+G174</f>
        <v>7</v>
      </c>
      <c r="E174" s="6" t="n">
        <v>2</v>
      </c>
      <c r="F174" s="6" t="n">
        <v>2</v>
      </c>
      <c r="G174" s="8" t="n">
        <v>3</v>
      </c>
      <c r="H174" s="6" t="s">
        <v>507</v>
      </c>
      <c r="I174" s="6" t="s">
        <v>287</v>
      </c>
      <c r="J174" s="2" t="s">
        <v>1091</v>
      </c>
      <c r="K174" s="2" t="s">
        <v>1092</v>
      </c>
      <c r="L174" s="2" t="s">
        <v>1093</v>
      </c>
      <c r="M174" s="2"/>
      <c r="N174" s="2" t="s">
        <v>338</v>
      </c>
      <c r="O174" s="2" t="s">
        <v>1094</v>
      </c>
      <c r="P174" s="2" t="s">
        <v>1095</v>
      </c>
      <c r="Q174" s="6" t="s">
        <v>97</v>
      </c>
      <c r="R174" s="6" t="s">
        <v>85</v>
      </c>
      <c r="S174" s="9" t="s">
        <v>1096</v>
      </c>
      <c r="T174" s="9" t="s">
        <v>1097</v>
      </c>
      <c r="U174" s="6"/>
      <c r="V174" s="10"/>
      <c r="W174" s="10" t="s">
        <v>88</v>
      </c>
      <c r="X174" s="10"/>
      <c r="Y174" s="10"/>
    </row>
    <row r="175" customFormat="false" ht="23.85" hidden="false" customHeight="false" outlineLevel="0" collapsed="false">
      <c r="A175" s="6" t="n">
        <v>174</v>
      </c>
      <c r="B175" s="7" t="s">
        <v>1098</v>
      </c>
      <c r="C175" s="6" t="str">
        <f aca="false">IF(U175&lt;&gt;"","Client",IF(D175&gt;=9,"A",IF(D175&gt;=7,"B","C")))</f>
        <v>B</v>
      </c>
      <c r="D175" s="6" t="n">
        <f aca="false">E175+F175+G175</f>
        <v>7</v>
      </c>
      <c r="E175" s="6" t="n">
        <v>2</v>
      </c>
      <c r="F175" s="6" t="n">
        <v>2</v>
      </c>
      <c r="G175" s="8" t="n">
        <v>3</v>
      </c>
      <c r="H175" s="6" t="s">
        <v>507</v>
      </c>
      <c r="I175" s="6" t="s">
        <v>287</v>
      </c>
      <c r="J175" s="2" t="s">
        <v>1099</v>
      </c>
      <c r="K175" s="2" t="s">
        <v>1100</v>
      </c>
      <c r="L175" s="2" t="s">
        <v>102</v>
      </c>
      <c r="M175" s="2"/>
      <c r="N175" s="2" t="s">
        <v>717</v>
      </c>
      <c r="O175" s="2" t="s">
        <v>1101</v>
      </c>
      <c r="P175" s="2" t="s">
        <v>1102</v>
      </c>
      <c r="Q175" s="6" t="s">
        <v>308</v>
      </c>
      <c r="R175" s="6" t="s">
        <v>106</v>
      </c>
      <c r="S175" s="9" t="s">
        <v>1103</v>
      </c>
      <c r="T175" s="9" t="s">
        <v>1104</v>
      </c>
      <c r="U175" s="6"/>
      <c r="V175" s="10"/>
      <c r="W175" s="10" t="s">
        <v>88</v>
      </c>
      <c r="X175" s="10"/>
      <c r="Y175" s="10"/>
    </row>
    <row r="176" customFormat="false" ht="35.05" hidden="false" customHeight="false" outlineLevel="0" collapsed="false">
      <c r="A176" s="6" t="n">
        <v>175</v>
      </c>
      <c r="B176" s="7" t="s">
        <v>1105</v>
      </c>
      <c r="C176" s="6" t="str">
        <f aca="false">IF(U176&lt;&gt;"","Client",IF(D176&gt;=9,"A",IF(D176&gt;=7,"B","C")))</f>
        <v>B</v>
      </c>
      <c r="D176" s="6" t="n">
        <f aca="false">E176+F176+G176</f>
        <v>7</v>
      </c>
      <c r="E176" s="6" t="n">
        <v>2</v>
      </c>
      <c r="F176" s="6" t="n">
        <v>2</v>
      </c>
      <c r="G176" s="8" t="n">
        <v>3</v>
      </c>
      <c r="H176" s="6" t="s">
        <v>507</v>
      </c>
      <c r="I176" s="6" t="s">
        <v>287</v>
      </c>
      <c r="J176" s="2" t="s">
        <v>1106</v>
      </c>
      <c r="K176" s="2" t="s">
        <v>1107</v>
      </c>
      <c r="L176" s="2" t="s">
        <v>1108</v>
      </c>
      <c r="M176" s="2"/>
      <c r="N176" s="2" t="s">
        <v>1109</v>
      </c>
      <c r="O176" s="2" t="s">
        <v>1110</v>
      </c>
      <c r="P176" s="2" t="s">
        <v>1111</v>
      </c>
      <c r="Q176" s="6" t="s">
        <v>97</v>
      </c>
      <c r="R176" s="6" t="s">
        <v>85</v>
      </c>
      <c r="S176" s="9" t="s">
        <v>1112</v>
      </c>
      <c r="T176" s="9" t="s">
        <v>1113</v>
      </c>
      <c r="U176" s="6"/>
      <c r="V176" s="10"/>
      <c r="W176" s="10" t="s">
        <v>88</v>
      </c>
      <c r="X176" s="10"/>
      <c r="Y176" s="10"/>
    </row>
    <row r="177" customFormat="false" ht="35.05" hidden="false" customHeight="false" outlineLevel="0" collapsed="false">
      <c r="A177" s="6" t="n">
        <v>176</v>
      </c>
      <c r="B177" s="7" t="s">
        <v>1114</v>
      </c>
      <c r="C177" s="6" t="str">
        <f aca="false">IF(U177&lt;&gt;"","Client",IF(D177&gt;=9,"A",IF(D177&gt;=7,"B","C")))</f>
        <v>B</v>
      </c>
      <c r="D177" s="6" t="n">
        <f aca="false">E177+F177+G177</f>
        <v>7</v>
      </c>
      <c r="E177" s="6" t="n">
        <v>2</v>
      </c>
      <c r="F177" s="6" t="n">
        <v>2</v>
      </c>
      <c r="G177" s="8" t="n">
        <v>3</v>
      </c>
      <c r="H177" s="6" t="s">
        <v>507</v>
      </c>
      <c r="I177" s="6" t="s">
        <v>287</v>
      </c>
      <c r="J177" s="2" t="s">
        <v>1115</v>
      </c>
      <c r="K177" s="2" t="s">
        <v>305</v>
      </c>
      <c r="L177" s="2" t="s">
        <v>652</v>
      </c>
      <c r="M177" s="2"/>
      <c r="N177" s="2" t="s">
        <v>103</v>
      </c>
      <c r="O177" s="2" t="s">
        <v>1116</v>
      </c>
      <c r="P177" s="2" t="s">
        <v>1117</v>
      </c>
      <c r="Q177" s="6" t="s">
        <v>97</v>
      </c>
      <c r="R177" s="6" t="s">
        <v>106</v>
      </c>
      <c r="S177" s="9" t="s">
        <v>1118</v>
      </c>
      <c r="T177" s="9" t="s">
        <v>1119</v>
      </c>
      <c r="U177" s="6"/>
      <c r="V177" s="10"/>
      <c r="W177" s="10" t="s">
        <v>88</v>
      </c>
      <c r="X177" s="10"/>
      <c r="Y177" s="10"/>
    </row>
    <row r="178" customFormat="false" ht="57.45" hidden="false" customHeight="false" outlineLevel="0" collapsed="false">
      <c r="A178" s="6" t="n">
        <v>177</v>
      </c>
      <c r="B178" s="7" t="s">
        <v>1120</v>
      </c>
      <c r="C178" s="6" t="str">
        <f aca="false">IF(U178&lt;&gt;"","Client",IF(D178&gt;=9,"A",IF(D178&gt;=7,"B","C")))</f>
        <v>B</v>
      </c>
      <c r="D178" s="6" t="n">
        <f aca="false">E178+F178+G178</f>
        <v>7</v>
      </c>
      <c r="E178" s="6" t="n">
        <v>2</v>
      </c>
      <c r="F178" s="6" t="n">
        <v>2</v>
      </c>
      <c r="G178" s="8" t="n">
        <v>3</v>
      </c>
      <c r="H178" s="6" t="s">
        <v>507</v>
      </c>
      <c r="I178" s="6" t="s">
        <v>287</v>
      </c>
      <c r="J178" s="2" t="s">
        <v>1120</v>
      </c>
      <c r="K178" s="2" t="s">
        <v>1121</v>
      </c>
      <c r="L178" s="2" t="s">
        <v>197</v>
      </c>
      <c r="M178" s="2"/>
      <c r="N178" s="2" t="s">
        <v>423</v>
      </c>
      <c r="O178" s="2" t="s">
        <v>1122</v>
      </c>
      <c r="P178" s="2" t="s">
        <v>1123</v>
      </c>
      <c r="Q178" s="6" t="s">
        <v>178</v>
      </c>
      <c r="R178" s="6" t="s">
        <v>106</v>
      </c>
      <c r="S178" s="9" t="s">
        <v>1124</v>
      </c>
      <c r="T178" s="9" t="s">
        <v>1125</v>
      </c>
      <c r="U178" s="6"/>
      <c r="V178" s="10"/>
      <c r="W178" s="10" t="s">
        <v>88</v>
      </c>
      <c r="X178" s="10"/>
      <c r="Y178" s="10"/>
    </row>
    <row r="179" customFormat="false" ht="35.05" hidden="false" customHeight="false" outlineLevel="0" collapsed="false">
      <c r="A179" s="6" t="n">
        <v>178</v>
      </c>
      <c r="B179" s="7" t="s">
        <v>1126</v>
      </c>
      <c r="C179" s="6" t="str">
        <f aca="false">IF(U179&lt;&gt;"","Client",IF(D179&gt;=9,"A",IF(D179&gt;=7,"B","C")))</f>
        <v>B</v>
      </c>
      <c r="D179" s="6" t="n">
        <f aca="false">E179+F179+G179</f>
        <v>7</v>
      </c>
      <c r="E179" s="6" t="n">
        <v>2</v>
      </c>
      <c r="F179" s="6" t="n">
        <v>2</v>
      </c>
      <c r="G179" s="8" t="n">
        <v>3</v>
      </c>
      <c r="H179" s="6" t="s">
        <v>1127</v>
      </c>
      <c r="I179" s="6" t="s">
        <v>287</v>
      </c>
      <c r="J179" s="2" t="s">
        <v>1128</v>
      </c>
      <c r="K179" s="2" t="s">
        <v>1129</v>
      </c>
      <c r="L179" s="2" t="s">
        <v>102</v>
      </c>
      <c r="M179" s="2" t="s">
        <v>1130</v>
      </c>
      <c r="N179" s="2" t="s">
        <v>103</v>
      </c>
      <c r="O179" s="2" t="s">
        <v>1131</v>
      </c>
      <c r="P179" s="2" t="s">
        <v>1132</v>
      </c>
      <c r="Q179" s="6" t="s">
        <v>160</v>
      </c>
      <c r="R179" s="6" t="s">
        <v>85</v>
      </c>
      <c r="S179" s="9" t="s">
        <v>1133</v>
      </c>
      <c r="T179" s="9" t="s">
        <v>1134</v>
      </c>
      <c r="U179" s="6"/>
      <c r="V179" s="10"/>
      <c r="W179" s="10" t="s">
        <v>88</v>
      </c>
      <c r="X179" s="10"/>
      <c r="Y179" s="10"/>
    </row>
    <row r="180" customFormat="false" ht="35.05" hidden="false" customHeight="false" outlineLevel="0" collapsed="false">
      <c r="A180" s="6" t="n">
        <v>179</v>
      </c>
      <c r="B180" s="7" t="s">
        <v>1135</v>
      </c>
      <c r="C180" s="6" t="str">
        <f aca="false">IF(U180&lt;&gt;"","Client",IF(D180&gt;=9,"A",IF(D180&gt;=7,"B","C")))</f>
        <v>B</v>
      </c>
      <c r="D180" s="6" t="n">
        <f aca="false">E180+F180+G180</f>
        <v>7</v>
      </c>
      <c r="E180" s="6" t="n">
        <v>2</v>
      </c>
      <c r="F180" s="6" t="n">
        <v>2</v>
      </c>
      <c r="G180" s="8" t="n">
        <v>3</v>
      </c>
      <c r="H180" s="6" t="s">
        <v>507</v>
      </c>
      <c r="I180" s="6" t="s">
        <v>287</v>
      </c>
      <c r="J180" s="2" t="s">
        <v>1136</v>
      </c>
      <c r="K180" s="2" t="s">
        <v>1137</v>
      </c>
      <c r="L180" s="2" t="s">
        <v>127</v>
      </c>
      <c r="M180" s="2"/>
      <c r="N180" s="2" t="s">
        <v>361</v>
      </c>
      <c r="O180" s="2" t="s">
        <v>1138</v>
      </c>
      <c r="P180" s="2" t="s">
        <v>1139</v>
      </c>
      <c r="Q180" s="6" t="s">
        <v>440</v>
      </c>
      <c r="R180" s="6" t="s">
        <v>106</v>
      </c>
      <c r="S180" s="9" t="s">
        <v>1140</v>
      </c>
      <c r="T180" s="9" t="s">
        <v>1141</v>
      </c>
      <c r="U180" s="6"/>
      <c r="V180" s="10"/>
      <c r="W180" s="10" t="s">
        <v>88</v>
      </c>
      <c r="X180" s="10"/>
      <c r="Y180" s="10"/>
    </row>
    <row r="181" customFormat="false" ht="15" hidden="false" customHeight="false" outlineLevel="0" collapsed="false">
      <c r="A181" s="6" t="n">
        <v>180</v>
      </c>
      <c r="B181" s="7" t="s">
        <v>1142</v>
      </c>
      <c r="C181" s="6" t="str">
        <f aca="false">IF(U181&lt;&gt;"","Client",IF(D181&gt;=9,"A",IF(D181&gt;=7,"B","C")))</f>
        <v>B</v>
      </c>
      <c r="D181" s="6" t="n">
        <f aca="false">E181+F181+G181</f>
        <v>7</v>
      </c>
      <c r="E181" s="6" t="n">
        <v>2</v>
      </c>
      <c r="F181" s="6" t="n">
        <v>2</v>
      </c>
      <c r="G181" s="8" t="n">
        <v>3</v>
      </c>
      <c r="H181" s="6" t="s">
        <v>507</v>
      </c>
      <c r="I181" s="6" t="s">
        <v>287</v>
      </c>
      <c r="J181" s="2" t="s">
        <v>1142</v>
      </c>
      <c r="K181" s="2" t="s">
        <v>92</v>
      </c>
      <c r="L181" s="2" t="s">
        <v>93</v>
      </c>
      <c r="M181" s="2"/>
      <c r="N181" s="2" t="s">
        <v>184</v>
      </c>
      <c r="O181" s="2" t="s">
        <v>1143</v>
      </c>
      <c r="P181" s="2" t="s">
        <v>1144</v>
      </c>
      <c r="Q181" s="6" t="s">
        <v>178</v>
      </c>
      <c r="R181" s="6" t="s">
        <v>85</v>
      </c>
      <c r="S181" s="9" t="s">
        <v>1145</v>
      </c>
      <c r="T181" s="6"/>
      <c r="U181" s="6"/>
      <c r="V181" s="10"/>
      <c r="W181" s="10" t="s">
        <v>88</v>
      </c>
      <c r="X181" s="10"/>
      <c r="Y181" s="10"/>
    </row>
    <row r="182" customFormat="false" ht="23.85" hidden="false" customHeight="false" outlineLevel="0" collapsed="false">
      <c r="A182" s="6" t="n">
        <v>181</v>
      </c>
      <c r="B182" s="7" t="s">
        <v>1146</v>
      </c>
      <c r="C182" s="6" t="str">
        <f aca="false">IF(U182&lt;&gt;"","Client",IF(D182&gt;=9,"A",IF(D182&gt;=7,"B","C")))</f>
        <v>B</v>
      </c>
      <c r="D182" s="6" t="n">
        <f aca="false">E182+F182+G182</f>
        <v>7</v>
      </c>
      <c r="E182" s="6" t="n">
        <v>2</v>
      </c>
      <c r="F182" s="6" t="n">
        <v>2</v>
      </c>
      <c r="G182" s="8" t="n">
        <v>3</v>
      </c>
      <c r="H182" s="6" t="s">
        <v>507</v>
      </c>
      <c r="I182" s="6" t="s">
        <v>287</v>
      </c>
      <c r="J182" s="2" t="s">
        <v>1147</v>
      </c>
      <c r="K182" s="2" t="s">
        <v>664</v>
      </c>
      <c r="L182" s="2" t="s">
        <v>102</v>
      </c>
      <c r="M182" s="2"/>
      <c r="N182" s="2" t="s">
        <v>103</v>
      </c>
      <c r="O182" s="2" t="s">
        <v>1148</v>
      </c>
      <c r="P182" s="2" t="s">
        <v>1149</v>
      </c>
      <c r="Q182" s="6" t="s">
        <v>178</v>
      </c>
      <c r="R182" s="6" t="s">
        <v>85</v>
      </c>
      <c r="S182" s="9" t="s">
        <v>1150</v>
      </c>
      <c r="T182" s="9" t="s">
        <v>672</v>
      </c>
      <c r="U182" s="6"/>
      <c r="V182" s="10"/>
      <c r="W182" s="10" t="s">
        <v>88</v>
      </c>
      <c r="X182" s="10"/>
      <c r="Y182" s="10"/>
    </row>
    <row r="183" customFormat="false" ht="35.05" hidden="false" customHeight="false" outlineLevel="0" collapsed="false">
      <c r="A183" s="6" t="n">
        <v>182</v>
      </c>
      <c r="B183" s="7" t="s">
        <v>1151</v>
      </c>
      <c r="C183" s="6" t="str">
        <f aca="false">IF(U183&lt;&gt;"","Client",IF(D183&gt;=9,"A",IF(D183&gt;=7,"B","C")))</f>
        <v>B</v>
      </c>
      <c r="D183" s="6" t="n">
        <f aca="false">E183+F183+G183</f>
        <v>7</v>
      </c>
      <c r="E183" s="6" t="n">
        <v>2</v>
      </c>
      <c r="F183" s="6" t="n">
        <v>2</v>
      </c>
      <c r="G183" s="8" t="n">
        <v>3</v>
      </c>
      <c r="H183" s="6" t="s">
        <v>507</v>
      </c>
      <c r="I183" s="6" t="s">
        <v>287</v>
      </c>
      <c r="J183" s="2" t="s">
        <v>1151</v>
      </c>
      <c r="K183" s="2" t="s">
        <v>1152</v>
      </c>
      <c r="L183" s="2" t="s">
        <v>112</v>
      </c>
      <c r="M183" s="2"/>
      <c r="N183" s="2" t="s">
        <v>81</v>
      </c>
      <c r="O183" s="2" t="s">
        <v>1153</v>
      </c>
      <c r="P183" s="2" t="s">
        <v>1154</v>
      </c>
      <c r="Q183" s="6" t="s">
        <v>226</v>
      </c>
      <c r="R183" s="6" t="s">
        <v>106</v>
      </c>
      <c r="S183" s="9" t="s">
        <v>1155</v>
      </c>
      <c r="T183" s="9" t="s">
        <v>1156</v>
      </c>
      <c r="U183" s="6"/>
      <c r="V183" s="10"/>
      <c r="W183" s="10" t="s">
        <v>88</v>
      </c>
      <c r="X183" s="10"/>
      <c r="Y183" s="10"/>
    </row>
    <row r="184" customFormat="false" ht="23.85" hidden="false" customHeight="false" outlineLevel="0" collapsed="false">
      <c r="A184" s="6" t="n">
        <v>183</v>
      </c>
      <c r="B184" s="7" t="s">
        <v>1157</v>
      </c>
      <c r="C184" s="6" t="str">
        <f aca="false">IF(U184&lt;&gt;"","Client",IF(D184&gt;=9,"A",IF(D184&gt;=7,"B","C")))</f>
        <v>B</v>
      </c>
      <c r="D184" s="6" t="n">
        <f aca="false">E184+F184+G184</f>
        <v>7</v>
      </c>
      <c r="E184" s="6" t="n">
        <v>2</v>
      </c>
      <c r="F184" s="6" t="n">
        <v>2</v>
      </c>
      <c r="G184" s="8" t="n">
        <v>3</v>
      </c>
      <c r="H184" s="6" t="s">
        <v>1085</v>
      </c>
      <c r="I184" s="6" t="s">
        <v>287</v>
      </c>
      <c r="J184" s="2" t="s">
        <v>1158</v>
      </c>
      <c r="K184" s="2" t="s">
        <v>92</v>
      </c>
      <c r="L184" s="2" t="s">
        <v>93</v>
      </c>
      <c r="M184" s="2" t="s">
        <v>1159</v>
      </c>
      <c r="N184" s="2" t="s">
        <v>482</v>
      </c>
      <c r="O184" s="2" t="s">
        <v>1160</v>
      </c>
      <c r="P184" s="2" t="s">
        <v>1161</v>
      </c>
      <c r="Q184" s="6" t="s">
        <v>1162</v>
      </c>
      <c r="R184" s="6" t="s">
        <v>98</v>
      </c>
      <c r="S184" s="9" t="s">
        <v>1163</v>
      </c>
      <c r="T184" s="9" t="s">
        <v>1164</v>
      </c>
      <c r="U184" s="6"/>
      <c r="V184" s="10"/>
      <c r="W184" s="10" t="s">
        <v>88</v>
      </c>
      <c r="X184" s="10"/>
      <c r="Y184" s="10"/>
    </row>
    <row r="185" customFormat="false" ht="23.85" hidden="false" customHeight="false" outlineLevel="0" collapsed="false">
      <c r="A185" s="6" t="n">
        <v>184</v>
      </c>
      <c r="B185" s="7" t="s">
        <v>1165</v>
      </c>
      <c r="C185" s="6" t="str">
        <f aca="false">IF(U185&lt;&gt;"","Client",IF(D185&gt;=9,"A",IF(D185&gt;=7,"B","C")))</f>
        <v>B</v>
      </c>
      <c r="D185" s="6" t="n">
        <f aca="false">E185+F185+G185</f>
        <v>7</v>
      </c>
      <c r="E185" s="6" t="n">
        <v>3</v>
      </c>
      <c r="F185" s="6" t="n">
        <v>2</v>
      </c>
      <c r="G185" s="8" t="n">
        <v>2</v>
      </c>
      <c r="H185" s="6" t="s">
        <v>164</v>
      </c>
      <c r="I185" s="6" t="s">
        <v>287</v>
      </c>
      <c r="J185" s="2" t="s">
        <v>715</v>
      </c>
      <c r="K185" s="2" t="s">
        <v>544</v>
      </c>
      <c r="L185" s="2" t="s">
        <v>127</v>
      </c>
      <c r="M185" s="2"/>
      <c r="N185" s="2" t="s">
        <v>802</v>
      </c>
      <c r="O185" s="2" t="s">
        <v>1166</v>
      </c>
      <c r="P185" s="2" t="s">
        <v>1167</v>
      </c>
      <c r="Q185" s="6" t="s">
        <v>97</v>
      </c>
      <c r="R185" s="6" t="s">
        <v>106</v>
      </c>
      <c r="S185" s="9" t="s">
        <v>547</v>
      </c>
      <c r="T185" s="6"/>
      <c r="U185" s="6"/>
      <c r="V185" s="10"/>
      <c r="W185" s="10" t="s">
        <v>88</v>
      </c>
      <c r="X185" s="10"/>
      <c r="Y185" s="10"/>
    </row>
    <row r="186" customFormat="false" ht="15" hidden="false" customHeight="false" outlineLevel="0" collapsed="false">
      <c r="A186" s="6" t="n">
        <v>185</v>
      </c>
      <c r="B186" s="7" t="s">
        <v>1168</v>
      </c>
      <c r="C186" s="6" t="str">
        <f aca="false">IF(U186&lt;&gt;"","Client",IF(D186&gt;=9,"A",IF(D186&gt;=7,"B","C")))</f>
        <v>B</v>
      </c>
      <c r="D186" s="6" t="n">
        <f aca="false">E186+F186+G186</f>
        <v>7</v>
      </c>
      <c r="E186" s="6" t="n">
        <v>3</v>
      </c>
      <c r="F186" s="6" t="n">
        <v>2</v>
      </c>
      <c r="G186" s="8" t="n">
        <v>2</v>
      </c>
      <c r="H186" s="6" t="s">
        <v>182</v>
      </c>
      <c r="I186" s="6" t="s">
        <v>287</v>
      </c>
      <c r="J186" s="2" t="s">
        <v>1169</v>
      </c>
      <c r="K186" s="2" t="s">
        <v>92</v>
      </c>
      <c r="L186" s="2" t="s">
        <v>93</v>
      </c>
      <c r="M186" s="2"/>
      <c r="N186" s="2" t="s">
        <v>219</v>
      </c>
      <c r="O186" s="2" t="s">
        <v>1170</v>
      </c>
      <c r="P186" s="2" t="s">
        <v>1171</v>
      </c>
      <c r="Q186" s="6" t="s">
        <v>97</v>
      </c>
      <c r="R186" s="6" t="s">
        <v>98</v>
      </c>
      <c r="S186" s="6"/>
      <c r="T186" s="6"/>
      <c r="U186" s="6"/>
      <c r="V186" s="10"/>
      <c r="W186" s="10" t="s">
        <v>88</v>
      </c>
      <c r="X186" s="10"/>
      <c r="Y186" s="10"/>
    </row>
    <row r="187" customFormat="false" ht="23.85" hidden="false" customHeight="false" outlineLevel="0" collapsed="false">
      <c r="A187" s="6" t="n">
        <v>186</v>
      </c>
      <c r="B187" s="7" t="s">
        <v>1172</v>
      </c>
      <c r="C187" s="6" t="str">
        <f aca="false">IF(U187&lt;&gt;"","Client",IF(D187&gt;=9,"A",IF(D187&gt;=7,"B","C")))</f>
        <v>B</v>
      </c>
      <c r="D187" s="6" t="n">
        <f aca="false">E187+F187+G187</f>
        <v>7</v>
      </c>
      <c r="E187" s="6" t="n">
        <v>3</v>
      </c>
      <c r="F187" s="6" t="n">
        <v>2</v>
      </c>
      <c r="G187" s="8" t="n">
        <v>2</v>
      </c>
      <c r="H187" s="6" t="s">
        <v>182</v>
      </c>
      <c r="I187" s="6" t="s">
        <v>287</v>
      </c>
      <c r="J187" s="2" t="s">
        <v>1173</v>
      </c>
      <c r="K187" s="2" t="s">
        <v>1174</v>
      </c>
      <c r="L187" s="2" t="s">
        <v>1175</v>
      </c>
      <c r="M187" s="2"/>
      <c r="N187" s="2" t="s">
        <v>247</v>
      </c>
      <c r="O187" s="2" t="s">
        <v>1176</v>
      </c>
      <c r="P187" s="2" t="s">
        <v>1177</v>
      </c>
      <c r="Q187" s="6" t="s">
        <v>1178</v>
      </c>
      <c r="R187" s="6" t="s">
        <v>106</v>
      </c>
      <c r="S187" s="9" t="s">
        <v>1179</v>
      </c>
      <c r="T187" s="9" t="s">
        <v>1180</v>
      </c>
      <c r="U187" s="6"/>
      <c r="V187" s="10"/>
      <c r="W187" s="10" t="s">
        <v>88</v>
      </c>
      <c r="X187" s="10"/>
      <c r="Y187" s="10"/>
    </row>
    <row r="188" customFormat="false" ht="23.85" hidden="false" customHeight="false" outlineLevel="0" collapsed="false">
      <c r="A188" s="6" t="n">
        <v>187</v>
      </c>
      <c r="B188" s="7" t="s">
        <v>1181</v>
      </c>
      <c r="C188" s="6" t="str">
        <f aca="false">IF(U188&lt;&gt;"","Client",IF(D188&gt;=9,"A",IF(D188&gt;=7,"B","C")))</f>
        <v>B</v>
      </c>
      <c r="D188" s="6" t="n">
        <f aca="false">E188+F188+G188</f>
        <v>7</v>
      </c>
      <c r="E188" s="6" t="n">
        <v>3</v>
      </c>
      <c r="F188" s="6" t="n">
        <v>2</v>
      </c>
      <c r="G188" s="8" t="n">
        <v>2</v>
      </c>
      <c r="H188" s="6" t="s">
        <v>164</v>
      </c>
      <c r="I188" s="6" t="s">
        <v>287</v>
      </c>
      <c r="J188" s="2" t="s">
        <v>1182</v>
      </c>
      <c r="K188" s="2" t="s">
        <v>1183</v>
      </c>
      <c r="L188" s="2" t="s">
        <v>102</v>
      </c>
      <c r="M188" s="2"/>
      <c r="N188" s="2" t="s">
        <v>802</v>
      </c>
      <c r="O188" s="2" t="s">
        <v>1184</v>
      </c>
      <c r="P188" s="2" t="s">
        <v>1185</v>
      </c>
      <c r="Q188" s="6" t="s">
        <v>256</v>
      </c>
      <c r="R188" s="6" t="s">
        <v>85</v>
      </c>
      <c r="S188" s="9" t="s">
        <v>1186</v>
      </c>
      <c r="T188" s="9" t="s">
        <v>1187</v>
      </c>
      <c r="U188" s="6"/>
      <c r="V188" s="10"/>
      <c r="W188" s="10" t="s">
        <v>88</v>
      </c>
      <c r="X188" s="10"/>
      <c r="Y188" s="10"/>
    </row>
    <row r="189" customFormat="false" ht="23.85" hidden="false" customHeight="false" outlineLevel="0" collapsed="false">
      <c r="A189" s="6" t="n">
        <v>188</v>
      </c>
      <c r="B189" s="7" t="s">
        <v>1188</v>
      </c>
      <c r="C189" s="6" t="str">
        <f aca="false">IF(U189&lt;&gt;"","Client",IF(D189&gt;=9,"A",IF(D189&gt;=7,"B","C")))</f>
        <v>B</v>
      </c>
      <c r="D189" s="6" t="n">
        <f aca="false">E189+F189+G189</f>
        <v>7</v>
      </c>
      <c r="E189" s="6" t="n">
        <v>3</v>
      </c>
      <c r="F189" s="6" t="n">
        <v>2</v>
      </c>
      <c r="G189" s="8" t="n">
        <v>2</v>
      </c>
      <c r="H189" s="6" t="s">
        <v>153</v>
      </c>
      <c r="I189" s="6" t="s">
        <v>287</v>
      </c>
      <c r="J189" s="2" t="s">
        <v>1189</v>
      </c>
      <c r="K189" s="2" t="s">
        <v>1190</v>
      </c>
      <c r="L189" s="2" t="s">
        <v>127</v>
      </c>
      <c r="M189" s="2"/>
      <c r="N189" s="2" t="s">
        <v>802</v>
      </c>
      <c r="O189" s="2" t="s">
        <v>1191</v>
      </c>
      <c r="P189" s="2" t="s">
        <v>1192</v>
      </c>
      <c r="Q189" s="6" t="s">
        <v>332</v>
      </c>
      <c r="R189" s="6" t="s">
        <v>85</v>
      </c>
      <c r="S189" s="9" t="s">
        <v>1193</v>
      </c>
      <c r="T189" s="6"/>
      <c r="U189" s="6"/>
      <c r="V189" s="10"/>
      <c r="W189" s="10" t="s">
        <v>88</v>
      </c>
      <c r="X189" s="10"/>
      <c r="Y189" s="10"/>
    </row>
    <row r="190" customFormat="false" ht="15" hidden="false" customHeight="false" outlineLevel="0" collapsed="false">
      <c r="A190" s="6" t="n">
        <v>189</v>
      </c>
      <c r="B190" s="7" t="s">
        <v>1194</v>
      </c>
      <c r="C190" s="6" t="str">
        <f aca="false">IF(U190&lt;&gt;"","Client",IF(D190&gt;=9,"A",IF(D190&gt;=7,"B","C")))</f>
        <v>B</v>
      </c>
      <c r="D190" s="6" t="n">
        <f aca="false">E190+F190+G190</f>
        <v>7</v>
      </c>
      <c r="E190" s="6" t="n">
        <v>3</v>
      </c>
      <c r="F190" s="6" t="n">
        <v>2</v>
      </c>
      <c r="G190" s="8" t="n">
        <v>2</v>
      </c>
      <c r="H190" s="6" t="s">
        <v>153</v>
      </c>
      <c r="I190" s="6" t="s">
        <v>287</v>
      </c>
      <c r="J190" s="2" t="s">
        <v>679</v>
      </c>
      <c r="K190" s="2" t="s">
        <v>1195</v>
      </c>
      <c r="L190" s="2" t="s">
        <v>102</v>
      </c>
      <c r="M190" s="2"/>
      <c r="N190" s="2" t="s">
        <v>247</v>
      </c>
      <c r="O190" s="2" t="s">
        <v>1196</v>
      </c>
      <c r="P190" s="2" t="s">
        <v>1197</v>
      </c>
      <c r="Q190" s="6" t="s">
        <v>1198</v>
      </c>
      <c r="R190" s="6" t="s">
        <v>106</v>
      </c>
      <c r="S190" s="9" t="s">
        <v>1199</v>
      </c>
      <c r="T190" s="6"/>
      <c r="U190" s="6"/>
      <c r="V190" s="10"/>
      <c r="W190" s="10" t="s">
        <v>88</v>
      </c>
      <c r="X190" s="10"/>
      <c r="Y190" s="10"/>
    </row>
    <row r="191" customFormat="false" ht="23.85" hidden="false" customHeight="false" outlineLevel="0" collapsed="false">
      <c r="A191" s="6" t="n">
        <v>190</v>
      </c>
      <c r="B191" s="7" t="s">
        <v>1200</v>
      </c>
      <c r="C191" s="6" t="str">
        <f aca="false">IF(U191&lt;&gt;"","Client",IF(D191&gt;=9,"A",IF(D191&gt;=7,"B","C")))</f>
        <v>B</v>
      </c>
      <c r="D191" s="6" t="n">
        <f aca="false">E191+F191+G191</f>
        <v>7</v>
      </c>
      <c r="E191" s="6" t="n">
        <v>3</v>
      </c>
      <c r="F191" s="6" t="n">
        <v>2</v>
      </c>
      <c r="G191" s="8" t="n">
        <v>2</v>
      </c>
      <c r="H191" s="6" t="s">
        <v>182</v>
      </c>
      <c r="I191" s="6" t="s">
        <v>287</v>
      </c>
      <c r="J191" s="2" t="s">
        <v>708</v>
      </c>
      <c r="K191" s="2" t="s">
        <v>1201</v>
      </c>
      <c r="L191" s="2" t="s">
        <v>167</v>
      </c>
      <c r="M191" s="2"/>
      <c r="N191" s="2" t="s">
        <v>247</v>
      </c>
      <c r="O191" s="2" t="s">
        <v>1202</v>
      </c>
      <c r="P191" s="2" t="s">
        <v>1203</v>
      </c>
      <c r="Q191" s="6" t="s">
        <v>655</v>
      </c>
      <c r="R191" s="6" t="s">
        <v>85</v>
      </c>
      <c r="S191" s="9" t="s">
        <v>1204</v>
      </c>
      <c r="T191" s="6"/>
      <c r="U191" s="6"/>
      <c r="V191" s="10"/>
      <c r="W191" s="10" t="s">
        <v>88</v>
      </c>
      <c r="X191" s="10"/>
      <c r="Y191" s="10"/>
    </row>
    <row r="192" customFormat="false" ht="23.85" hidden="false" customHeight="false" outlineLevel="0" collapsed="false">
      <c r="A192" s="6" t="n">
        <v>191</v>
      </c>
      <c r="B192" s="7" t="s">
        <v>1205</v>
      </c>
      <c r="C192" s="6" t="str">
        <f aca="false">IF(U192&lt;&gt;"","Client",IF(D192&gt;=9,"A",IF(D192&gt;=7,"B","C")))</f>
        <v>B</v>
      </c>
      <c r="D192" s="6" t="n">
        <f aca="false">E192+F192+G192</f>
        <v>7</v>
      </c>
      <c r="E192" s="6" t="n">
        <v>3</v>
      </c>
      <c r="F192" s="6" t="n">
        <v>2</v>
      </c>
      <c r="G192" s="8" t="n">
        <v>2</v>
      </c>
      <c r="H192" s="6" t="s">
        <v>153</v>
      </c>
      <c r="I192" s="6" t="s">
        <v>287</v>
      </c>
      <c r="J192" s="2" t="s">
        <v>1206</v>
      </c>
      <c r="K192" s="2" t="s">
        <v>1207</v>
      </c>
      <c r="L192" s="2" t="s">
        <v>80</v>
      </c>
      <c r="M192" s="2"/>
      <c r="N192" s="2" t="s">
        <v>247</v>
      </c>
      <c r="O192" s="2" t="s">
        <v>1208</v>
      </c>
      <c r="P192" s="2" t="s">
        <v>1209</v>
      </c>
      <c r="Q192" s="6" t="s">
        <v>440</v>
      </c>
      <c r="R192" s="6" t="s">
        <v>85</v>
      </c>
      <c r="S192" s="9" t="s">
        <v>1210</v>
      </c>
      <c r="T192" s="9" t="s">
        <v>1211</v>
      </c>
      <c r="U192" s="6"/>
      <c r="V192" s="10"/>
      <c r="W192" s="10" t="s">
        <v>88</v>
      </c>
      <c r="X192" s="10"/>
      <c r="Y192" s="10"/>
    </row>
    <row r="193" customFormat="false" ht="23.85" hidden="false" customHeight="false" outlineLevel="0" collapsed="false">
      <c r="A193" s="6" t="n">
        <v>192</v>
      </c>
      <c r="B193" s="7" t="s">
        <v>1212</v>
      </c>
      <c r="C193" s="6" t="str">
        <f aca="false">IF(U193&lt;&gt;"","Client",IF(D193&gt;=9,"A",IF(D193&gt;=7,"B","C")))</f>
        <v>B</v>
      </c>
      <c r="D193" s="6" t="n">
        <f aca="false">E193+F193+G193</f>
        <v>7</v>
      </c>
      <c r="E193" s="6" t="n">
        <v>3</v>
      </c>
      <c r="F193" s="6" t="n">
        <v>2</v>
      </c>
      <c r="G193" s="8" t="n">
        <v>2</v>
      </c>
      <c r="H193" s="6" t="s">
        <v>153</v>
      </c>
      <c r="I193" s="6" t="s">
        <v>287</v>
      </c>
      <c r="J193" s="2" t="s">
        <v>1213</v>
      </c>
      <c r="K193" s="2" t="s">
        <v>1214</v>
      </c>
      <c r="L193" s="2" t="s">
        <v>1215</v>
      </c>
      <c r="M193" s="2"/>
      <c r="N193" s="2" t="s">
        <v>269</v>
      </c>
      <c r="O193" s="2" t="s">
        <v>1216</v>
      </c>
      <c r="P193" s="2" t="s">
        <v>1217</v>
      </c>
      <c r="Q193" s="6" t="s">
        <v>97</v>
      </c>
      <c r="R193" s="6" t="s">
        <v>85</v>
      </c>
      <c r="S193" s="9" t="s">
        <v>1218</v>
      </c>
      <c r="T193" s="6"/>
      <c r="U193" s="6"/>
      <c r="V193" s="10"/>
      <c r="W193" s="10" t="s">
        <v>88</v>
      </c>
      <c r="X193" s="10"/>
      <c r="Y193" s="10"/>
    </row>
    <row r="194" customFormat="false" ht="23.85" hidden="false" customHeight="false" outlineLevel="0" collapsed="false">
      <c r="A194" s="6" t="n">
        <v>193</v>
      </c>
      <c r="B194" s="7" t="s">
        <v>1219</v>
      </c>
      <c r="C194" s="6" t="str">
        <f aca="false">IF(U194&lt;&gt;"","Client",IF(D194&gt;=9,"A",IF(D194&gt;=7,"B","C")))</f>
        <v>B</v>
      </c>
      <c r="D194" s="6" t="n">
        <f aca="false">E194+F194+G194</f>
        <v>7</v>
      </c>
      <c r="E194" s="6" t="n">
        <v>3</v>
      </c>
      <c r="F194" s="6" t="n">
        <v>2</v>
      </c>
      <c r="G194" s="8" t="n">
        <v>2</v>
      </c>
      <c r="H194" s="6" t="s">
        <v>626</v>
      </c>
      <c r="I194" s="6" t="s">
        <v>287</v>
      </c>
      <c r="J194" s="2" t="s">
        <v>1220</v>
      </c>
      <c r="K194" s="2" t="s">
        <v>1221</v>
      </c>
      <c r="L194" s="2" t="s">
        <v>102</v>
      </c>
      <c r="M194" s="2"/>
      <c r="N194" s="2" t="s">
        <v>247</v>
      </c>
      <c r="O194" s="2" t="s">
        <v>1222</v>
      </c>
      <c r="P194" s="2" t="s">
        <v>1223</v>
      </c>
      <c r="Q194" s="6" t="s">
        <v>511</v>
      </c>
      <c r="R194" s="6" t="s">
        <v>85</v>
      </c>
      <c r="S194" s="9" t="s">
        <v>1224</v>
      </c>
      <c r="T194" s="6"/>
      <c r="U194" s="6"/>
      <c r="V194" s="10"/>
      <c r="W194" s="10" t="s">
        <v>88</v>
      </c>
      <c r="X194" s="10"/>
      <c r="Y194" s="10"/>
    </row>
    <row r="195" customFormat="false" ht="23.85" hidden="false" customHeight="false" outlineLevel="0" collapsed="false">
      <c r="A195" s="6" t="n">
        <v>194</v>
      </c>
      <c r="B195" s="7" t="s">
        <v>1225</v>
      </c>
      <c r="C195" s="6" t="str">
        <f aca="false">IF(U195&lt;&gt;"","Client",IF(D195&gt;=9,"A",IF(D195&gt;=7,"B","C")))</f>
        <v>B</v>
      </c>
      <c r="D195" s="6" t="n">
        <f aca="false">E195+F195+G195</f>
        <v>7</v>
      </c>
      <c r="E195" s="6" t="n">
        <v>3</v>
      </c>
      <c r="F195" s="6" t="n">
        <v>2</v>
      </c>
      <c r="G195" s="8" t="n">
        <v>2</v>
      </c>
      <c r="H195" s="6" t="s">
        <v>164</v>
      </c>
      <c r="I195" s="6" t="s">
        <v>287</v>
      </c>
      <c r="J195" s="2" t="s">
        <v>715</v>
      </c>
      <c r="K195" s="2" t="s">
        <v>544</v>
      </c>
      <c r="L195" s="2" t="s">
        <v>127</v>
      </c>
      <c r="M195" s="2"/>
      <c r="N195" s="2" t="s">
        <v>802</v>
      </c>
      <c r="O195" s="2" t="s">
        <v>1166</v>
      </c>
      <c r="P195" s="2" t="s">
        <v>1226</v>
      </c>
      <c r="Q195" s="6" t="s">
        <v>97</v>
      </c>
      <c r="R195" s="6" t="s">
        <v>106</v>
      </c>
      <c r="S195" s="9" t="s">
        <v>547</v>
      </c>
      <c r="T195" s="6"/>
      <c r="U195" s="6"/>
      <c r="V195" s="10"/>
      <c r="W195" s="10" t="s">
        <v>88</v>
      </c>
      <c r="X195" s="10"/>
      <c r="Y195" s="10"/>
    </row>
    <row r="196" customFormat="false" ht="23.85" hidden="false" customHeight="false" outlineLevel="0" collapsed="false">
      <c r="A196" s="6" t="n">
        <v>195</v>
      </c>
      <c r="B196" s="7" t="s">
        <v>1227</v>
      </c>
      <c r="C196" s="6" t="str">
        <f aca="false">IF(U196&lt;&gt;"","Client",IF(D196&gt;=9,"A",IF(D196&gt;=7,"B","C")))</f>
        <v>B</v>
      </c>
      <c r="D196" s="6" t="n">
        <f aca="false">E196+F196+G196</f>
        <v>7</v>
      </c>
      <c r="E196" s="6" t="n">
        <v>3</v>
      </c>
      <c r="F196" s="6" t="n">
        <v>2</v>
      </c>
      <c r="G196" s="8" t="n">
        <v>2</v>
      </c>
      <c r="H196" s="6" t="s">
        <v>182</v>
      </c>
      <c r="I196" s="6" t="s">
        <v>287</v>
      </c>
      <c r="J196" s="2" t="s">
        <v>1228</v>
      </c>
      <c r="K196" s="2" t="s">
        <v>1229</v>
      </c>
      <c r="L196" s="2" t="s">
        <v>102</v>
      </c>
      <c r="M196" s="2"/>
      <c r="N196" s="2" t="s">
        <v>247</v>
      </c>
      <c r="O196" s="2" t="s">
        <v>1230</v>
      </c>
      <c r="P196" s="2" t="s">
        <v>1231</v>
      </c>
      <c r="Q196" s="6" t="s">
        <v>130</v>
      </c>
      <c r="R196" s="6" t="s">
        <v>106</v>
      </c>
      <c r="S196" s="9" t="s">
        <v>1232</v>
      </c>
      <c r="T196" s="6"/>
      <c r="U196" s="6"/>
      <c r="V196" s="10"/>
      <c r="W196" s="10" t="s">
        <v>88</v>
      </c>
      <c r="X196" s="10"/>
      <c r="Y196" s="10"/>
    </row>
    <row r="197" customFormat="false" ht="23.85" hidden="false" customHeight="false" outlineLevel="0" collapsed="false">
      <c r="A197" s="6" t="n">
        <v>196</v>
      </c>
      <c r="B197" s="7" t="s">
        <v>1233</v>
      </c>
      <c r="C197" s="6" t="str">
        <f aca="false">IF(U197&lt;&gt;"","Client",IF(D197&gt;=9,"A",IF(D197&gt;=7,"B","C")))</f>
        <v>B</v>
      </c>
      <c r="D197" s="6" t="n">
        <f aca="false">E197+F197+G197</f>
        <v>7</v>
      </c>
      <c r="E197" s="6" t="n">
        <v>3</v>
      </c>
      <c r="F197" s="6" t="n">
        <v>2</v>
      </c>
      <c r="G197" s="8" t="n">
        <v>2</v>
      </c>
      <c r="H197" s="6" t="s">
        <v>182</v>
      </c>
      <c r="I197" s="6" t="s">
        <v>287</v>
      </c>
      <c r="J197" s="2" t="s">
        <v>429</v>
      </c>
      <c r="K197" s="2" t="s">
        <v>1234</v>
      </c>
      <c r="L197" s="2" t="s">
        <v>127</v>
      </c>
      <c r="M197" s="2"/>
      <c r="N197" s="2" t="s">
        <v>247</v>
      </c>
      <c r="O197" s="2" t="s">
        <v>1235</v>
      </c>
      <c r="P197" s="2" t="s">
        <v>1236</v>
      </c>
      <c r="Q197" s="6" t="s">
        <v>97</v>
      </c>
      <c r="R197" s="6" t="s">
        <v>106</v>
      </c>
      <c r="S197" s="9" t="s">
        <v>1237</v>
      </c>
      <c r="T197" s="9" t="s">
        <v>1238</v>
      </c>
      <c r="U197" s="6"/>
      <c r="V197" s="10"/>
      <c r="W197" s="10" t="s">
        <v>88</v>
      </c>
      <c r="X197" s="10"/>
      <c r="Y197" s="10"/>
    </row>
    <row r="198" customFormat="false" ht="23.85" hidden="false" customHeight="false" outlineLevel="0" collapsed="false">
      <c r="A198" s="6" t="n">
        <v>197</v>
      </c>
      <c r="B198" s="7" t="s">
        <v>1239</v>
      </c>
      <c r="C198" s="6" t="str">
        <f aca="false">IF(U198&lt;&gt;"","Client",IF(D198&gt;=9,"A",IF(D198&gt;=7,"B","C")))</f>
        <v>B</v>
      </c>
      <c r="D198" s="6" t="n">
        <f aca="false">E198+F198+G198</f>
        <v>7</v>
      </c>
      <c r="E198" s="6" t="n">
        <v>3</v>
      </c>
      <c r="F198" s="6" t="n">
        <v>2</v>
      </c>
      <c r="G198" s="8" t="n">
        <v>2</v>
      </c>
      <c r="H198" s="6" t="s">
        <v>626</v>
      </c>
      <c r="I198" s="6" t="s">
        <v>287</v>
      </c>
      <c r="J198" s="2" t="s">
        <v>1240</v>
      </c>
      <c r="K198" s="2" t="s">
        <v>1241</v>
      </c>
      <c r="L198" s="2" t="s">
        <v>652</v>
      </c>
      <c r="M198" s="2"/>
      <c r="N198" s="2" t="s">
        <v>802</v>
      </c>
      <c r="O198" s="2" t="s">
        <v>1242</v>
      </c>
      <c r="P198" s="2" t="s">
        <v>1243</v>
      </c>
      <c r="Q198" s="6" t="s">
        <v>308</v>
      </c>
      <c r="R198" s="6" t="s">
        <v>106</v>
      </c>
      <c r="S198" s="9" t="s">
        <v>1244</v>
      </c>
      <c r="T198" s="9" t="s">
        <v>1245</v>
      </c>
      <c r="U198" s="6"/>
      <c r="V198" s="10"/>
      <c r="W198" s="10" t="s">
        <v>88</v>
      </c>
      <c r="X198" s="10"/>
      <c r="Y198" s="10"/>
    </row>
    <row r="199" customFormat="false" ht="23.85" hidden="false" customHeight="false" outlineLevel="0" collapsed="false">
      <c r="A199" s="6" t="n">
        <v>198</v>
      </c>
      <c r="B199" s="7" t="s">
        <v>1246</v>
      </c>
      <c r="C199" s="6" t="str">
        <f aca="false">IF(U199&lt;&gt;"","Client",IF(D199&gt;=9,"A",IF(D199&gt;=7,"B","C")))</f>
        <v>B</v>
      </c>
      <c r="D199" s="6" t="n">
        <f aca="false">E199+F199+G199</f>
        <v>7</v>
      </c>
      <c r="E199" s="6" t="n">
        <v>3</v>
      </c>
      <c r="F199" s="6" t="n">
        <v>2</v>
      </c>
      <c r="G199" s="8" t="n">
        <v>2</v>
      </c>
      <c r="H199" s="6" t="s">
        <v>153</v>
      </c>
      <c r="I199" s="6" t="s">
        <v>287</v>
      </c>
      <c r="J199" s="2" t="s">
        <v>663</v>
      </c>
      <c r="K199" s="2" t="s">
        <v>92</v>
      </c>
      <c r="L199" s="2" t="s">
        <v>93</v>
      </c>
      <c r="M199" s="2"/>
      <c r="N199" s="2" t="s">
        <v>219</v>
      </c>
      <c r="O199" s="2" t="s">
        <v>1247</v>
      </c>
      <c r="P199" s="2" t="s">
        <v>1248</v>
      </c>
      <c r="Q199" s="6" t="s">
        <v>143</v>
      </c>
      <c r="R199" s="6" t="s">
        <v>98</v>
      </c>
      <c r="S199" s="9" t="s">
        <v>1249</v>
      </c>
      <c r="T199" s="6"/>
      <c r="U199" s="6"/>
      <c r="V199" s="10"/>
      <c r="W199" s="10" t="s">
        <v>88</v>
      </c>
      <c r="X199" s="10"/>
      <c r="Y199" s="10"/>
    </row>
    <row r="200" customFormat="false" ht="23.85" hidden="false" customHeight="false" outlineLevel="0" collapsed="false">
      <c r="A200" s="6" t="n">
        <v>199</v>
      </c>
      <c r="B200" s="7" t="s">
        <v>1250</v>
      </c>
      <c r="C200" s="6" t="str">
        <f aca="false">IF(U200&lt;&gt;"","Client",IF(D200&gt;=9,"A",IF(D200&gt;=7,"B","C")))</f>
        <v>B</v>
      </c>
      <c r="D200" s="6" t="n">
        <f aca="false">E200+F200+G200</f>
        <v>7</v>
      </c>
      <c r="E200" s="6" t="n">
        <v>3</v>
      </c>
      <c r="F200" s="6" t="n">
        <v>2</v>
      </c>
      <c r="G200" s="8" t="n">
        <v>2</v>
      </c>
      <c r="H200" s="6" t="s">
        <v>626</v>
      </c>
      <c r="I200" s="6" t="s">
        <v>287</v>
      </c>
      <c r="J200" s="2" t="s">
        <v>1251</v>
      </c>
      <c r="K200" s="2" t="s">
        <v>92</v>
      </c>
      <c r="L200" s="2" t="s">
        <v>93</v>
      </c>
      <c r="M200" s="2"/>
      <c r="N200" s="2" t="s">
        <v>219</v>
      </c>
      <c r="O200" s="2" t="s">
        <v>1252</v>
      </c>
      <c r="P200" s="2" t="s">
        <v>1253</v>
      </c>
      <c r="Q200" s="6" t="s">
        <v>97</v>
      </c>
      <c r="R200" s="6" t="s">
        <v>98</v>
      </c>
      <c r="S200" s="6"/>
      <c r="T200" s="6"/>
      <c r="U200" s="6"/>
      <c r="V200" s="10"/>
      <c r="W200" s="10" t="s">
        <v>88</v>
      </c>
      <c r="X200" s="10"/>
      <c r="Y200" s="10"/>
    </row>
    <row r="201" customFormat="false" ht="23.85" hidden="false" customHeight="false" outlineLevel="0" collapsed="false">
      <c r="A201" s="6" t="n">
        <v>200</v>
      </c>
      <c r="B201" s="7" t="s">
        <v>1254</v>
      </c>
      <c r="C201" s="6" t="str">
        <f aca="false">IF(U201&lt;&gt;"","Client",IF(D201&gt;=9,"A",IF(D201&gt;=7,"B","C")))</f>
        <v>B</v>
      </c>
      <c r="D201" s="6" t="n">
        <f aca="false">E201+F201+G201</f>
        <v>7</v>
      </c>
      <c r="E201" s="6" t="n">
        <v>3</v>
      </c>
      <c r="F201" s="6" t="n">
        <v>2</v>
      </c>
      <c r="G201" s="8" t="n">
        <v>2</v>
      </c>
      <c r="H201" s="6" t="s">
        <v>182</v>
      </c>
      <c r="I201" s="6" t="s">
        <v>287</v>
      </c>
      <c r="J201" s="2" t="s">
        <v>1254</v>
      </c>
      <c r="K201" s="2" t="s">
        <v>1255</v>
      </c>
      <c r="L201" s="2" t="s">
        <v>127</v>
      </c>
      <c r="M201" s="2"/>
      <c r="N201" s="2" t="s">
        <v>802</v>
      </c>
      <c r="O201" s="2" t="s">
        <v>1256</v>
      </c>
      <c r="P201" s="2" t="s">
        <v>1257</v>
      </c>
      <c r="Q201" s="6" t="s">
        <v>97</v>
      </c>
      <c r="R201" s="6" t="s">
        <v>106</v>
      </c>
      <c r="S201" s="9" t="s">
        <v>1258</v>
      </c>
      <c r="T201" s="6"/>
      <c r="U201" s="6"/>
      <c r="V201" s="10"/>
      <c r="W201" s="10" t="s">
        <v>88</v>
      </c>
      <c r="X201" s="10"/>
      <c r="Y201" s="10"/>
    </row>
    <row r="202" customFormat="false" ht="23.85" hidden="false" customHeight="false" outlineLevel="0" collapsed="false">
      <c r="A202" s="6" t="n">
        <v>201</v>
      </c>
      <c r="B202" s="7" t="s">
        <v>1259</v>
      </c>
      <c r="C202" s="6" t="str">
        <f aca="false">IF(U202&lt;&gt;"","Client",IF(D202&gt;=9,"A",IF(D202&gt;=7,"B","C")))</f>
        <v>B</v>
      </c>
      <c r="D202" s="6" t="n">
        <f aca="false">E202+F202+G202</f>
        <v>7</v>
      </c>
      <c r="E202" s="6" t="n">
        <v>3</v>
      </c>
      <c r="F202" s="6" t="n">
        <v>2</v>
      </c>
      <c r="G202" s="8" t="n">
        <v>2</v>
      </c>
      <c r="H202" s="6" t="s">
        <v>153</v>
      </c>
      <c r="I202" s="6" t="s">
        <v>287</v>
      </c>
      <c r="J202" s="2" t="s">
        <v>1260</v>
      </c>
      <c r="K202" s="2" t="s">
        <v>680</v>
      </c>
      <c r="L202" s="2" t="s">
        <v>102</v>
      </c>
      <c r="M202" s="2"/>
      <c r="N202" s="2" t="s">
        <v>802</v>
      </c>
      <c r="O202" s="2" t="s">
        <v>1261</v>
      </c>
      <c r="P202" s="2" t="s">
        <v>1262</v>
      </c>
      <c r="Q202" s="6" t="s">
        <v>256</v>
      </c>
      <c r="R202" s="6" t="s">
        <v>85</v>
      </c>
      <c r="S202" s="9" t="s">
        <v>1263</v>
      </c>
      <c r="T202" s="6"/>
      <c r="U202" s="6"/>
      <c r="V202" s="10"/>
      <c r="W202" s="10" t="s">
        <v>88</v>
      </c>
      <c r="X202" s="10"/>
      <c r="Y202" s="10"/>
    </row>
    <row r="203" customFormat="false" ht="15" hidden="false" customHeight="false" outlineLevel="0" collapsed="false">
      <c r="A203" s="6" t="n">
        <v>202</v>
      </c>
      <c r="B203" s="7" t="s">
        <v>1264</v>
      </c>
      <c r="C203" s="6" t="str">
        <f aca="false">IF(U203&lt;&gt;"","Client",IF(D203&gt;=9,"A",IF(D203&gt;=7,"B","C")))</f>
        <v>B</v>
      </c>
      <c r="D203" s="6" t="n">
        <f aca="false">E203+F203+G203</f>
        <v>7</v>
      </c>
      <c r="E203" s="6" t="n">
        <v>3</v>
      </c>
      <c r="F203" s="6" t="n">
        <v>2</v>
      </c>
      <c r="G203" s="8" t="n">
        <v>2</v>
      </c>
      <c r="H203" s="6" t="s">
        <v>182</v>
      </c>
      <c r="I203" s="6" t="s">
        <v>287</v>
      </c>
      <c r="J203" s="2" t="s">
        <v>1265</v>
      </c>
      <c r="K203" s="2" t="s">
        <v>92</v>
      </c>
      <c r="L203" s="2" t="s">
        <v>93</v>
      </c>
      <c r="M203" s="2"/>
      <c r="N203" s="2" t="s">
        <v>219</v>
      </c>
      <c r="O203" s="2" t="s">
        <v>1266</v>
      </c>
      <c r="P203" s="2" t="s">
        <v>1267</v>
      </c>
      <c r="Q203" s="6" t="s">
        <v>97</v>
      </c>
      <c r="R203" s="6" t="s">
        <v>106</v>
      </c>
      <c r="S203" s="9" t="s">
        <v>1268</v>
      </c>
      <c r="T203" s="6"/>
      <c r="U203" s="6"/>
      <c r="V203" s="10"/>
      <c r="W203" s="10" t="s">
        <v>88</v>
      </c>
      <c r="X203" s="10"/>
      <c r="Y203" s="10"/>
    </row>
    <row r="204" customFormat="false" ht="23.85" hidden="false" customHeight="false" outlineLevel="0" collapsed="false">
      <c r="A204" s="6" t="n">
        <v>203</v>
      </c>
      <c r="B204" s="7" t="s">
        <v>1269</v>
      </c>
      <c r="C204" s="6" t="str">
        <f aca="false">IF(U204&lt;&gt;"","Client",IF(D204&gt;=9,"A",IF(D204&gt;=7,"B","C")))</f>
        <v>B</v>
      </c>
      <c r="D204" s="6" t="n">
        <f aca="false">E204+F204+G204</f>
        <v>7</v>
      </c>
      <c r="E204" s="6" t="n">
        <v>4</v>
      </c>
      <c r="F204" s="6" t="n">
        <v>2</v>
      </c>
      <c r="G204" s="8" t="n">
        <v>1</v>
      </c>
      <c r="H204" s="6" t="s">
        <v>76</v>
      </c>
      <c r="I204" s="6" t="s">
        <v>287</v>
      </c>
      <c r="J204" s="2" t="s">
        <v>1270</v>
      </c>
      <c r="K204" s="2" t="s">
        <v>92</v>
      </c>
      <c r="L204" s="2" t="s">
        <v>93</v>
      </c>
      <c r="M204" s="2"/>
      <c r="N204" s="2" t="s">
        <v>521</v>
      </c>
      <c r="O204" s="2"/>
      <c r="P204" s="2" t="s">
        <v>1271</v>
      </c>
      <c r="Q204" s="6" t="s">
        <v>97</v>
      </c>
      <c r="R204" s="6" t="s">
        <v>98</v>
      </c>
      <c r="S204" s="6"/>
      <c r="T204" s="6"/>
      <c r="U204" s="6"/>
      <c r="V204" s="10"/>
      <c r="W204" s="10" t="s">
        <v>88</v>
      </c>
      <c r="X204" s="10"/>
      <c r="Y204" s="10"/>
    </row>
    <row r="205" customFormat="false" ht="35.05" hidden="false" customHeight="false" outlineLevel="0" collapsed="false">
      <c r="A205" s="6" t="n">
        <v>204</v>
      </c>
      <c r="B205" s="7" t="s">
        <v>1272</v>
      </c>
      <c r="C205" s="6" t="str">
        <f aca="false">IF(U205&lt;&gt;"","Client",IF(D205&gt;=9,"A",IF(D205&gt;=7,"B","C")))</f>
        <v>B</v>
      </c>
      <c r="D205" s="6" t="n">
        <f aca="false">E205+F205+G205</f>
        <v>7</v>
      </c>
      <c r="E205" s="6" t="n">
        <v>4</v>
      </c>
      <c r="F205" s="6" t="n">
        <v>2</v>
      </c>
      <c r="G205" s="8" t="n">
        <v>1</v>
      </c>
      <c r="H205" s="6" t="s">
        <v>118</v>
      </c>
      <c r="I205" s="6" t="s">
        <v>287</v>
      </c>
      <c r="J205" s="2" t="s">
        <v>1273</v>
      </c>
      <c r="K205" s="2" t="s">
        <v>1274</v>
      </c>
      <c r="L205" s="2" t="s">
        <v>112</v>
      </c>
      <c r="M205" s="2"/>
      <c r="N205" s="2" t="s">
        <v>1275</v>
      </c>
      <c r="O205" s="2" t="s">
        <v>1276</v>
      </c>
      <c r="P205" s="2" t="s">
        <v>1277</v>
      </c>
      <c r="Q205" s="6" t="s">
        <v>97</v>
      </c>
      <c r="R205" s="6" t="s">
        <v>106</v>
      </c>
      <c r="S205" s="9" t="s">
        <v>1278</v>
      </c>
      <c r="T205" s="9" t="s">
        <v>1279</v>
      </c>
      <c r="U205" s="6"/>
      <c r="V205" s="10"/>
      <c r="W205" s="10" t="s">
        <v>88</v>
      </c>
      <c r="X205" s="10"/>
      <c r="Y205" s="10"/>
    </row>
    <row r="206" customFormat="false" ht="15" hidden="false" customHeight="false" outlineLevel="0" collapsed="false">
      <c r="A206" s="6" t="n">
        <v>205</v>
      </c>
      <c r="B206" s="7" t="s">
        <v>1280</v>
      </c>
      <c r="C206" s="6" t="str">
        <f aca="false">IF(U206&lt;&gt;"","Client",IF(D206&gt;=9,"A",IF(D206&gt;=7,"B","C")))</f>
        <v>B</v>
      </c>
      <c r="D206" s="6" t="n">
        <f aca="false">E206+F206+G206</f>
        <v>7</v>
      </c>
      <c r="E206" s="6" t="n">
        <v>4</v>
      </c>
      <c r="F206" s="6" t="n">
        <v>2</v>
      </c>
      <c r="G206" s="8" t="n">
        <v>1</v>
      </c>
      <c r="H206" s="6" t="s">
        <v>239</v>
      </c>
      <c r="I206" s="6" t="s">
        <v>287</v>
      </c>
      <c r="J206" s="2" t="s">
        <v>1280</v>
      </c>
      <c r="K206" s="2" t="s">
        <v>92</v>
      </c>
      <c r="L206" s="2" t="s">
        <v>93</v>
      </c>
      <c r="M206" s="2"/>
      <c r="N206" s="2" t="s">
        <v>521</v>
      </c>
      <c r="O206" s="2"/>
      <c r="P206" s="2" t="s">
        <v>1281</v>
      </c>
      <c r="Q206" s="6" t="s">
        <v>97</v>
      </c>
      <c r="R206" s="6" t="s">
        <v>98</v>
      </c>
      <c r="S206" s="6"/>
      <c r="T206" s="6"/>
      <c r="U206" s="6"/>
      <c r="V206" s="10"/>
      <c r="W206" s="10" t="s">
        <v>88</v>
      </c>
      <c r="X206" s="10"/>
      <c r="Y206" s="10"/>
    </row>
    <row r="207" customFormat="false" ht="23.85" hidden="false" customHeight="false" outlineLevel="0" collapsed="false">
      <c r="A207" s="6" t="n">
        <v>206</v>
      </c>
      <c r="B207" s="7" t="s">
        <v>1282</v>
      </c>
      <c r="C207" s="6" t="str">
        <f aca="false">IF(U207&lt;&gt;"","Client",IF(D207&gt;=9,"A",IF(D207&gt;=7,"B","C")))</f>
        <v>B</v>
      </c>
      <c r="D207" s="6" t="n">
        <f aca="false">E207+F207+G207</f>
        <v>7</v>
      </c>
      <c r="E207" s="6" t="n">
        <v>4</v>
      </c>
      <c r="F207" s="6" t="n">
        <v>2</v>
      </c>
      <c r="G207" s="8" t="n">
        <v>1</v>
      </c>
      <c r="H207" s="6" t="s">
        <v>76</v>
      </c>
      <c r="I207" s="6" t="s">
        <v>287</v>
      </c>
      <c r="J207" s="2" t="s">
        <v>1283</v>
      </c>
      <c r="K207" s="2" t="s">
        <v>92</v>
      </c>
      <c r="L207" s="2" t="s">
        <v>93</v>
      </c>
      <c r="M207" s="2"/>
      <c r="N207" s="2" t="s">
        <v>521</v>
      </c>
      <c r="O207" s="2" t="s">
        <v>1284</v>
      </c>
      <c r="P207" s="2" t="s">
        <v>1285</v>
      </c>
      <c r="Q207" s="6" t="s">
        <v>130</v>
      </c>
      <c r="R207" s="6" t="s">
        <v>98</v>
      </c>
      <c r="S207" s="9" t="s">
        <v>1286</v>
      </c>
      <c r="T207" s="6"/>
      <c r="U207" s="6"/>
      <c r="V207" s="10"/>
      <c r="W207" s="10" t="s">
        <v>88</v>
      </c>
      <c r="X207" s="10"/>
      <c r="Y207" s="10"/>
    </row>
    <row r="208" customFormat="false" ht="15" hidden="false" customHeight="false" outlineLevel="0" collapsed="false">
      <c r="A208" s="6" t="n">
        <v>207</v>
      </c>
      <c r="B208" s="7" t="s">
        <v>1287</v>
      </c>
      <c r="C208" s="6" t="str">
        <f aca="false">IF(U208&lt;&gt;"","Client",IF(D208&gt;=9,"A",IF(D208&gt;=7,"B","C")))</f>
        <v>B</v>
      </c>
      <c r="D208" s="6" t="n">
        <f aca="false">E208+F208+G208</f>
        <v>7</v>
      </c>
      <c r="E208" s="6" t="n">
        <v>4</v>
      </c>
      <c r="F208" s="6" t="n">
        <v>2</v>
      </c>
      <c r="G208" s="8" t="n">
        <v>1</v>
      </c>
      <c r="H208" s="6" t="s">
        <v>239</v>
      </c>
      <c r="I208" s="6" t="s">
        <v>287</v>
      </c>
      <c r="J208" s="2" t="s">
        <v>1288</v>
      </c>
      <c r="K208" s="2" t="s">
        <v>92</v>
      </c>
      <c r="L208" s="2" t="s">
        <v>93</v>
      </c>
      <c r="M208" s="2"/>
      <c r="N208" s="2" t="s">
        <v>521</v>
      </c>
      <c r="O208" s="2"/>
      <c r="P208" s="2" t="s">
        <v>1281</v>
      </c>
      <c r="Q208" s="6" t="s">
        <v>97</v>
      </c>
      <c r="R208" s="6" t="s">
        <v>98</v>
      </c>
      <c r="S208" s="6"/>
      <c r="T208" s="6"/>
      <c r="U208" s="6"/>
      <c r="V208" s="10"/>
      <c r="W208" s="10" t="s">
        <v>88</v>
      </c>
      <c r="X208" s="10"/>
      <c r="Y208" s="10"/>
    </row>
    <row r="209" customFormat="false" ht="15" hidden="false" customHeight="false" outlineLevel="0" collapsed="false">
      <c r="A209" s="6" t="n">
        <v>208</v>
      </c>
      <c r="B209" s="7" t="s">
        <v>1289</v>
      </c>
      <c r="C209" s="6" t="str">
        <f aca="false">IF(U209&lt;&gt;"","Client",IF(D209&gt;=9,"A",IF(D209&gt;=7,"B","C")))</f>
        <v>B</v>
      </c>
      <c r="D209" s="6" t="n">
        <f aca="false">E209+F209+G209</f>
        <v>7</v>
      </c>
      <c r="E209" s="6" t="n">
        <v>4</v>
      </c>
      <c r="F209" s="6" t="n">
        <v>2</v>
      </c>
      <c r="G209" s="8" t="n">
        <v>1</v>
      </c>
      <c r="H209" s="6" t="s">
        <v>239</v>
      </c>
      <c r="I209" s="6" t="s">
        <v>287</v>
      </c>
      <c r="J209" s="2" t="s">
        <v>1289</v>
      </c>
      <c r="K209" s="2" t="s">
        <v>92</v>
      </c>
      <c r="L209" s="2" t="s">
        <v>93</v>
      </c>
      <c r="M209" s="2"/>
      <c r="N209" s="2" t="s">
        <v>521</v>
      </c>
      <c r="O209" s="2" t="s">
        <v>1290</v>
      </c>
      <c r="P209" s="2" t="s">
        <v>1281</v>
      </c>
      <c r="Q209" s="6" t="s">
        <v>97</v>
      </c>
      <c r="R209" s="6" t="s">
        <v>98</v>
      </c>
      <c r="S209" s="6"/>
      <c r="T209" s="6"/>
      <c r="U209" s="6"/>
      <c r="V209" s="10"/>
      <c r="W209" s="10" t="s">
        <v>88</v>
      </c>
      <c r="X209" s="10"/>
      <c r="Y209" s="10"/>
    </row>
    <row r="210" customFormat="false" ht="23.85" hidden="false" customHeight="false" outlineLevel="0" collapsed="false">
      <c r="A210" s="6" t="n">
        <v>209</v>
      </c>
      <c r="B210" s="7" t="s">
        <v>1291</v>
      </c>
      <c r="C210" s="6" t="str">
        <f aca="false">IF(U210&lt;&gt;"","Client",IF(D210&gt;=9,"A",IF(D210&gt;=7,"B","C")))</f>
        <v>B</v>
      </c>
      <c r="D210" s="6" t="n">
        <f aca="false">E210+F210+G210</f>
        <v>7</v>
      </c>
      <c r="E210" s="6" t="n">
        <v>4</v>
      </c>
      <c r="F210" s="6" t="n">
        <v>2</v>
      </c>
      <c r="G210" s="8" t="n">
        <v>1</v>
      </c>
      <c r="H210" s="6" t="s">
        <v>239</v>
      </c>
      <c r="I210" s="6" t="s">
        <v>287</v>
      </c>
      <c r="J210" s="2" t="s">
        <v>1292</v>
      </c>
      <c r="K210" s="2" t="s">
        <v>1293</v>
      </c>
      <c r="L210" s="2" t="s">
        <v>127</v>
      </c>
      <c r="M210" s="2"/>
      <c r="N210" s="2" t="s">
        <v>571</v>
      </c>
      <c r="O210" s="2" t="s">
        <v>1294</v>
      </c>
      <c r="P210" s="2" t="s">
        <v>1295</v>
      </c>
      <c r="Q210" s="6" t="s">
        <v>97</v>
      </c>
      <c r="R210" s="6" t="s">
        <v>85</v>
      </c>
      <c r="S210" s="9" t="s">
        <v>1296</v>
      </c>
      <c r="T210" s="6"/>
      <c r="U210" s="6"/>
      <c r="V210" s="10"/>
      <c r="W210" s="10" t="s">
        <v>88</v>
      </c>
      <c r="X210" s="10"/>
      <c r="Y210" s="10"/>
    </row>
    <row r="211" customFormat="false" ht="23.85" hidden="false" customHeight="false" outlineLevel="0" collapsed="false">
      <c r="A211" s="6" t="n">
        <v>210</v>
      </c>
      <c r="B211" s="7" t="s">
        <v>1297</v>
      </c>
      <c r="C211" s="6" t="str">
        <f aca="false">IF(U211&lt;&gt;"","Client",IF(D211&gt;=9,"A",IF(D211&gt;=7,"B","C")))</f>
        <v>B</v>
      </c>
      <c r="D211" s="6" t="n">
        <f aca="false">E211+F211+G211</f>
        <v>7</v>
      </c>
      <c r="E211" s="6" t="n">
        <v>4</v>
      </c>
      <c r="F211" s="6" t="n">
        <v>2</v>
      </c>
      <c r="G211" s="8" t="n">
        <v>1</v>
      </c>
      <c r="H211" s="6" t="s">
        <v>239</v>
      </c>
      <c r="I211" s="6" t="s">
        <v>287</v>
      </c>
      <c r="J211" s="2" t="s">
        <v>1298</v>
      </c>
      <c r="K211" s="2" t="s">
        <v>1299</v>
      </c>
      <c r="L211" s="2" t="s">
        <v>112</v>
      </c>
      <c r="M211" s="2"/>
      <c r="N211" s="2" t="s">
        <v>530</v>
      </c>
      <c r="O211" s="2" t="s">
        <v>1300</v>
      </c>
      <c r="P211" s="2" t="s">
        <v>1301</v>
      </c>
      <c r="Q211" s="6" t="s">
        <v>1302</v>
      </c>
      <c r="R211" s="6" t="s">
        <v>98</v>
      </c>
      <c r="S211" s="9" t="s">
        <v>1303</v>
      </c>
      <c r="T211" s="9" t="s">
        <v>1304</v>
      </c>
      <c r="U211" s="6"/>
      <c r="V211" s="10"/>
      <c r="W211" s="10" t="s">
        <v>88</v>
      </c>
      <c r="X211" s="10"/>
      <c r="Y211" s="10"/>
    </row>
    <row r="212" customFormat="false" ht="23.85" hidden="false" customHeight="false" outlineLevel="0" collapsed="false">
      <c r="A212" s="6" t="n">
        <v>211</v>
      </c>
      <c r="B212" s="7" t="s">
        <v>1305</v>
      </c>
      <c r="C212" s="6" t="str">
        <f aca="false">IF(U212&lt;&gt;"","Client",IF(D212&gt;=9,"A",IF(D212&gt;=7,"B","C")))</f>
        <v>B</v>
      </c>
      <c r="D212" s="6" t="n">
        <f aca="false">E212+F212+G212</f>
        <v>7</v>
      </c>
      <c r="E212" s="6" t="n">
        <v>4</v>
      </c>
      <c r="F212" s="6" t="n">
        <v>2</v>
      </c>
      <c r="G212" s="8" t="n">
        <v>1</v>
      </c>
      <c r="H212" s="6" t="s">
        <v>239</v>
      </c>
      <c r="I212" s="6" t="s">
        <v>287</v>
      </c>
      <c r="J212" s="2" t="s">
        <v>345</v>
      </c>
      <c r="K212" s="2" t="s">
        <v>1306</v>
      </c>
      <c r="L212" s="2" t="s">
        <v>127</v>
      </c>
      <c r="M212" s="2"/>
      <c r="N212" s="2" t="s">
        <v>1275</v>
      </c>
      <c r="O212" s="2" t="s">
        <v>1307</v>
      </c>
      <c r="P212" s="2" t="s">
        <v>1308</v>
      </c>
      <c r="Q212" s="6" t="s">
        <v>324</v>
      </c>
      <c r="R212" s="6" t="s">
        <v>85</v>
      </c>
      <c r="S212" s="9" t="s">
        <v>1309</v>
      </c>
      <c r="T212" s="9" t="s">
        <v>1310</v>
      </c>
      <c r="U212" s="6"/>
      <c r="V212" s="10"/>
      <c r="W212" s="10" t="s">
        <v>88</v>
      </c>
      <c r="X212" s="10"/>
      <c r="Y212" s="10"/>
    </row>
    <row r="213" customFormat="false" ht="15" hidden="false" customHeight="false" outlineLevel="0" collapsed="false">
      <c r="A213" s="6" t="n">
        <v>212</v>
      </c>
      <c r="B213" s="7" t="s">
        <v>1311</v>
      </c>
      <c r="C213" s="6" t="str">
        <f aca="false">IF(U213&lt;&gt;"","Client",IF(D213&gt;=9,"A",IF(D213&gt;=7,"B","C")))</f>
        <v>B</v>
      </c>
      <c r="D213" s="6" t="n">
        <f aca="false">E213+F213+G213</f>
        <v>7</v>
      </c>
      <c r="E213" s="6" t="n">
        <v>4</v>
      </c>
      <c r="F213" s="6" t="n">
        <v>2</v>
      </c>
      <c r="G213" s="8" t="n">
        <v>1</v>
      </c>
      <c r="H213" s="6" t="s">
        <v>76</v>
      </c>
      <c r="I213" s="6" t="s">
        <v>287</v>
      </c>
      <c r="J213" s="2" t="s">
        <v>1311</v>
      </c>
      <c r="K213" s="2" t="s">
        <v>92</v>
      </c>
      <c r="L213" s="2" t="s">
        <v>93</v>
      </c>
      <c r="M213" s="2"/>
      <c r="N213" s="2" t="s">
        <v>521</v>
      </c>
      <c r="O213" s="2"/>
      <c r="P213" s="2" t="s">
        <v>1312</v>
      </c>
      <c r="Q213" s="6" t="s">
        <v>97</v>
      </c>
      <c r="R213" s="6" t="s">
        <v>98</v>
      </c>
      <c r="S213" s="6"/>
      <c r="T213" s="6"/>
      <c r="U213" s="6"/>
      <c r="V213" s="10"/>
      <c r="W213" s="10" t="s">
        <v>88</v>
      </c>
      <c r="X213" s="10"/>
      <c r="Y213" s="10"/>
    </row>
    <row r="214" customFormat="false" ht="15" hidden="false" customHeight="false" outlineLevel="0" collapsed="false">
      <c r="A214" s="6" t="n">
        <v>213</v>
      </c>
      <c r="B214" s="7" t="s">
        <v>1313</v>
      </c>
      <c r="C214" s="6" t="str">
        <f aca="false">IF(U214&lt;&gt;"","Client",IF(D214&gt;=9,"A",IF(D214&gt;=7,"B","C")))</f>
        <v>B</v>
      </c>
      <c r="D214" s="6" t="n">
        <f aca="false">E214+F214+G214</f>
        <v>7</v>
      </c>
      <c r="E214" s="6" t="n">
        <v>4</v>
      </c>
      <c r="F214" s="6" t="n">
        <v>2</v>
      </c>
      <c r="G214" s="8" t="n">
        <v>1</v>
      </c>
      <c r="H214" s="6" t="s">
        <v>239</v>
      </c>
      <c r="I214" s="6" t="s">
        <v>287</v>
      </c>
      <c r="J214" s="2" t="s">
        <v>1314</v>
      </c>
      <c r="K214" s="2" t="s">
        <v>92</v>
      </c>
      <c r="L214" s="2" t="s">
        <v>93</v>
      </c>
      <c r="M214" s="2"/>
      <c r="N214" s="2" t="s">
        <v>521</v>
      </c>
      <c r="O214" s="2" t="s">
        <v>1315</v>
      </c>
      <c r="P214" s="2" t="s">
        <v>1316</v>
      </c>
      <c r="Q214" s="6" t="s">
        <v>461</v>
      </c>
      <c r="R214" s="6" t="s">
        <v>85</v>
      </c>
      <c r="S214" s="9" t="s">
        <v>1317</v>
      </c>
      <c r="T214" s="6"/>
      <c r="U214" s="6"/>
      <c r="V214" s="10"/>
      <c r="W214" s="10" t="s">
        <v>88</v>
      </c>
      <c r="X214" s="10"/>
      <c r="Y214" s="10"/>
    </row>
    <row r="215" customFormat="false" ht="23.85" hidden="false" customHeight="false" outlineLevel="0" collapsed="false">
      <c r="A215" s="6" t="n">
        <v>214</v>
      </c>
      <c r="B215" s="7" t="s">
        <v>1318</v>
      </c>
      <c r="C215" s="6" t="str">
        <f aca="false">IF(U215&lt;&gt;"","Client",IF(D215&gt;=9,"A",IF(D215&gt;=7,"B","C")))</f>
        <v>B</v>
      </c>
      <c r="D215" s="6" t="n">
        <f aca="false">E215+F215+G215</f>
        <v>7</v>
      </c>
      <c r="E215" s="6" t="n">
        <v>4</v>
      </c>
      <c r="F215" s="6" t="n">
        <v>2</v>
      </c>
      <c r="G215" s="8" t="n">
        <v>1</v>
      </c>
      <c r="H215" s="6" t="s">
        <v>76</v>
      </c>
      <c r="I215" s="6" t="s">
        <v>287</v>
      </c>
      <c r="J215" s="2" t="s">
        <v>795</v>
      </c>
      <c r="K215" s="2" t="s">
        <v>92</v>
      </c>
      <c r="L215" s="2" t="s">
        <v>93</v>
      </c>
      <c r="M215" s="2"/>
      <c r="N215" s="2" t="s">
        <v>521</v>
      </c>
      <c r="O215" s="2" t="s">
        <v>1319</v>
      </c>
      <c r="P215" s="2" t="s">
        <v>1320</v>
      </c>
      <c r="Q215" s="6" t="s">
        <v>160</v>
      </c>
      <c r="R215" s="6" t="s">
        <v>98</v>
      </c>
      <c r="S215" s="9" t="s">
        <v>1321</v>
      </c>
      <c r="T215" s="6"/>
      <c r="U215" s="6"/>
      <c r="V215" s="10"/>
      <c r="W215" s="10" t="s">
        <v>88</v>
      </c>
      <c r="X215" s="10"/>
      <c r="Y215" s="10"/>
    </row>
    <row r="216" customFormat="false" ht="15" hidden="false" customHeight="false" outlineLevel="0" collapsed="false">
      <c r="A216" s="6" t="n">
        <v>215</v>
      </c>
      <c r="B216" s="7" t="s">
        <v>1322</v>
      </c>
      <c r="C216" s="6" t="str">
        <f aca="false">IF(U216&lt;&gt;"","Client",IF(D216&gt;=9,"A",IF(D216&gt;=7,"B","C")))</f>
        <v>B</v>
      </c>
      <c r="D216" s="6" t="n">
        <f aca="false">E216+F216+G216</f>
        <v>7</v>
      </c>
      <c r="E216" s="6" t="n">
        <v>4</v>
      </c>
      <c r="F216" s="6" t="n">
        <v>2</v>
      </c>
      <c r="G216" s="8" t="n">
        <v>1</v>
      </c>
      <c r="H216" s="6" t="s">
        <v>239</v>
      </c>
      <c r="I216" s="6" t="s">
        <v>287</v>
      </c>
      <c r="J216" s="2" t="s">
        <v>1323</v>
      </c>
      <c r="K216" s="2" t="s">
        <v>92</v>
      </c>
      <c r="L216" s="2" t="s">
        <v>93</v>
      </c>
      <c r="M216" s="2"/>
      <c r="N216" s="2" t="s">
        <v>521</v>
      </c>
      <c r="O216" s="2" t="s">
        <v>1324</v>
      </c>
      <c r="P216" s="2" t="s">
        <v>1325</v>
      </c>
      <c r="Q216" s="6" t="s">
        <v>97</v>
      </c>
      <c r="R216" s="6" t="s">
        <v>98</v>
      </c>
      <c r="S216" s="6"/>
      <c r="T216" s="6"/>
      <c r="U216" s="6"/>
      <c r="V216" s="10"/>
      <c r="W216" s="10" t="s">
        <v>88</v>
      </c>
      <c r="X216" s="10"/>
      <c r="Y216" s="10"/>
    </row>
    <row r="217" customFormat="false" ht="23.85" hidden="false" customHeight="false" outlineLevel="0" collapsed="false">
      <c r="A217" s="6" t="n">
        <v>216</v>
      </c>
      <c r="B217" s="7" t="s">
        <v>1326</v>
      </c>
      <c r="C217" s="6" t="str">
        <f aca="false">IF(U217&lt;&gt;"","Client",IF(D217&gt;=9,"A",IF(D217&gt;=7,"B","C")))</f>
        <v>B</v>
      </c>
      <c r="D217" s="6" t="n">
        <f aca="false">E217+F217+G217</f>
        <v>7</v>
      </c>
      <c r="E217" s="6" t="n">
        <v>4</v>
      </c>
      <c r="F217" s="6" t="n">
        <v>2</v>
      </c>
      <c r="G217" s="8" t="n">
        <v>1</v>
      </c>
      <c r="H217" s="6" t="s">
        <v>76</v>
      </c>
      <c r="I217" s="6" t="s">
        <v>287</v>
      </c>
      <c r="J217" s="2" t="s">
        <v>467</v>
      </c>
      <c r="K217" s="2" t="s">
        <v>1327</v>
      </c>
      <c r="L217" s="2" t="s">
        <v>127</v>
      </c>
      <c r="M217" s="2"/>
      <c r="N217" s="2" t="s">
        <v>1328</v>
      </c>
      <c r="O217" s="2" t="s">
        <v>1329</v>
      </c>
      <c r="P217" s="2" t="s">
        <v>1330</v>
      </c>
      <c r="Q217" s="6" t="s">
        <v>655</v>
      </c>
      <c r="R217" s="6" t="s">
        <v>85</v>
      </c>
      <c r="S217" s="9" t="s">
        <v>1331</v>
      </c>
      <c r="T217" s="6"/>
      <c r="U217" s="6"/>
      <c r="V217" s="10"/>
      <c r="W217" s="10" t="s">
        <v>88</v>
      </c>
      <c r="X217" s="10"/>
      <c r="Y217" s="10"/>
    </row>
    <row r="218" customFormat="false" ht="23.85" hidden="false" customHeight="false" outlineLevel="0" collapsed="false">
      <c r="A218" s="6" t="n">
        <v>217</v>
      </c>
      <c r="B218" s="7" t="s">
        <v>1332</v>
      </c>
      <c r="C218" s="6" t="str">
        <f aca="false">IF(U218&lt;&gt;"","Client",IF(D218&gt;=9,"A",IF(D218&gt;=7,"B","C")))</f>
        <v>B</v>
      </c>
      <c r="D218" s="6" t="n">
        <f aca="false">E218+F218+G218</f>
        <v>7</v>
      </c>
      <c r="E218" s="6" t="n">
        <v>4</v>
      </c>
      <c r="F218" s="6" t="n">
        <v>2</v>
      </c>
      <c r="G218" s="8" t="n">
        <v>1</v>
      </c>
      <c r="H218" s="6" t="s">
        <v>118</v>
      </c>
      <c r="I218" s="6" t="s">
        <v>287</v>
      </c>
      <c r="J218" s="2" t="s">
        <v>1333</v>
      </c>
      <c r="K218" s="2" t="s">
        <v>92</v>
      </c>
      <c r="L218" s="2" t="s">
        <v>93</v>
      </c>
      <c r="M218" s="2"/>
      <c r="N218" s="2" t="s">
        <v>521</v>
      </c>
      <c r="O218" s="2" t="s">
        <v>1334</v>
      </c>
      <c r="P218" s="2" t="s">
        <v>1335</v>
      </c>
      <c r="Q218" s="6" t="s">
        <v>256</v>
      </c>
      <c r="R218" s="6" t="s">
        <v>98</v>
      </c>
      <c r="S218" s="9" t="s">
        <v>1336</v>
      </c>
      <c r="T218" s="6"/>
      <c r="U218" s="6"/>
      <c r="V218" s="10"/>
      <c r="W218" s="10" t="s">
        <v>88</v>
      </c>
      <c r="X218" s="10"/>
      <c r="Y218" s="10"/>
    </row>
    <row r="219" customFormat="false" ht="15" hidden="false" customHeight="false" outlineLevel="0" collapsed="false">
      <c r="A219" s="6" t="n">
        <v>218</v>
      </c>
      <c r="B219" s="7" t="s">
        <v>1337</v>
      </c>
      <c r="C219" s="6" t="str">
        <f aca="false">IF(U219&lt;&gt;"","Client",IF(D219&gt;=9,"A",IF(D219&gt;=7,"B","C")))</f>
        <v>B</v>
      </c>
      <c r="D219" s="6" t="n">
        <f aca="false">E219+F219+G219</f>
        <v>7</v>
      </c>
      <c r="E219" s="6" t="n">
        <v>4</v>
      </c>
      <c r="F219" s="6" t="n">
        <v>2</v>
      </c>
      <c r="G219" s="8" t="n">
        <v>1</v>
      </c>
      <c r="H219" s="6" t="s">
        <v>239</v>
      </c>
      <c r="I219" s="6" t="s">
        <v>287</v>
      </c>
      <c r="J219" s="2" t="s">
        <v>1337</v>
      </c>
      <c r="K219" s="2" t="s">
        <v>92</v>
      </c>
      <c r="L219" s="2" t="s">
        <v>93</v>
      </c>
      <c r="M219" s="2"/>
      <c r="N219" s="2" t="s">
        <v>521</v>
      </c>
      <c r="O219" s="2" t="s">
        <v>1338</v>
      </c>
      <c r="P219" s="2" t="s">
        <v>1339</v>
      </c>
      <c r="Q219" s="6" t="s">
        <v>97</v>
      </c>
      <c r="R219" s="6" t="s">
        <v>98</v>
      </c>
      <c r="S219" s="6"/>
      <c r="T219" s="6"/>
      <c r="U219" s="6"/>
      <c r="V219" s="10"/>
      <c r="W219" s="10" t="s">
        <v>88</v>
      </c>
      <c r="X219" s="10"/>
      <c r="Y219" s="10"/>
    </row>
    <row r="220" customFormat="false" ht="23.85" hidden="false" customHeight="false" outlineLevel="0" collapsed="false">
      <c r="A220" s="6" t="n">
        <v>219</v>
      </c>
      <c r="B220" s="7" t="s">
        <v>1340</v>
      </c>
      <c r="C220" s="6" t="str">
        <f aca="false">IF(U220&lt;&gt;"","Client",IF(D220&gt;=9,"A",IF(D220&gt;=7,"B","C")))</f>
        <v>B</v>
      </c>
      <c r="D220" s="6" t="n">
        <f aca="false">E220+F220+G220</f>
        <v>7</v>
      </c>
      <c r="E220" s="6" t="n">
        <v>4</v>
      </c>
      <c r="F220" s="6" t="n">
        <v>2</v>
      </c>
      <c r="G220" s="8" t="n">
        <v>1</v>
      </c>
      <c r="H220" s="6" t="s">
        <v>76</v>
      </c>
      <c r="I220" s="6" t="s">
        <v>287</v>
      </c>
      <c r="J220" s="2" t="s">
        <v>1340</v>
      </c>
      <c r="K220" s="2" t="s">
        <v>92</v>
      </c>
      <c r="L220" s="2" t="s">
        <v>93</v>
      </c>
      <c r="M220" s="2"/>
      <c r="N220" s="2" t="s">
        <v>521</v>
      </c>
      <c r="O220" s="2" t="s">
        <v>1341</v>
      </c>
      <c r="P220" s="2" t="s">
        <v>1342</v>
      </c>
      <c r="Q220" s="6" t="s">
        <v>97</v>
      </c>
      <c r="R220" s="6" t="s">
        <v>98</v>
      </c>
      <c r="S220" s="6"/>
      <c r="T220" s="6"/>
      <c r="U220" s="6"/>
      <c r="V220" s="10"/>
      <c r="W220" s="10" t="s">
        <v>88</v>
      </c>
      <c r="X220" s="10"/>
      <c r="Y220" s="10"/>
    </row>
    <row r="221" customFormat="false" ht="15" hidden="false" customHeight="false" outlineLevel="0" collapsed="false">
      <c r="A221" s="6" t="n">
        <v>220</v>
      </c>
      <c r="B221" s="7" t="s">
        <v>1343</v>
      </c>
      <c r="C221" s="6" t="str">
        <f aca="false">IF(U221&lt;&gt;"","Client",IF(D221&gt;=9,"A",IF(D221&gt;=7,"B","C")))</f>
        <v>B</v>
      </c>
      <c r="D221" s="6" t="n">
        <f aca="false">E221+F221+G221</f>
        <v>7</v>
      </c>
      <c r="E221" s="6" t="n">
        <v>4</v>
      </c>
      <c r="F221" s="6" t="n">
        <v>2</v>
      </c>
      <c r="G221" s="8" t="n">
        <v>1</v>
      </c>
      <c r="H221" s="6" t="s">
        <v>239</v>
      </c>
      <c r="I221" s="6" t="s">
        <v>287</v>
      </c>
      <c r="J221" s="2" t="s">
        <v>1344</v>
      </c>
      <c r="K221" s="2" t="s">
        <v>1345</v>
      </c>
      <c r="L221" s="2" t="s">
        <v>127</v>
      </c>
      <c r="M221" s="2"/>
      <c r="N221" s="2" t="s">
        <v>538</v>
      </c>
      <c r="O221" s="2" t="s">
        <v>1346</v>
      </c>
      <c r="P221" s="2" t="s">
        <v>1347</v>
      </c>
      <c r="Q221" s="6" t="s">
        <v>150</v>
      </c>
      <c r="R221" s="6" t="s">
        <v>85</v>
      </c>
      <c r="S221" s="9" t="s">
        <v>1348</v>
      </c>
      <c r="T221" s="9" t="s">
        <v>1349</v>
      </c>
      <c r="U221" s="6"/>
      <c r="V221" s="10"/>
      <c r="W221" s="10" t="s">
        <v>88</v>
      </c>
      <c r="X221" s="10"/>
      <c r="Y221" s="10"/>
    </row>
    <row r="222" customFormat="false" ht="15" hidden="false" customHeight="false" outlineLevel="0" collapsed="false">
      <c r="A222" s="6" t="n">
        <v>221</v>
      </c>
      <c r="B222" s="7" t="s">
        <v>1350</v>
      </c>
      <c r="C222" s="6" t="str">
        <f aca="false">IF(U222&lt;&gt;"","Client",IF(D222&gt;=9,"A",IF(D222&gt;=7,"B","C")))</f>
        <v>B</v>
      </c>
      <c r="D222" s="6" t="n">
        <f aca="false">E222+F222+G222</f>
        <v>7</v>
      </c>
      <c r="E222" s="6" t="n">
        <v>4</v>
      </c>
      <c r="F222" s="6" t="n">
        <v>2</v>
      </c>
      <c r="G222" s="8" t="n">
        <v>1</v>
      </c>
      <c r="H222" s="6" t="s">
        <v>76</v>
      </c>
      <c r="I222" s="6" t="s">
        <v>287</v>
      </c>
      <c r="J222" s="2" t="s">
        <v>1350</v>
      </c>
      <c r="K222" s="2" t="s">
        <v>1351</v>
      </c>
      <c r="L222" s="2" t="s">
        <v>127</v>
      </c>
      <c r="M222" s="2"/>
      <c r="N222" s="2" t="s">
        <v>538</v>
      </c>
      <c r="O222" s="2" t="s">
        <v>1352</v>
      </c>
      <c r="P222" s="2" t="s">
        <v>1353</v>
      </c>
      <c r="Q222" s="6" t="s">
        <v>97</v>
      </c>
      <c r="R222" s="6" t="s">
        <v>106</v>
      </c>
      <c r="S222" s="9" t="s">
        <v>1354</v>
      </c>
      <c r="T222" s="6"/>
      <c r="U222" s="6"/>
      <c r="V222" s="10"/>
      <c r="W222" s="10" t="s">
        <v>88</v>
      </c>
      <c r="X222" s="10"/>
      <c r="Y222" s="10"/>
    </row>
    <row r="223" customFormat="false" ht="15" hidden="false" customHeight="false" outlineLevel="0" collapsed="false">
      <c r="A223" s="6" t="n">
        <v>222</v>
      </c>
      <c r="B223" s="7" t="s">
        <v>1355</v>
      </c>
      <c r="C223" s="6" t="str">
        <f aca="false">IF(U223&lt;&gt;"","Client",IF(D223&gt;=9,"A",IF(D223&gt;=7,"B","C")))</f>
        <v>B</v>
      </c>
      <c r="D223" s="6" t="n">
        <f aca="false">E223+F223+G223</f>
        <v>7</v>
      </c>
      <c r="E223" s="6" t="n">
        <v>4</v>
      </c>
      <c r="F223" s="6" t="n">
        <v>2</v>
      </c>
      <c r="G223" s="8" t="n">
        <v>1</v>
      </c>
      <c r="H223" s="6" t="s">
        <v>239</v>
      </c>
      <c r="I223" s="6" t="s">
        <v>287</v>
      </c>
      <c r="J223" s="2" t="s">
        <v>1356</v>
      </c>
      <c r="K223" s="2" t="s">
        <v>92</v>
      </c>
      <c r="L223" s="2" t="s">
        <v>93</v>
      </c>
      <c r="M223" s="2"/>
      <c r="N223" s="2" t="s">
        <v>521</v>
      </c>
      <c r="O223" s="2" t="s">
        <v>1357</v>
      </c>
      <c r="P223" s="2" t="s">
        <v>1358</v>
      </c>
      <c r="Q223" s="6" t="s">
        <v>97</v>
      </c>
      <c r="R223" s="6" t="s">
        <v>98</v>
      </c>
      <c r="S223" s="6"/>
      <c r="T223" s="6"/>
      <c r="U223" s="6"/>
      <c r="V223" s="10"/>
      <c r="W223" s="10" t="s">
        <v>88</v>
      </c>
      <c r="X223" s="10"/>
      <c r="Y223" s="10"/>
    </row>
    <row r="224" customFormat="false" ht="23.85" hidden="false" customHeight="false" outlineLevel="0" collapsed="false">
      <c r="A224" s="6" t="n">
        <v>223</v>
      </c>
      <c r="B224" s="7" t="s">
        <v>1359</v>
      </c>
      <c r="C224" s="6" t="str">
        <f aca="false">IF(U224&lt;&gt;"","Client",IF(D224&gt;=9,"A",IF(D224&gt;=7,"B","C")))</f>
        <v>B</v>
      </c>
      <c r="D224" s="6" t="n">
        <f aca="false">E224+F224+G224</f>
        <v>7</v>
      </c>
      <c r="E224" s="6" t="n">
        <v>4</v>
      </c>
      <c r="F224" s="6" t="n">
        <v>2</v>
      </c>
      <c r="G224" s="8" t="n">
        <v>1</v>
      </c>
      <c r="H224" s="6" t="s">
        <v>76</v>
      </c>
      <c r="I224" s="6" t="s">
        <v>287</v>
      </c>
      <c r="J224" s="2" t="s">
        <v>1360</v>
      </c>
      <c r="K224" s="2" t="s">
        <v>1361</v>
      </c>
      <c r="L224" s="2" t="s">
        <v>1362</v>
      </c>
      <c r="M224" s="2"/>
      <c r="N224" s="2" t="s">
        <v>530</v>
      </c>
      <c r="O224" s="2" t="s">
        <v>1363</v>
      </c>
      <c r="P224" s="2" t="s">
        <v>1364</v>
      </c>
      <c r="Q224" s="6" t="s">
        <v>97</v>
      </c>
      <c r="R224" s="6" t="s">
        <v>106</v>
      </c>
      <c r="S224" s="9" t="s">
        <v>1365</v>
      </c>
      <c r="T224" s="9" t="s">
        <v>973</v>
      </c>
      <c r="U224" s="6"/>
      <c r="V224" s="10"/>
      <c r="W224" s="10" t="s">
        <v>88</v>
      </c>
      <c r="X224" s="10"/>
      <c r="Y224" s="10"/>
    </row>
    <row r="225" customFormat="false" ht="23.85" hidden="false" customHeight="false" outlineLevel="0" collapsed="false">
      <c r="A225" s="6" t="n">
        <v>224</v>
      </c>
      <c r="B225" s="7" t="s">
        <v>1366</v>
      </c>
      <c r="C225" s="6" t="str">
        <f aca="false">IF(U225&lt;&gt;"","Client",IF(D225&gt;=9,"A",IF(D225&gt;=7,"B","C")))</f>
        <v>B</v>
      </c>
      <c r="D225" s="6" t="n">
        <f aca="false">E225+F225+G225</f>
        <v>7</v>
      </c>
      <c r="E225" s="6" t="n">
        <v>4</v>
      </c>
      <c r="F225" s="6" t="n">
        <v>2</v>
      </c>
      <c r="G225" s="8" t="n">
        <v>1</v>
      </c>
      <c r="H225" s="6" t="s">
        <v>76</v>
      </c>
      <c r="I225" s="6" t="s">
        <v>287</v>
      </c>
      <c r="J225" s="2" t="s">
        <v>1367</v>
      </c>
      <c r="K225" s="2" t="s">
        <v>92</v>
      </c>
      <c r="L225" s="2" t="s">
        <v>93</v>
      </c>
      <c r="M225" s="2"/>
      <c r="N225" s="2" t="s">
        <v>521</v>
      </c>
      <c r="O225" s="2" t="s">
        <v>1368</v>
      </c>
      <c r="P225" s="2" t="s">
        <v>1369</v>
      </c>
      <c r="Q225" s="6" t="s">
        <v>97</v>
      </c>
      <c r="R225" s="6" t="s">
        <v>98</v>
      </c>
      <c r="S225" s="6"/>
      <c r="T225" s="6"/>
      <c r="U225" s="6"/>
      <c r="V225" s="10"/>
      <c r="W225" s="10" t="s">
        <v>88</v>
      </c>
      <c r="X225" s="10"/>
      <c r="Y225" s="10"/>
    </row>
    <row r="226" customFormat="false" ht="23.85" hidden="false" customHeight="false" outlineLevel="0" collapsed="false">
      <c r="A226" s="6" t="n">
        <v>225</v>
      </c>
      <c r="B226" s="7" t="s">
        <v>1370</v>
      </c>
      <c r="C226" s="6" t="str">
        <f aca="false">IF(U226&lt;&gt;"","Client",IF(D226&gt;=9,"A",IF(D226&gt;=7,"B","C")))</f>
        <v>B</v>
      </c>
      <c r="D226" s="6" t="n">
        <f aca="false">E226+F226+G226</f>
        <v>7</v>
      </c>
      <c r="E226" s="6" t="n">
        <v>4</v>
      </c>
      <c r="F226" s="6" t="n">
        <v>2</v>
      </c>
      <c r="G226" s="8" t="n">
        <v>1</v>
      </c>
      <c r="H226" s="6" t="s">
        <v>118</v>
      </c>
      <c r="I226" s="6" t="s">
        <v>287</v>
      </c>
      <c r="J226" s="2" t="s">
        <v>1371</v>
      </c>
      <c r="K226" s="2" t="s">
        <v>92</v>
      </c>
      <c r="L226" s="2" t="s">
        <v>93</v>
      </c>
      <c r="M226" s="2"/>
      <c r="N226" s="2" t="s">
        <v>521</v>
      </c>
      <c r="O226" s="2" t="s">
        <v>1372</v>
      </c>
      <c r="P226" s="2" t="s">
        <v>1373</v>
      </c>
      <c r="Q226" s="6" t="s">
        <v>256</v>
      </c>
      <c r="R226" s="6" t="s">
        <v>85</v>
      </c>
      <c r="S226" s="9" t="s">
        <v>1374</v>
      </c>
      <c r="T226" s="6"/>
      <c r="U226" s="6"/>
      <c r="V226" s="10"/>
      <c r="W226" s="10" t="s">
        <v>88</v>
      </c>
      <c r="X226" s="10"/>
      <c r="Y226" s="10"/>
    </row>
    <row r="227" customFormat="false" ht="35.05" hidden="false" customHeight="false" outlineLevel="0" collapsed="false">
      <c r="A227" s="6" t="n">
        <v>226</v>
      </c>
      <c r="B227" s="7" t="s">
        <v>1375</v>
      </c>
      <c r="C227" s="6" t="str">
        <f aca="false">IF(U227&lt;&gt;"","Client",IF(D227&gt;=9,"A",IF(D227&gt;=7,"B","C")))</f>
        <v>B</v>
      </c>
      <c r="D227" s="6" t="n">
        <f aca="false">E227+F227+G227</f>
        <v>7</v>
      </c>
      <c r="E227" s="6" t="n">
        <v>4</v>
      </c>
      <c r="F227" s="6" t="n">
        <v>2</v>
      </c>
      <c r="G227" s="8" t="n">
        <v>1</v>
      </c>
      <c r="H227" s="6" t="s">
        <v>76</v>
      </c>
      <c r="I227" s="6" t="s">
        <v>287</v>
      </c>
      <c r="J227" s="2" t="s">
        <v>263</v>
      </c>
      <c r="K227" s="2" t="s">
        <v>1376</v>
      </c>
      <c r="L227" s="2" t="s">
        <v>127</v>
      </c>
      <c r="M227" s="2"/>
      <c r="N227" s="2" t="s">
        <v>530</v>
      </c>
      <c r="O227" s="2" t="s">
        <v>1377</v>
      </c>
      <c r="P227" s="2" t="s">
        <v>1378</v>
      </c>
      <c r="Q227" s="6" t="s">
        <v>97</v>
      </c>
      <c r="R227" s="6" t="s">
        <v>106</v>
      </c>
      <c r="S227" s="9" t="s">
        <v>1379</v>
      </c>
      <c r="T227" s="9" t="s">
        <v>1380</v>
      </c>
      <c r="U227" s="6"/>
      <c r="V227" s="10"/>
      <c r="W227" s="10" t="s">
        <v>88</v>
      </c>
      <c r="X227" s="10"/>
      <c r="Y227" s="10"/>
    </row>
    <row r="228" customFormat="false" ht="23.85" hidden="false" customHeight="false" outlineLevel="0" collapsed="false">
      <c r="A228" s="6" t="n">
        <v>227</v>
      </c>
      <c r="B228" s="7" t="s">
        <v>1381</v>
      </c>
      <c r="C228" s="6" t="str">
        <f aca="false">IF(U228&lt;&gt;"","Client",IF(D228&gt;=9,"A",IF(D228&gt;=7,"B","C")))</f>
        <v>B</v>
      </c>
      <c r="D228" s="6" t="n">
        <f aca="false">E228+F228+G228</f>
        <v>7</v>
      </c>
      <c r="E228" s="6" t="n">
        <v>4</v>
      </c>
      <c r="F228" s="6" t="n">
        <v>2</v>
      </c>
      <c r="G228" s="8" t="n">
        <v>1</v>
      </c>
      <c r="H228" s="6" t="s">
        <v>118</v>
      </c>
      <c r="I228" s="6" t="s">
        <v>287</v>
      </c>
      <c r="J228" s="2" t="s">
        <v>1381</v>
      </c>
      <c r="K228" s="2" t="s">
        <v>92</v>
      </c>
      <c r="L228" s="2" t="s">
        <v>93</v>
      </c>
      <c r="M228" s="2"/>
      <c r="N228" s="2" t="s">
        <v>521</v>
      </c>
      <c r="O228" s="2" t="s">
        <v>1382</v>
      </c>
      <c r="P228" s="2" t="s">
        <v>1383</v>
      </c>
      <c r="Q228" s="6" t="s">
        <v>97</v>
      </c>
      <c r="R228" s="6" t="s">
        <v>98</v>
      </c>
      <c r="S228" s="9" t="s">
        <v>1384</v>
      </c>
      <c r="T228" s="6"/>
      <c r="U228" s="6"/>
      <c r="V228" s="10"/>
      <c r="W228" s="10" t="s">
        <v>88</v>
      </c>
      <c r="X228" s="10"/>
      <c r="Y228" s="10"/>
    </row>
    <row r="229" customFormat="false" ht="23.85" hidden="false" customHeight="false" outlineLevel="0" collapsed="false">
      <c r="A229" s="6" t="n">
        <v>228</v>
      </c>
      <c r="B229" s="7" t="s">
        <v>1385</v>
      </c>
      <c r="C229" s="6" t="str">
        <f aca="false">IF(U229&lt;&gt;"","Client",IF(D229&gt;=9,"A",IF(D229&gt;=7,"B","C")))</f>
        <v>B</v>
      </c>
      <c r="D229" s="6" t="n">
        <f aca="false">E229+F229+G229</f>
        <v>7</v>
      </c>
      <c r="E229" s="6" t="n">
        <v>4</v>
      </c>
      <c r="F229" s="6" t="n">
        <v>2</v>
      </c>
      <c r="G229" s="8" t="n">
        <v>1</v>
      </c>
      <c r="H229" s="6" t="s">
        <v>76</v>
      </c>
      <c r="I229" s="6" t="s">
        <v>287</v>
      </c>
      <c r="J229" s="2" t="s">
        <v>1386</v>
      </c>
      <c r="K229" s="2" t="s">
        <v>1387</v>
      </c>
      <c r="L229" s="2" t="s">
        <v>127</v>
      </c>
      <c r="M229" s="2"/>
      <c r="N229" s="2" t="s">
        <v>1275</v>
      </c>
      <c r="O229" s="2" t="s">
        <v>1388</v>
      </c>
      <c r="P229" s="2" t="s">
        <v>1389</v>
      </c>
      <c r="Q229" s="6" t="s">
        <v>504</v>
      </c>
      <c r="R229" s="6" t="s">
        <v>85</v>
      </c>
      <c r="S229" s="9" t="s">
        <v>1390</v>
      </c>
      <c r="T229" s="9" t="s">
        <v>1391</v>
      </c>
      <c r="U229" s="6"/>
      <c r="V229" s="10"/>
      <c r="W229" s="10" t="s">
        <v>88</v>
      </c>
      <c r="X229" s="10"/>
      <c r="Y229" s="10"/>
    </row>
    <row r="230" customFormat="false" ht="23.85" hidden="false" customHeight="false" outlineLevel="0" collapsed="false">
      <c r="A230" s="6" t="n">
        <v>229</v>
      </c>
      <c r="B230" s="7" t="s">
        <v>1392</v>
      </c>
      <c r="C230" s="6" t="str">
        <f aca="false">IF(U230&lt;&gt;"","Client",IF(D230&gt;=9,"A",IF(D230&gt;=7,"B","C")))</f>
        <v>B</v>
      </c>
      <c r="D230" s="6" t="n">
        <f aca="false">E230+F230+G230</f>
        <v>7</v>
      </c>
      <c r="E230" s="6" t="n">
        <v>4</v>
      </c>
      <c r="F230" s="6" t="n">
        <v>2</v>
      </c>
      <c r="G230" s="8" t="n">
        <v>1</v>
      </c>
      <c r="H230" s="6" t="s">
        <v>76</v>
      </c>
      <c r="I230" s="6" t="s">
        <v>287</v>
      </c>
      <c r="J230" s="2" t="s">
        <v>467</v>
      </c>
      <c r="K230" s="2" t="s">
        <v>92</v>
      </c>
      <c r="L230" s="2" t="s">
        <v>93</v>
      </c>
      <c r="M230" s="2"/>
      <c r="N230" s="2" t="s">
        <v>521</v>
      </c>
      <c r="O230" s="2" t="s">
        <v>1393</v>
      </c>
      <c r="P230" s="2" t="s">
        <v>1394</v>
      </c>
      <c r="Q230" s="6" t="s">
        <v>97</v>
      </c>
      <c r="R230" s="6" t="s">
        <v>98</v>
      </c>
      <c r="S230" s="9" t="s">
        <v>1395</v>
      </c>
      <c r="T230" s="6"/>
      <c r="U230" s="6"/>
      <c r="V230" s="10"/>
      <c r="W230" s="10" t="s">
        <v>88</v>
      </c>
      <c r="X230" s="10"/>
      <c r="Y230" s="10"/>
    </row>
    <row r="231" customFormat="false" ht="35.05" hidden="false" customHeight="false" outlineLevel="0" collapsed="false">
      <c r="A231" s="6" t="n">
        <v>230</v>
      </c>
      <c r="B231" s="7" t="s">
        <v>1396</v>
      </c>
      <c r="C231" s="6" t="str">
        <f aca="false">IF(U231&lt;&gt;"","Client",IF(D231&gt;=9,"A",IF(D231&gt;=7,"B","C")))</f>
        <v>B</v>
      </c>
      <c r="D231" s="6" t="n">
        <f aca="false">E231+F231+G231</f>
        <v>7</v>
      </c>
      <c r="E231" s="6" t="n">
        <v>4</v>
      </c>
      <c r="F231" s="6" t="n">
        <v>2</v>
      </c>
      <c r="G231" s="8" t="n">
        <v>1</v>
      </c>
      <c r="H231" s="6" t="s">
        <v>239</v>
      </c>
      <c r="I231" s="6" t="s">
        <v>287</v>
      </c>
      <c r="J231" s="2" t="s">
        <v>1397</v>
      </c>
      <c r="K231" s="2" t="s">
        <v>1398</v>
      </c>
      <c r="L231" s="2" t="s">
        <v>1093</v>
      </c>
      <c r="M231" s="2"/>
      <c r="N231" s="2" t="s">
        <v>1275</v>
      </c>
      <c r="O231" s="2" t="s">
        <v>1399</v>
      </c>
      <c r="P231" s="2" t="s">
        <v>1400</v>
      </c>
      <c r="Q231" s="6" t="s">
        <v>1401</v>
      </c>
      <c r="R231" s="6" t="s">
        <v>106</v>
      </c>
      <c r="S231" s="9" t="s">
        <v>1402</v>
      </c>
      <c r="T231" s="9" t="s">
        <v>1403</v>
      </c>
      <c r="U231" s="6"/>
      <c r="V231" s="10"/>
      <c r="W231" s="10" t="s">
        <v>88</v>
      </c>
      <c r="X231" s="10"/>
      <c r="Y231" s="10"/>
    </row>
    <row r="232" customFormat="false" ht="15" hidden="false" customHeight="false" outlineLevel="0" collapsed="false">
      <c r="A232" s="6" t="n">
        <v>231</v>
      </c>
      <c r="B232" s="7" t="s">
        <v>1404</v>
      </c>
      <c r="C232" s="6" t="str">
        <f aca="false">IF(U232&lt;&gt;"","Client",IF(D232&gt;=9,"A",IF(D232&gt;=7,"B","C")))</f>
        <v>B</v>
      </c>
      <c r="D232" s="6" t="n">
        <f aca="false">E232+F232+G232</f>
        <v>7</v>
      </c>
      <c r="E232" s="6" t="n">
        <v>4</v>
      </c>
      <c r="F232" s="6" t="n">
        <v>2</v>
      </c>
      <c r="G232" s="8" t="n">
        <v>1</v>
      </c>
      <c r="H232" s="6" t="s">
        <v>118</v>
      </c>
      <c r="I232" s="6" t="s">
        <v>287</v>
      </c>
      <c r="J232" s="2" t="s">
        <v>1404</v>
      </c>
      <c r="K232" s="2" t="s">
        <v>92</v>
      </c>
      <c r="L232" s="2" t="s">
        <v>93</v>
      </c>
      <c r="M232" s="2"/>
      <c r="N232" s="2" t="s">
        <v>521</v>
      </c>
      <c r="O232" s="2" t="s">
        <v>1405</v>
      </c>
      <c r="P232" s="2" t="s">
        <v>285</v>
      </c>
      <c r="Q232" s="6" t="s">
        <v>97</v>
      </c>
      <c r="R232" s="6" t="s">
        <v>98</v>
      </c>
      <c r="S232" s="6"/>
      <c r="T232" s="6"/>
      <c r="U232" s="6"/>
      <c r="V232" s="10"/>
      <c r="W232" s="10" t="s">
        <v>88</v>
      </c>
      <c r="X232" s="10"/>
      <c r="Y232" s="10"/>
    </row>
    <row r="233" customFormat="false" ht="15" hidden="false" customHeight="false" outlineLevel="0" collapsed="false">
      <c r="A233" s="6" t="n">
        <v>232</v>
      </c>
      <c r="B233" s="7" t="s">
        <v>1406</v>
      </c>
      <c r="C233" s="6" t="str">
        <f aca="false">IF(U233&lt;&gt;"","Client",IF(D233&gt;=9,"A",IF(D233&gt;=7,"B","C")))</f>
        <v>B</v>
      </c>
      <c r="D233" s="6" t="n">
        <f aca="false">E233+F233+G233</f>
        <v>7</v>
      </c>
      <c r="E233" s="6" t="n">
        <v>4</v>
      </c>
      <c r="F233" s="6" t="n">
        <v>2</v>
      </c>
      <c r="G233" s="8" t="n">
        <v>1</v>
      </c>
      <c r="H233" s="6" t="s">
        <v>90</v>
      </c>
      <c r="I233" s="6" t="s">
        <v>287</v>
      </c>
      <c r="J233" s="2" t="s">
        <v>1407</v>
      </c>
      <c r="K233" s="2" t="s">
        <v>1408</v>
      </c>
      <c r="L233" s="2" t="s">
        <v>127</v>
      </c>
      <c r="M233" s="2"/>
      <c r="N233" s="2" t="s">
        <v>530</v>
      </c>
      <c r="O233" s="2" t="s">
        <v>1409</v>
      </c>
      <c r="P233" s="2" t="s">
        <v>1410</v>
      </c>
      <c r="Q233" s="6" t="s">
        <v>683</v>
      </c>
      <c r="R233" s="6" t="s">
        <v>85</v>
      </c>
      <c r="S233" s="9" t="s">
        <v>1411</v>
      </c>
      <c r="T233" s="6"/>
      <c r="U233" s="6"/>
      <c r="V233" s="10"/>
      <c r="W233" s="10" t="s">
        <v>88</v>
      </c>
      <c r="X233" s="10"/>
      <c r="Y233" s="10"/>
    </row>
    <row r="234" customFormat="false" ht="23.85" hidden="false" customHeight="false" outlineLevel="0" collapsed="false">
      <c r="A234" s="6" t="n">
        <v>233</v>
      </c>
      <c r="B234" s="7" t="s">
        <v>1412</v>
      </c>
      <c r="C234" s="6" t="str">
        <f aca="false">IF(U234&lt;&gt;"","Client",IF(D234&gt;=9,"A",IF(D234&gt;=7,"B","C")))</f>
        <v>B</v>
      </c>
      <c r="D234" s="6" t="n">
        <f aca="false">E234+F234+G234</f>
        <v>7</v>
      </c>
      <c r="E234" s="6" t="n">
        <v>4</v>
      </c>
      <c r="F234" s="6" t="n">
        <v>2</v>
      </c>
      <c r="G234" s="8" t="n">
        <v>1</v>
      </c>
      <c r="H234" s="6" t="s">
        <v>76</v>
      </c>
      <c r="I234" s="6" t="s">
        <v>287</v>
      </c>
      <c r="J234" s="2" t="s">
        <v>467</v>
      </c>
      <c r="K234" s="2" t="s">
        <v>1413</v>
      </c>
      <c r="L234" s="2" t="s">
        <v>127</v>
      </c>
      <c r="M234" s="2"/>
      <c r="N234" s="2" t="s">
        <v>571</v>
      </c>
      <c r="O234" s="2" t="s">
        <v>1414</v>
      </c>
      <c r="P234" s="2" t="s">
        <v>1415</v>
      </c>
      <c r="Q234" s="6" t="s">
        <v>383</v>
      </c>
      <c r="R234" s="6" t="s">
        <v>85</v>
      </c>
      <c r="S234" s="9" t="s">
        <v>1416</v>
      </c>
      <c r="T234" s="6"/>
      <c r="U234" s="6"/>
      <c r="V234" s="10"/>
      <c r="W234" s="10" t="s">
        <v>88</v>
      </c>
      <c r="X234" s="10"/>
      <c r="Y234" s="10"/>
    </row>
    <row r="235" customFormat="false" ht="15" hidden="false" customHeight="false" outlineLevel="0" collapsed="false">
      <c r="A235" s="6" t="n">
        <v>234</v>
      </c>
      <c r="B235" s="7" t="s">
        <v>1417</v>
      </c>
      <c r="C235" s="6" t="str">
        <f aca="false">IF(U235&lt;&gt;"","Client",IF(D235&gt;=9,"A",IF(D235&gt;=7,"B","C")))</f>
        <v>B</v>
      </c>
      <c r="D235" s="6" t="n">
        <f aca="false">E235+F235+G235</f>
        <v>7</v>
      </c>
      <c r="E235" s="6" t="n">
        <v>4</v>
      </c>
      <c r="F235" s="6" t="n">
        <v>2</v>
      </c>
      <c r="G235" s="8" t="n">
        <v>1</v>
      </c>
      <c r="H235" s="6" t="s">
        <v>76</v>
      </c>
      <c r="I235" s="6" t="s">
        <v>287</v>
      </c>
      <c r="J235" s="2" t="s">
        <v>1418</v>
      </c>
      <c r="K235" s="2" t="s">
        <v>92</v>
      </c>
      <c r="L235" s="2" t="s">
        <v>93</v>
      </c>
      <c r="M235" s="2"/>
      <c r="N235" s="2" t="s">
        <v>521</v>
      </c>
      <c r="O235" s="2" t="s">
        <v>1419</v>
      </c>
      <c r="P235" s="2" t="s">
        <v>1420</v>
      </c>
      <c r="Q235" s="6" t="s">
        <v>97</v>
      </c>
      <c r="R235" s="6" t="s">
        <v>98</v>
      </c>
      <c r="S235" s="6"/>
      <c r="T235" s="6"/>
      <c r="U235" s="6"/>
      <c r="V235" s="10"/>
      <c r="W235" s="10" t="s">
        <v>88</v>
      </c>
      <c r="X235" s="10"/>
      <c r="Y235" s="10"/>
    </row>
    <row r="236" customFormat="false" ht="23.85" hidden="false" customHeight="false" outlineLevel="0" collapsed="false">
      <c r="A236" s="6" t="n">
        <v>235</v>
      </c>
      <c r="B236" s="7" t="s">
        <v>1421</v>
      </c>
      <c r="C236" s="6" t="str">
        <f aca="false">IF(U236&lt;&gt;"","Client",IF(D236&gt;=9,"A",IF(D236&gt;=7,"B","C")))</f>
        <v>B</v>
      </c>
      <c r="D236" s="6" t="n">
        <f aca="false">E236+F236+G236</f>
        <v>7</v>
      </c>
      <c r="E236" s="6" t="n">
        <v>4</v>
      </c>
      <c r="F236" s="6" t="n">
        <v>2</v>
      </c>
      <c r="G236" s="8" t="n">
        <v>1</v>
      </c>
      <c r="H236" s="6" t="s">
        <v>90</v>
      </c>
      <c r="I236" s="6" t="s">
        <v>287</v>
      </c>
      <c r="J236" s="2" t="s">
        <v>1422</v>
      </c>
      <c r="K236" s="2" t="s">
        <v>1423</v>
      </c>
      <c r="L236" s="2" t="s">
        <v>127</v>
      </c>
      <c r="M236" s="2"/>
      <c r="N236" s="2" t="s">
        <v>1328</v>
      </c>
      <c r="O236" s="2" t="s">
        <v>1424</v>
      </c>
      <c r="P236" s="2" t="s">
        <v>1425</v>
      </c>
      <c r="Q236" s="6" t="s">
        <v>461</v>
      </c>
      <c r="R236" s="6" t="s">
        <v>85</v>
      </c>
      <c r="S236" s="9" t="s">
        <v>1426</v>
      </c>
      <c r="T236" s="9" t="s">
        <v>1427</v>
      </c>
      <c r="U236" s="6"/>
      <c r="V236" s="10"/>
      <c r="W236" s="10" t="s">
        <v>88</v>
      </c>
      <c r="X236" s="10"/>
      <c r="Y236" s="10"/>
    </row>
    <row r="237" customFormat="false" ht="15" hidden="false" customHeight="false" outlineLevel="0" collapsed="false">
      <c r="A237" s="6" t="n">
        <v>236</v>
      </c>
      <c r="B237" s="7" t="s">
        <v>1428</v>
      </c>
      <c r="C237" s="6" t="str">
        <f aca="false">IF(U237&lt;&gt;"","Client",IF(D237&gt;=9,"A",IF(D237&gt;=7,"B","C")))</f>
        <v>B</v>
      </c>
      <c r="D237" s="6" t="n">
        <f aca="false">E237+F237+G237</f>
        <v>7</v>
      </c>
      <c r="E237" s="6" t="n">
        <v>4</v>
      </c>
      <c r="F237" s="6" t="n">
        <v>2</v>
      </c>
      <c r="G237" s="8" t="n">
        <v>1</v>
      </c>
      <c r="H237" s="6" t="s">
        <v>239</v>
      </c>
      <c r="I237" s="6" t="s">
        <v>287</v>
      </c>
      <c r="J237" s="2" t="s">
        <v>811</v>
      </c>
      <c r="K237" s="2" t="s">
        <v>92</v>
      </c>
      <c r="L237" s="2" t="s">
        <v>93</v>
      </c>
      <c r="M237" s="2"/>
      <c r="N237" s="2" t="s">
        <v>521</v>
      </c>
      <c r="O237" s="2" t="s">
        <v>1429</v>
      </c>
      <c r="P237" s="2" t="s">
        <v>1430</v>
      </c>
      <c r="Q237" s="6" t="s">
        <v>1431</v>
      </c>
      <c r="R237" s="6" t="s">
        <v>98</v>
      </c>
      <c r="S237" s="9" t="s">
        <v>1432</v>
      </c>
      <c r="T237" s="6"/>
      <c r="U237" s="6"/>
      <c r="V237" s="10"/>
      <c r="W237" s="10" t="s">
        <v>88</v>
      </c>
      <c r="X237" s="10"/>
      <c r="Y237" s="10"/>
    </row>
    <row r="238" customFormat="false" ht="15" hidden="false" customHeight="false" outlineLevel="0" collapsed="false">
      <c r="A238" s="6" t="n">
        <v>237</v>
      </c>
      <c r="B238" s="7" t="s">
        <v>1433</v>
      </c>
      <c r="C238" s="6" t="str">
        <f aca="false">IF(U238&lt;&gt;"","Client",IF(D238&gt;=9,"A",IF(D238&gt;=7,"B","C")))</f>
        <v>B</v>
      </c>
      <c r="D238" s="6" t="n">
        <f aca="false">E238+F238+G238</f>
        <v>7</v>
      </c>
      <c r="E238" s="6" t="n">
        <v>4</v>
      </c>
      <c r="F238" s="6" t="n">
        <v>2</v>
      </c>
      <c r="G238" s="8" t="n">
        <v>1</v>
      </c>
      <c r="H238" s="6" t="s">
        <v>239</v>
      </c>
      <c r="I238" s="6" t="s">
        <v>287</v>
      </c>
      <c r="J238" s="2" t="s">
        <v>1434</v>
      </c>
      <c r="K238" s="2" t="s">
        <v>1435</v>
      </c>
      <c r="L238" s="2" t="s">
        <v>127</v>
      </c>
      <c r="M238" s="2"/>
      <c r="N238" s="2" t="s">
        <v>538</v>
      </c>
      <c r="O238" s="2" t="s">
        <v>1436</v>
      </c>
      <c r="P238" s="2" t="s">
        <v>1437</v>
      </c>
      <c r="Q238" s="6" t="s">
        <v>97</v>
      </c>
      <c r="R238" s="6" t="s">
        <v>106</v>
      </c>
      <c r="S238" s="9" t="s">
        <v>1438</v>
      </c>
      <c r="T238" s="9" t="s">
        <v>1439</v>
      </c>
      <c r="U238" s="6"/>
      <c r="V238" s="10"/>
      <c r="W238" s="10" t="s">
        <v>88</v>
      </c>
      <c r="X238" s="10"/>
      <c r="Y238" s="10"/>
    </row>
    <row r="239" customFormat="false" ht="15" hidden="false" customHeight="false" outlineLevel="0" collapsed="false">
      <c r="A239" s="6" t="n">
        <v>238</v>
      </c>
      <c r="B239" s="7" t="s">
        <v>1440</v>
      </c>
      <c r="C239" s="6" t="str">
        <f aca="false">IF(U239&lt;&gt;"","Client",IF(D239&gt;=9,"A",IF(D239&gt;=7,"B","C")))</f>
        <v>B</v>
      </c>
      <c r="D239" s="6" t="n">
        <f aca="false">E239+F239+G239</f>
        <v>7</v>
      </c>
      <c r="E239" s="6" t="n">
        <v>4</v>
      </c>
      <c r="F239" s="6" t="n">
        <v>2</v>
      </c>
      <c r="G239" s="8" t="n">
        <v>1</v>
      </c>
      <c r="H239" s="6" t="s">
        <v>239</v>
      </c>
      <c r="I239" s="6" t="s">
        <v>287</v>
      </c>
      <c r="J239" s="2" t="s">
        <v>1441</v>
      </c>
      <c r="K239" s="2" t="s">
        <v>92</v>
      </c>
      <c r="L239" s="2" t="s">
        <v>93</v>
      </c>
      <c r="M239" s="2"/>
      <c r="N239" s="2" t="s">
        <v>521</v>
      </c>
      <c r="O239" s="2" t="s">
        <v>1442</v>
      </c>
      <c r="P239" s="2" t="s">
        <v>1443</v>
      </c>
      <c r="Q239" s="6" t="s">
        <v>97</v>
      </c>
      <c r="R239" s="6" t="s">
        <v>98</v>
      </c>
      <c r="S239" s="6"/>
      <c r="T239" s="6"/>
      <c r="U239" s="6"/>
      <c r="V239" s="10"/>
      <c r="W239" s="10" t="s">
        <v>88</v>
      </c>
      <c r="X239" s="10"/>
      <c r="Y239" s="10"/>
    </row>
    <row r="240" customFormat="false" ht="23.85" hidden="false" customHeight="false" outlineLevel="0" collapsed="false">
      <c r="A240" s="6" t="n">
        <v>239</v>
      </c>
      <c r="B240" s="7" t="s">
        <v>1444</v>
      </c>
      <c r="C240" s="6" t="str">
        <f aca="false">IF(U240&lt;&gt;"","Client",IF(D240&gt;=9,"A",IF(D240&gt;=7,"B","C")))</f>
        <v>B</v>
      </c>
      <c r="D240" s="6" t="n">
        <f aca="false">E240+F240+G240</f>
        <v>7</v>
      </c>
      <c r="E240" s="6" t="n">
        <v>4</v>
      </c>
      <c r="F240" s="6" t="n">
        <v>0</v>
      </c>
      <c r="G240" s="8" t="n">
        <v>3</v>
      </c>
      <c r="H240" s="6" t="s">
        <v>239</v>
      </c>
      <c r="I240" s="6" t="s">
        <v>1445</v>
      </c>
      <c r="J240" s="2" t="s">
        <v>1446</v>
      </c>
      <c r="K240" s="2" t="s">
        <v>730</v>
      </c>
      <c r="L240" s="2" t="s">
        <v>102</v>
      </c>
      <c r="M240" s="2"/>
      <c r="N240" s="2" t="s">
        <v>338</v>
      </c>
      <c r="O240" s="2" t="s">
        <v>1447</v>
      </c>
      <c r="P240" s="2" t="s">
        <v>1448</v>
      </c>
      <c r="Q240" s="6" t="s">
        <v>504</v>
      </c>
      <c r="R240" s="6" t="s">
        <v>106</v>
      </c>
      <c r="S240" s="9" t="s">
        <v>1449</v>
      </c>
      <c r="T240" s="6"/>
      <c r="U240" s="6"/>
      <c r="V240" s="10"/>
      <c r="W240" s="10" t="s">
        <v>88</v>
      </c>
      <c r="X240" s="10"/>
      <c r="Y240" s="10"/>
    </row>
    <row r="241" customFormat="false" ht="23.85" hidden="false" customHeight="false" outlineLevel="0" collapsed="false">
      <c r="A241" s="6" t="n">
        <v>240</v>
      </c>
      <c r="B241" s="7" t="s">
        <v>1450</v>
      </c>
      <c r="C241" s="6" t="str">
        <f aca="false">IF(U241&lt;&gt;"","Client",IF(D241&gt;=9,"A",IF(D241&gt;=7,"B","C")))</f>
        <v>B</v>
      </c>
      <c r="D241" s="6" t="n">
        <f aca="false">E241+F241+G241</f>
        <v>7</v>
      </c>
      <c r="E241" s="6" t="n">
        <v>4</v>
      </c>
      <c r="F241" s="6" t="n">
        <v>0</v>
      </c>
      <c r="G241" s="8" t="n">
        <v>3</v>
      </c>
      <c r="H241" s="6" t="s">
        <v>239</v>
      </c>
      <c r="I241" s="6" t="s">
        <v>1445</v>
      </c>
      <c r="J241" s="2" t="s">
        <v>1451</v>
      </c>
      <c r="K241" s="2" t="s">
        <v>1452</v>
      </c>
      <c r="L241" s="2" t="s">
        <v>102</v>
      </c>
      <c r="M241" s="2"/>
      <c r="N241" s="2" t="s">
        <v>103</v>
      </c>
      <c r="O241" s="2" t="s">
        <v>1453</v>
      </c>
      <c r="P241" s="2" t="s">
        <v>1454</v>
      </c>
      <c r="Q241" s="6" t="s">
        <v>1455</v>
      </c>
      <c r="R241" s="6" t="s">
        <v>106</v>
      </c>
      <c r="S241" s="9" t="s">
        <v>1456</v>
      </c>
      <c r="T241" s="6"/>
      <c r="U241" s="6"/>
      <c r="V241" s="10"/>
      <c r="W241" s="10" t="s">
        <v>88</v>
      </c>
      <c r="X241" s="10"/>
      <c r="Y241" s="10"/>
    </row>
    <row r="242" customFormat="false" ht="23.85" hidden="false" customHeight="false" outlineLevel="0" collapsed="false">
      <c r="A242" s="6" t="n">
        <v>241</v>
      </c>
      <c r="B242" s="7" t="s">
        <v>1457</v>
      </c>
      <c r="C242" s="6" t="str">
        <f aca="false">IF(U242&lt;&gt;"","Client",IF(D242&gt;=9,"A",IF(D242&gt;=7,"B","C")))</f>
        <v>C</v>
      </c>
      <c r="D242" s="6" t="n">
        <f aca="false">E242+F242+G242</f>
        <v>6</v>
      </c>
      <c r="E242" s="6" t="n">
        <v>1</v>
      </c>
      <c r="F242" s="6" t="n">
        <v>3</v>
      </c>
      <c r="G242" s="8" t="n">
        <v>2</v>
      </c>
      <c r="H242" s="6" t="s">
        <v>1215</v>
      </c>
      <c r="I242" s="6" t="s">
        <v>77</v>
      </c>
      <c r="J242" s="2" t="s">
        <v>1458</v>
      </c>
      <c r="K242" s="2" t="s">
        <v>1174</v>
      </c>
      <c r="L242" s="2" t="s">
        <v>1175</v>
      </c>
      <c r="M242" s="2"/>
      <c r="N242" s="2" t="s">
        <v>247</v>
      </c>
      <c r="O242" s="2" t="s">
        <v>1459</v>
      </c>
      <c r="P242" s="2" t="s">
        <v>1460</v>
      </c>
      <c r="Q242" s="6" t="s">
        <v>873</v>
      </c>
      <c r="R242" s="6" t="s">
        <v>106</v>
      </c>
      <c r="S242" s="9" t="s">
        <v>1461</v>
      </c>
      <c r="T242" s="6"/>
      <c r="U242" s="6"/>
      <c r="V242" s="10"/>
      <c r="W242" s="10" t="s">
        <v>88</v>
      </c>
      <c r="X242" s="10"/>
      <c r="Y242" s="10"/>
    </row>
    <row r="243" customFormat="false" ht="23.85" hidden="false" customHeight="false" outlineLevel="0" collapsed="false">
      <c r="A243" s="6" t="n">
        <v>242</v>
      </c>
      <c r="B243" s="7" t="s">
        <v>1462</v>
      </c>
      <c r="C243" s="6" t="str">
        <f aca="false">IF(U243&lt;&gt;"","Client",IF(D243&gt;=9,"A",IF(D243&gt;=7,"B","C")))</f>
        <v>C</v>
      </c>
      <c r="D243" s="6" t="n">
        <f aca="false">E243+F243+G243</f>
        <v>6</v>
      </c>
      <c r="E243" s="6" t="n">
        <v>2</v>
      </c>
      <c r="F243" s="6" t="n">
        <v>3</v>
      </c>
      <c r="G243" s="8" t="n">
        <v>1</v>
      </c>
      <c r="H243" s="6" t="s">
        <v>507</v>
      </c>
      <c r="I243" s="6" t="s">
        <v>77</v>
      </c>
      <c r="J243" s="2" t="s">
        <v>1463</v>
      </c>
      <c r="K243" s="2" t="s">
        <v>92</v>
      </c>
      <c r="L243" s="2" t="s">
        <v>93</v>
      </c>
      <c r="M243" s="2"/>
      <c r="N243" s="2" t="s">
        <v>521</v>
      </c>
      <c r="O243" s="2" t="s">
        <v>1464</v>
      </c>
      <c r="P243" s="2" t="s">
        <v>96</v>
      </c>
      <c r="Q243" s="6" t="s">
        <v>97</v>
      </c>
      <c r="R243" s="6" t="s">
        <v>98</v>
      </c>
      <c r="S243" s="6"/>
      <c r="T243" s="6"/>
      <c r="U243" s="6"/>
      <c r="V243" s="10"/>
      <c r="W243" s="10" t="s">
        <v>88</v>
      </c>
      <c r="X243" s="10"/>
      <c r="Y243" s="10"/>
    </row>
    <row r="244" customFormat="false" ht="15" hidden="false" customHeight="false" outlineLevel="0" collapsed="false">
      <c r="A244" s="6" t="n">
        <v>243</v>
      </c>
      <c r="B244" s="7" t="s">
        <v>1465</v>
      </c>
      <c r="C244" s="6" t="str">
        <f aca="false">IF(U244&lt;&gt;"","Client",IF(D244&gt;=9,"A",IF(D244&gt;=7,"B","C")))</f>
        <v>C</v>
      </c>
      <c r="D244" s="6" t="n">
        <f aca="false">E244+F244+G244</f>
        <v>6</v>
      </c>
      <c r="E244" s="6" t="n">
        <v>2</v>
      </c>
      <c r="F244" s="6" t="n">
        <v>3</v>
      </c>
      <c r="G244" s="8" t="n">
        <v>1</v>
      </c>
      <c r="H244" s="6" t="s">
        <v>507</v>
      </c>
      <c r="I244" s="6" t="s">
        <v>77</v>
      </c>
      <c r="J244" s="2" t="s">
        <v>1466</v>
      </c>
      <c r="K244" s="2" t="s">
        <v>92</v>
      </c>
      <c r="L244" s="2" t="s">
        <v>93</v>
      </c>
      <c r="M244" s="2"/>
      <c r="N244" s="2" t="s">
        <v>521</v>
      </c>
      <c r="O244" s="2" t="s">
        <v>1467</v>
      </c>
      <c r="P244" s="2" t="s">
        <v>285</v>
      </c>
      <c r="Q244" s="6" t="s">
        <v>97</v>
      </c>
      <c r="R244" s="6" t="s">
        <v>98</v>
      </c>
      <c r="S244" s="6"/>
      <c r="T244" s="6"/>
      <c r="U244" s="6"/>
      <c r="V244" s="10"/>
      <c r="W244" s="10" t="s">
        <v>88</v>
      </c>
      <c r="X244" s="10"/>
      <c r="Y244" s="10"/>
    </row>
    <row r="245" customFormat="false" ht="23.85" hidden="false" customHeight="false" outlineLevel="0" collapsed="false">
      <c r="A245" s="6" t="n">
        <v>244</v>
      </c>
      <c r="B245" s="7" t="s">
        <v>1468</v>
      </c>
      <c r="C245" s="6" t="str">
        <f aca="false">IF(U245&lt;&gt;"","Client",IF(D245&gt;=9,"A",IF(D245&gt;=7,"B","C")))</f>
        <v>C</v>
      </c>
      <c r="D245" s="6" t="n">
        <f aca="false">E245+F245+G245</f>
        <v>6</v>
      </c>
      <c r="E245" s="6" t="n">
        <v>2</v>
      </c>
      <c r="F245" s="6" t="n">
        <v>3</v>
      </c>
      <c r="G245" s="8" t="n">
        <v>1</v>
      </c>
      <c r="H245" s="6" t="s">
        <v>507</v>
      </c>
      <c r="I245" s="6" t="s">
        <v>77</v>
      </c>
      <c r="J245" s="2" t="s">
        <v>1091</v>
      </c>
      <c r="K245" s="2" t="s">
        <v>92</v>
      </c>
      <c r="L245" s="2" t="s">
        <v>93</v>
      </c>
      <c r="M245" s="2"/>
      <c r="N245" s="2" t="s">
        <v>521</v>
      </c>
      <c r="O245" s="2" t="s">
        <v>1469</v>
      </c>
      <c r="P245" s="2" t="s">
        <v>1470</v>
      </c>
      <c r="Q245" s="6" t="s">
        <v>97</v>
      </c>
      <c r="R245" s="6" t="s">
        <v>98</v>
      </c>
      <c r="S245" s="6"/>
      <c r="T245" s="6"/>
      <c r="U245" s="6"/>
      <c r="V245" s="10"/>
      <c r="W245" s="10" t="s">
        <v>88</v>
      </c>
      <c r="X245" s="10"/>
      <c r="Y245" s="10"/>
    </row>
    <row r="246" customFormat="false" ht="15" hidden="false" customHeight="false" outlineLevel="0" collapsed="false">
      <c r="A246" s="6" t="n">
        <v>245</v>
      </c>
      <c r="B246" s="7" t="s">
        <v>1471</v>
      </c>
      <c r="C246" s="6" t="str">
        <f aca="false">IF(U246&lt;&gt;"","Client",IF(D246&gt;=9,"A",IF(D246&gt;=7,"B","C")))</f>
        <v>C</v>
      </c>
      <c r="D246" s="6" t="n">
        <f aca="false">E246+F246+G246</f>
        <v>6</v>
      </c>
      <c r="E246" s="6" t="n">
        <v>2</v>
      </c>
      <c r="F246" s="6" t="n">
        <v>3</v>
      </c>
      <c r="G246" s="8" t="n">
        <v>1</v>
      </c>
      <c r="H246" s="6" t="s">
        <v>1127</v>
      </c>
      <c r="I246" s="6" t="s">
        <v>77</v>
      </c>
      <c r="J246" s="2" t="s">
        <v>1472</v>
      </c>
      <c r="K246" s="2" t="s">
        <v>92</v>
      </c>
      <c r="L246" s="2" t="s">
        <v>93</v>
      </c>
      <c r="M246" s="2"/>
      <c r="N246" s="2" t="s">
        <v>521</v>
      </c>
      <c r="O246" s="2"/>
      <c r="P246" s="2" t="s">
        <v>1473</v>
      </c>
      <c r="Q246" s="6" t="s">
        <v>97</v>
      </c>
      <c r="R246" s="6" t="s">
        <v>98</v>
      </c>
      <c r="S246" s="6"/>
      <c r="T246" s="6"/>
      <c r="U246" s="6"/>
      <c r="V246" s="10"/>
      <c r="W246" s="10" t="s">
        <v>88</v>
      </c>
      <c r="X246" s="10"/>
      <c r="Y246" s="10"/>
    </row>
    <row r="247" customFormat="false" ht="23.85" hidden="false" customHeight="false" outlineLevel="0" collapsed="false">
      <c r="A247" s="6" t="n">
        <v>246</v>
      </c>
      <c r="B247" s="7" t="s">
        <v>1474</v>
      </c>
      <c r="C247" s="6" t="str">
        <f aca="false">IF(U247&lt;&gt;"","Client",IF(D247&gt;=9,"A",IF(D247&gt;=7,"B","C")))</f>
        <v>C</v>
      </c>
      <c r="D247" s="6" t="n">
        <f aca="false">E247+F247+G247</f>
        <v>6</v>
      </c>
      <c r="E247" s="6" t="n">
        <v>2</v>
      </c>
      <c r="F247" s="6" t="n">
        <v>3</v>
      </c>
      <c r="G247" s="8" t="n">
        <v>1</v>
      </c>
      <c r="H247" s="6" t="s">
        <v>507</v>
      </c>
      <c r="I247" s="6" t="s">
        <v>77</v>
      </c>
      <c r="J247" s="2" t="s">
        <v>1475</v>
      </c>
      <c r="K247" s="2" t="s">
        <v>92</v>
      </c>
      <c r="L247" s="2" t="s">
        <v>93</v>
      </c>
      <c r="M247" s="2"/>
      <c r="N247" s="2" t="s">
        <v>521</v>
      </c>
      <c r="O247" s="2" t="s">
        <v>1476</v>
      </c>
      <c r="P247" s="2" t="s">
        <v>1477</v>
      </c>
      <c r="Q247" s="6" t="s">
        <v>150</v>
      </c>
      <c r="R247" s="6" t="s">
        <v>98</v>
      </c>
      <c r="S247" s="9" t="s">
        <v>1478</v>
      </c>
      <c r="T247" s="6"/>
      <c r="U247" s="6"/>
      <c r="V247" s="10"/>
      <c r="W247" s="10" t="s">
        <v>88</v>
      </c>
      <c r="X247" s="10"/>
      <c r="Y247" s="10"/>
    </row>
    <row r="248" customFormat="false" ht="102.2" hidden="false" customHeight="false" outlineLevel="0" collapsed="false">
      <c r="A248" s="6" t="n">
        <v>247</v>
      </c>
      <c r="B248" s="7" t="s">
        <v>1479</v>
      </c>
      <c r="C248" s="6" t="str">
        <f aca="false">IF(U248&lt;&gt;"","Client",IF(D248&gt;=9,"A",IF(D248&gt;=7,"B","C")))</f>
        <v>C</v>
      </c>
      <c r="D248" s="6" t="n">
        <f aca="false">E248+F248+G248</f>
        <v>6</v>
      </c>
      <c r="E248" s="6" t="n">
        <v>3</v>
      </c>
      <c r="F248" s="6" t="n">
        <v>3</v>
      </c>
      <c r="G248" s="8" t="n">
        <v>0</v>
      </c>
      <c r="H248" s="6" t="s">
        <v>153</v>
      </c>
      <c r="I248" s="6" t="s">
        <v>77</v>
      </c>
      <c r="J248" s="2" t="s">
        <v>1480</v>
      </c>
      <c r="K248" s="2" t="s">
        <v>1481</v>
      </c>
      <c r="L248" s="2" t="s">
        <v>600</v>
      </c>
      <c r="M248" s="2" t="s">
        <v>1482</v>
      </c>
      <c r="N248" s="2" t="s">
        <v>1483</v>
      </c>
      <c r="O248" s="2" t="s">
        <v>1484</v>
      </c>
      <c r="P248" s="2" t="s">
        <v>1485</v>
      </c>
      <c r="Q248" s="6" t="s">
        <v>97</v>
      </c>
      <c r="R248" s="6" t="s">
        <v>85</v>
      </c>
      <c r="S248" s="9" t="s">
        <v>1486</v>
      </c>
      <c r="T248" s="9" t="s">
        <v>1487</v>
      </c>
      <c r="U248" s="6"/>
      <c r="V248" s="10"/>
      <c r="W248" s="10" t="s">
        <v>88</v>
      </c>
      <c r="X248" s="10"/>
      <c r="Y248" s="10"/>
    </row>
    <row r="249" customFormat="false" ht="23.85" hidden="false" customHeight="false" outlineLevel="0" collapsed="false">
      <c r="A249" s="6" t="n">
        <v>248</v>
      </c>
      <c r="B249" s="7" t="s">
        <v>1488</v>
      </c>
      <c r="C249" s="6" t="str">
        <f aca="false">IF(U249&lt;&gt;"","Client",IF(D249&gt;=9,"A",IF(D249&gt;=7,"B","C")))</f>
        <v>C</v>
      </c>
      <c r="D249" s="6" t="n">
        <f aca="false">E249+F249+G249</f>
        <v>6</v>
      </c>
      <c r="E249" s="6" t="n">
        <v>3</v>
      </c>
      <c r="F249" s="6" t="n">
        <v>3</v>
      </c>
      <c r="G249" s="8" t="n">
        <v>0</v>
      </c>
      <c r="H249" s="6" t="s">
        <v>153</v>
      </c>
      <c r="I249" s="6" t="s">
        <v>77</v>
      </c>
      <c r="J249" s="2" t="s">
        <v>1488</v>
      </c>
      <c r="K249" s="2" t="s">
        <v>1489</v>
      </c>
      <c r="L249" s="2" t="s">
        <v>127</v>
      </c>
      <c r="M249" s="2"/>
      <c r="N249" s="2"/>
      <c r="O249" s="2" t="s">
        <v>1490</v>
      </c>
      <c r="P249" s="2" t="s">
        <v>1491</v>
      </c>
      <c r="Q249" s="6" t="s">
        <v>97</v>
      </c>
      <c r="R249" s="6" t="s">
        <v>106</v>
      </c>
      <c r="S249" s="9" t="s">
        <v>562</v>
      </c>
      <c r="T249" s="6"/>
      <c r="U249" s="6"/>
      <c r="V249" s="10"/>
      <c r="W249" s="10" t="s">
        <v>88</v>
      </c>
      <c r="X249" s="10"/>
      <c r="Y249" s="10"/>
    </row>
    <row r="250" customFormat="false" ht="23.85" hidden="false" customHeight="false" outlineLevel="0" collapsed="false">
      <c r="A250" s="6" t="n">
        <v>249</v>
      </c>
      <c r="B250" s="7" t="s">
        <v>1492</v>
      </c>
      <c r="C250" s="6" t="str">
        <f aca="false">IF(U250&lt;&gt;"","Client",IF(D250&gt;=9,"A",IF(D250&gt;=7,"B","C")))</f>
        <v>C</v>
      </c>
      <c r="D250" s="6" t="n">
        <f aca="false">E250+F250+G250</f>
        <v>6</v>
      </c>
      <c r="E250" s="6" t="n">
        <v>3</v>
      </c>
      <c r="F250" s="6" t="n">
        <v>3</v>
      </c>
      <c r="G250" s="8" t="n">
        <v>0</v>
      </c>
      <c r="H250" s="6" t="s">
        <v>164</v>
      </c>
      <c r="I250" s="6" t="s">
        <v>77</v>
      </c>
      <c r="J250" s="2" t="s">
        <v>1493</v>
      </c>
      <c r="K250" s="2" t="s">
        <v>1494</v>
      </c>
      <c r="L250" s="2" t="s">
        <v>127</v>
      </c>
      <c r="M250" s="2"/>
      <c r="N250" s="2"/>
      <c r="O250" s="2" t="s">
        <v>1495</v>
      </c>
      <c r="P250" s="2" t="s">
        <v>1496</v>
      </c>
      <c r="Q250" s="6" t="s">
        <v>97</v>
      </c>
      <c r="R250" s="6" t="s">
        <v>98</v>
      </c>
      <c r="S250" s="9" t="s">
        <v>1497</v>
      </c>
      <c r="T250" s="6"/>
      <c r="U250" s="6"/>
      <c r="V250" s="10"/>
      <c r="W250" s="10" t="s">
        <v>88</v>
      </c>
      <c r="X250" s="10"/>
      <c r="Y250" s="10"/>
    </row>
    <row r="251" customFormat="false" ht="79.85" hidden="false" customHeight="false" outlineLevel="0" collapsed="false">
      <c r="A251" s="6" t="n">
        <v>250</v>
      </c>
      <c r="B251" s="7" t="s">
        <v>1498</v>
      </c>
      <c r="C251" s="6" t="str">
        <f aca="false">IF(U251&lt;&gt;"","Client",IF(D251&gt;=9,"A",IF(D251&gt;=7,"B","C")))</f>
        <v>C</v>
      </c>
      <c r="D251" s="6" t="n">
        <f aca="false">E251+F251+G251</f>
        <v>6</v>
      </c>
      <c r="E251" s="6" t="n">
        <v>3</v>
      </c>
      <c r="F251" s="6" t="n">
        <v>3</v>
      </c>
      <c r="G251" s="8" t="n">
        <v>0</v>
      </c>
      <c r="H251" s="6" t="s">
        <v>164</v>
      </c>
      <c r="I251" s="6" t="s">
        <v>77</v>
      </c>
      <c r="J251" s="2" t="s">
        <v>1499</v>
      </c>
      <c r="K251" s="2" t="s">
        <v>1500</v>
      </c>
      <c r="L251" s="2" t="s">
        <v>1501</v>
      </c>
      <c r="M251" s="2"/>
      <c r="N251" s="2" t="s">
        <v>1502</v>
      </c>
      <c r="O251" s="2" t="s">
        <v>1503</v>
      </c>
      <c r="P251" s="2" t="s">
        <v>1504</v>
      </c>
      <c r="Q251" s="6" t="s">
        <v>97</v>
      </c>
      <c r="R251" s="6" t="s">
        <v>85</v>
      </c>
      <c r="S251" s="9" t="s">
        <v>1505</v>
      </c>
      <c r="T251" s="9" t="s">
        <v>1506</v>
      </c>
      <c r="U251" s="6"/>
      <c r="V251" s="10"/>
      <c r="W251" s="10" t="s">
        <v>88</v>
      </c>
      <c r="X251" s="10"/>
      <c r="Y251" s="10"/>
    </row>
    <row r="252" customFormat="false" ht="23.85" hidden="false" customHeight="false" outlineLevel="0" collapsed="false">
      <c r="A252" s="6" t="n">
        <v>251</v>
      </c>
      <c r="B252" s="7" t="s">
        <v>1507</v>
      </c>
      <c r="C252" s="6" t="str">
        <f aca="false">IF(U252&lt;&gt;"","Client",IF(D252&gt;=9,"A",IF(D252&gt;=7,"B","C")))</f>
        <v>C</v>
      </c>
      <c r="D252" s="6" t="n">
        <f aca="false">E252+F252+G252</f>
        <v>6</v>
      </c>
      <c r="E252" s="6" t="n">
        <v>3</v>
      </c>
      <c r="F252" s="6" t="n">
        <v>3</v>
      </c>
      <c r="G252" s="8" t="n">
        <v>0</v>
      </c>
      <c r="H252" s="6" t="s">
        <v>182</v>
      </c>
      <c r="I252" s="6" t="s">
        <v>77</v>
      </c>
      <c r="J252" s="2" t="s">
        <v>1508</v>
      </c>
      <c r="K252" s="2" t="s">
        <v>544</v>
      </c>
      <c r="L252" s="2" t="s">
        <v>127</v>
      </c>
      <c r="M252" s="2"/>
      <c r="N252" s="2"/>
      <c r="O252" s="2" t="s">
        <v>1509</v>
      </c>
      <c r="P252" s="2" t="s">
        <v>1510</v>
      </c>
      <c r="Q252" s="6" t="s">
        <v>97</v>
      </c>
      <c r="R252" s="6" t="s">
        <v>106</v>
      </c>
      <c r="S252" s="9" t="s">
        <v>547</v>
      </c>
      <c r="T252" s="9" t="s">
        <v>1511</v>
      </c>
      <c r="U252" s="6"/>
      <c r="V252" s="10"/>
      <c r="W252" s="10" t="s">
        <v>88</v>
      </c>
      <c r="X252" s="10"/>
      <c r="Y252" s="10"/>
    </row>
    <row r="253" customFormat="false" ht="35.05" hidden="false" customHeight="false" outlineLevel="0" collapsed="false">
      <c r="A253" s="6" t="n">
        <v>252</v>
      </c>
      <c r="B253" s="7" t="s">
        <v>1512</v>
      </c>
      <c r="C253" s="6" t="str">
        <f aca="false">IF(U253&lt;&gt;"","Client",IF(D253&gt;=9,"A",IF(D253&gt;=7,"B","C")))</f>
        <v>C</v>
      </c>
      <c r="D253" s="6" t="n">
        <f aca="false">E253+F253+G253</f>
        <v>6</v>
      </c>
      <c r="E253" s="6" t="n">
        <v>3</v>
      </c>
      <c r="F253" s="6" t="n">
        <v>3</v>
      </c>
      <c r="G253" s="8" t="n">
        <v>0</v>
      </c>
      <c r="H253" s="6" t="s">
        <v>182</v>
      </c>
      <c r="I253" s="6" t="s">
        <v>77</v>
      </c>
      <c r="J253" s="2" t="s">
        <v>1513</v>
      </c>
      <c r="K253" s="2" t="s">
        <v>1514</v>
      </c>
      <c r="L253" s="2" t="s">
        <v>127</v>
      </c>
      <c r="M253" s="2"/>
      <c r="N253" s="2"/>
      <c r="O253" s="2" t="s">
        <v>1515</v>
      </c>
      <c r="P253" s="2" t="s">
        <v>1516</v>
      </c>
      <c r="Q253" s="6" t="s">
        <v>97</v>
      </c>
      <c r="R253" s="6" t="s">
        <v>106</v>
      </c>
      <c r="S253" s="9" t="s">
        <v>1517</v>
      </c>
      <c r="T253" s="9" t="s">
        <v>1518</v>
      </c>
      <c r="U253" s="6"/>
      <c r="V253" s="10"/>
      <c r="W253" s="10" t="s">
        <v>88</v>
      </c>
      <c r="X253" s="10"/>
      <c r="Y253" s="10"/>
    </row>
    <row r="254" customFormat="false" ht="23.85" hidden="false" customHeight="false" outlineLevel="0" collapsed="false">
      <c r="A254" s="6" t="n">
        <v>253</v>
      </c>
      <c r="B254" s="7" t="s">
        <v>1519</v>
      </c>
      <c r="C254" s="6" t="str">
        <f aca="false">IF(U254&lt;&gt;"","Client",IF(D254&gt;=9,"A",IF(D254&gt;=7,"B","C")))</f>
        <v>C</v>
      </c>
      <c r="D254" s="6" t="n">
        <f aca="false">E254+F254+G254</f>
        <v>6</v>
      </c>
      <c r="E254" s="6" t="n">
        <v>3</v>
      </c>
      <c r="F254" s="6" t="n">
        <v>3</v>
      </c>
      <c r="G254" s="8" t="n">
        <v>0</v>
      </c>
      <c r="H254" s="6" t="s">
        <v>164</v>
      </c>
      <c r="I254" s="6" t="s">
        <v>77</v>
      </c>
      <c r="J254" s="2" t="s">
        <v>1493</v>
      </c>
      <c r="K254" s="2" t="s">
        <v>1494</v>
      </c>
      <c r="L254" s="2" t="s">
        <v>127</v>
      </c>
      <c r="M254" s="2"/>
      <c r="N254" s="2"/>
      <c r="O254" s="2" t="s">
        <v>1520</v>
      </c>
      <c r="P254" s="2" t="s">
        <v>1521</v>
      </c>
      <c r="Q254" s="6" t="s">
        <v>97</v>
      </c>
      <c r="R254" s="6" t="s">
        <v>98</v>
      </c>
      <c r="S254" s="9" t="s">
        <v>1497</v>
      </c>
      <c r="T254" s="6"/>
      <c r="U254" s="6"/>
      <c r="V254" s="10"/>
      <c r="W254" s="10" t="s">
        <v>88</v>
      </c>
      <c r="X254" s="10"/>
      <c r="Y254" s="10"/>
    </row>
    <row r="255" customFormat="false" ht="46.25" hidden="false" customHeight="false" outlineLevel="0" collapsed="false">
      <c r="A255" s="6" t="n">
        <v>254</v>
      </c>
      <c r="B255" s="7" t="s">
        <v>1522</v>
      </c>
      <c r="C255" s="6" t="str">
        <f aca="false">IF(U255&lt;&gt;"","Client",IF(D255&gt;=9,"A",IF(D255&gt;=7,"B","C")))</f>
        <v>C</v>
      </c>
      <c r="D255" s="6" t="n">
        <f aca="false">E255+F255+G255</f>
        <v>6</v>
      </c>
      <c r="E255" s="6" t="n">
        <v>3</v>
      </c>
      <c r="F255" s="6" t="n">
        <v>3</v>
      </c>
      <c r="G255" s="8" t="n">
        <v>0</v>
      </c>
      <c r="H255" s="6" t="s">
        <v>153</v>
      </c>
      <c r="I255" s="6" t="s">
        <v>77</v>
      </c>
      <c r="J255" s="2" t="s">
        <v>1523</v>
      </c>
      <c r="K255" s="2" t="s">
        <v>1524</v>
      </c>
      <c r="L255" s="2" t="s">
        <v>167</v>
      </c>
      <c r="M255" s="2" t="s">
        <v>1525</v>
      </c>
      <c r="N255" s="2" t="s">
        <v>1526</v>
      </c>
      <c r="O255" s="2" t="s">
        <v>1527</v>
      </c>
      <c r="P255" s="2" t="s">
        <v>1528</v>
      </c>
      <c r="Q255" s="6" t="s">
        <v>178</v>
      </c>
      <c r="R255" s="6" t="s">
        <v>85</v>
      </c>
      <c r="S255" s="9" t="s">
        <v>1529</v>
      </c>
      <c r="T255" s="9" t="s">
        <v>1530</v>
      </c>
      <c r="U255" s="6"/>
      <c r="V255" s="10"/>
      <c r="W255" s="10" t="s">
        <v>88</v>
      </c>
      <c r="X255" s="10"/>
      <c r="Y255" s="10"/>
    </row>
    <row r="256" customFormat="false" ht="35.05" hidden="false" customHeight="false" outlineLevel="0" collapsed="false">
      <c r="A256" s="6" t="n">
        <v>255</v>
      </c>
      <c r="B256" s="7" t="s">
        <v>1531</v>
      </c>
      <c r="C256" s="6" t="str">
        <f aca="false">IF(U256&lt;&gt;"","Client",IF(D256&gt;=9,"A",IF(D256&gt;=7,"B","C")))</f>
        <v>C</v>
      </c>
      <c r="D256" s="6" t="n">
        <f aca="false">E256+F256+G256</f>
        <v>6</v>
      </c>
      <c r="E256" s="6" t="n">
        <v>3</v>
      </c>
      <c r="F256" s="6" t="n">
        <v>3</v>
      </c>
      <c r="G256" s="8" t="n">
        <v>0</v>
      </c>
      <c r="H256" s="6" t="s">
        <v>164</v>
      </c>
      <c r="I256" s="6" t="s">
        <v>77</v>
      </c>
      <c r="J256" s="2" t="s">
        <v>514</v>
      </c>
      <c r="K256" s="2" t="s">
        <v>1532</v>
      </c>
      <c r="L256" s="2" t="s">
        <v>206</v>
      </c>
      <c r="M256" s="2"/>
      <c r="N256" s="2" t="s">
        <v>1533</v>
      </c>
      <c r="O256" s="2" t="s">
        <v>1534</v>
      </c>
      <c r="P256" s="2" t="s">
        <v>1535</v>
      </c>
      <c r="Q256" s="6" t="s">
        <v>130</v>
      </c>
      <c r="R256" s="6" t="s">
        <v>85</v>
      </c>
      <c r="S256" s="9" t="s">
        <v>1536</v>
      </c>
      <c r="T256" s="6"/>
      <c r="U256" s="6"/>
      <c r="V256" s="10"/>
      <c r="W256" s="10" t="s">
        <v>88</v>
      </c>
      <c r="X256" s="10"/>
      <c r="Y256" s="10"/>
    </row>
    <row r="257" customFormat="false" ht="23.85" hidden="false" customHeight="false" outlineLevel="0" collapsed="false">
      <c r="A257" s="6" t="n">
        <v>256</v>
      </c>
      <c r="B257" s="7" t="s">
        <v>1537</v>
      </c>
      <c r="C257" s="6" t="str">
        <f aca="false">IF(U257&lt;&gt;"","Client",IF(D257&gt;=9,"A",IF(D257&gt;=7,"B","C")))</f>
        <v>C</v>
      </c>
      <c r="D257" s="6" t="n">
        <f aca="false">E257+F257+G257</f>
        <v>6</v>
      </c>
      <c r="E257" s="6" t="n">
        <v>3</v>
      </c>
      <c r="F257" s="6" t="n">
        <v>3</v>
      </c>
      <c r="G257" s="8" t="n">
        <v>0</v>
      </c>
      <c r="H257" s="6" t="s">
        <v>164</v>
      </c>
      <c r="I257" s="6" t="s">
        <v>77</v>
      </c>
      <c r="J257" s="2" t="s">
        <v>729</v>
      </c>
      <c r="K257" s="2" t="s">
        <v>1538</v>
      </c>
      <c r="L257" s="2" t="s">
        <v>1539</v>
      </c>
      <c r="M257" s="2"/>
      <c r="N257" s="2"/>
      <c r="O257" s="2" t="s">
        <v>1540</v>
      </c>
      <c r="P257" s="2" t="s">
        <v>1541</v>
      </c>
      <c r="Q257" s="6" t="s">
        <v>1542</v>
      </c>
      <c r="R257" s="6" t="s">
        <v>98</v>
      </c>
      <c r="S257" s="9" t="s">
        <v>1543</v>
      </c>
      <c r="T257" s="6"/>
      <c r="U257" s="6"/>
      <c r="V257" s="10"/>
      <c r="W257" s="10" t="s">
        <v>88</v>
      </c>
      <c r="X257" s="10"/>
      <c r="Y257" s="10"/>
    </row>
    <row r="258" customFormat="false" ht="23.85" hidden="false" customHeight="false" outlineLevel="0" collapsed="false">
      <c r="A258" s="6" t="n">
        <v>257</v>
      </c>
      <c r="B258" s="7" t="s">
        <v>514</v>
      </c>
      <c r="C258" s="6" t="str">
        <f aca="false">IF(U258&lt;&gt;"","Client",IF(D258&gt;=9,"A",IF(D258&gt;=7,"B","C")))</f>
        <v>C</v>
      </c>
      <c r="D258" s="6" t="n">
        <f aca="false">E258+F258+G258</f>
        <v>6</v>
      </c>
      <c r="E258" s="6" t="n">
        <v>3</v>
      </c>
      <c r="F258" s="6" t="n">
        <v>3</v>
      </c>
      <c r="G258" s="8" t="n">
        <v>0</v>
      </c>
      <c r="H258" s="6" t="s">
        <v>164</v>
      </c>
      <c r="I258" s="6" t="s">
        <v>77</v>
      </c>
      <c r="J258" s="2" t="s">
        <v>514</v>
      </c>
      <c r="K258" s="2" t="s">
        <v>1544</v>
      </c>
      <c r="L258" s="2" t="s">
        <v>206</v>
      </c>
      <c r="M258" s="2"/>
      <c r="N258" s="2" t="s">
        <v>1533</v>
      </c>
      <c r="O258" s="2" t="s">
        <v>1545</v>
      </c>
      <c r="P258" s="2" t="s">
        <v>1546</v>
      </c>
      <c r="Q258" s="6" t="s">
        <v>130</v>
      </c>
      <c r="R258" s="6" t="s">
        <v>85</v>
      </c>
      <c r="S258" s="9" t="s">
        <v>1547</v>
      </c>
      <c r="T258" s="9" t="s">
        <v>1548</v>
      </c>
      <c r="U258" s="6"/>
      <c r="V258" s="10"/>
      <c r="W258" s="10" t="s">
        <v>88</v>
      </c>
      <c r="X258" s="10"/>
      <c r="Y258" s="10"/>
    </row>
    <row r="259" customFormat="false" ht="15" hidden="false" customHeight="false" outlineLevel="0" collapsed="false">
      <c r="A259" s="6" t="n">
        <v>258</v>
      </c>
      <c r="B259" s="7" t="s">
        <v>1549</v>
      </c>
      <c r="C259" s="6" t="str">
        <f aca="false">IF(U259&lt;&gt;"","Client",IF(D259&gt;=9,"A",IF(D259&gt;=7,"B","C")))</f>
        <v>C</v>
      </c>
      <c r="D259" s="6" t="n">
        <f aca="false">E259+F259+G259</f>
        <v>6</v>
      </c>
      <c r="E259" s="6" t="n">
        <v>3</v>
      </c>
      <c r="F259" s="6" t="n">
        <v>3</v>
      </c>
      <c r="G259" s="8" t="n">
        <v>0</v>
      </c>
      <c r="H259" s="6" t="s">
        <v>626</v>
      </c>
      <c r="I259" s="6" t="s">
        <v>77</v>
      </c>
      <c r="J259" s="2" t="s">
        <v>1550</v>
      </c>
      <c r="K259" s="2" t="s">
        <v>1551</v>
      </c>
      <c r="L259" s="2" t="s">
        <v>127</v>
      </c>
      <c r="M259" s="2"/>
      <c r="N259" s="2"/>
      <c r="O259" s="2" t="s">
        <v>1552</v>
      </c>
      <c r="P259" s="2" t="s">
        <v>1553</v>
      </c>
      <c r="Q259" s="6" t="s">
        <v>517</v>
      </c>
      <c r="R259" s="6" t="s">
        <v>85</v>
      </c>
      <c r="S259" s="9" t="s">
        <v>1554</v>
      </c>
      <c r="T259" s="9" t="s">
        <v>1555</v>
      </c>
      <c r="U259" s="6"/>
      <c r="V259" s="10"/>
      <c r="W259" s="10" t="s">
        <v>88</v>
      </c>
      <c r="X259" s="10"/>
      <c r="Y259" s="10"/>
    </row>
    <row r="260" customFormat="false" ht="35.05" hidden="false" customHeight="false" outlineLevel="0" collapsed="false">
      <c r="A260" s="6" t="n">
        <v>259</v>
      </c>
      <c r="B260" s="7" t="s">
        <v>1556</v>
      </c>
      <c r="C260" s="6" t="str">
        <f aca="false">IF(U260&lt;&gt;"","Client",IF(D260&gt;=9,"A",IF(D260&gt;=7,"B","C")))</f>
        <v>C</v>
      </c>
      <c r="D260" s="6" t="n">
        <f aca="false">E260+F260+G260</f>
        <v>6</v>
      </c>
      <c r="E260" s="6" t="n">
        <v>3</v>
      </c>
      <c r="F260" s="6" t="n">
        <v>3</v>
      </c>
      <c r="G260" s="8" t="n">
        <v>0</v>
      </c>
      <c r="H260" s="6" t="s">
        <v>164</v>
      </c>
      <c r="I260" s="6" t="s">
        <v>77</v>
      </c>
      <c r="J260" s="2" t="s">
        <v>514</v>
      </c>
      <c r="K260" s="2" t="s">
        <v>1532</v>
      </c>
      <c r="L260" s="2" t="s">
        <v>206</v>
      </c>
      <c r="M260" s="2"/>
      <c r="N260" s="2" t="s">
        <v>1533</v>
      </c>
      <c r="O260" s="2" t="s">
        <v>1534</v>
      </c>
      <c r="P260" s="2" t="s">
        <v>1535</v>
      </c>
      <c r="Q260" s="6" t="s">
        <v>130</v>
      </c>
      <c r="R260" s="6" t="s">
        <v>85</v>
      </c>
      <c r="S260" s="9" t="s">
        <v>1536</v>
      </c>
      <c r="T260" s="6"/>
      <c r="U260" s="6"/>
      <c r="V260" s="10"/>
      <c r="W260" s="10" t="s">
        <v>88</v>
      </c>
      <c r="X260" s="10"/>
      <c r="Y260" s="10"/>
    </row>
    <row r="261" customFormat="false" ht="23.85" hidden="false" customHeight="false" outlineLevel="0" collapsed="false">
      <c r="A261" s="6" t="n">
        <v>260</v>
      </c>
      <c r="B261" s="7" t="s">
        <v>1557</v>
      </c>
      <c r="C261" s="6" t="str">
        <f aca="false">IF(U261&lt;&gt;"","Client",IF(D261&gt;=9,"A",IF(D261&gt;=7,"B","C")))</f>
        <v>C</v>
      </c>
      <c r="D261" s="6" t="n">
        <f aca="false">E261+F261+G261</f>
        <v>6</v>
      </c>
      <c r="E261" s="6" t="n">
        <v>3</v>
      </c>
      <c r="F261" s="6" t="n">
        <v>3</v>
      </c>
      <c r="G261" s="8" t="n">
        <v>0</v>
      </c>
      <c r="H261" s="6" t="s">
        <v>182</v>
      </c>
      <c r="I261" s="6" t="s">
        <v>77</v>
      </c>
      <c r="J261" s="2" t="s">
        <v>1557</v>
      </c>
      <c r="K261" s="2" t="s">
        <v>1558</v>
      </c>
      <c r="L261" s="2" t="s">
        <v>127</v>
      </c>
      <c r="M261" s="2"/>
      <c r="N261" s="2"/>
      <c r="O261" s="2" t="s">
        <v>1559</v>
      </c>
      <c r="P261" s="2" t="s">
        <v>1560</v>
      </c>
      <c r="Q261" s="6" t="s">
        <v>1561</v>
      </c>
      <c r="R261" s="6" t="s">
        <v>106</v>
      </c>
      <c r="S261" s="9" t="s">
        <v>1562</v>
      </c>
      <c r="T261" s="9" t="s">
        <v>1563</v>
      </c>
      <c r="U261" s="6"/>
      <c r="V261" s="10"/>
      <c r="W261" s="10" t="s">
        <v>88</v>
      </c>
      <c r="X261" s="10"/>
      <c r="Y261" s="10"/>
    </row>
    <row r="262" customFormat="false" ht="35.05" hidden="false" customHeight="false" outlineLevel="0" collapsed="false">
      <c r="A262" s="6" t="n">
        <v>261</v>
      </c>
      <c r="B262" s="7" t="s">
        <v>1564</v>
      </c>
      <c r="C262" s="6" t="str">
        <f aca="false">IF(U262&lt;&gt;"","Client",IF(D262&gt;=9,"A",IF(D262&gt;=7,"B","C")))</f>
        <v>C</v>
      </c>
      <c r="D262" s="6" t="n">
        <f aca="false">E262+F262+G262</f>
        <v>6</v>
      </c>
      <c r="E262" s="6" t="n">
        <v>3</v>
      </c>
      <c r="F262" s="6" t="n">
        <v>3</v>
      </c>
      <c r="G262" s="8" t="n">
        <v>0</v>
      </c>
      <c r="H262" s="6" t="s">
        <v>153</v>
      </c>
      <c r="I262" s="6" t="s">
        <v>77</v>
      </c>
      <c r="J262" s="2" t="s">
        <v>1565</v>
      </c>
      <c r="K262" s="2" t="s">
        <v>1566</v>
      </c>
      <c r="L262" s="2" t="s">
        <v>112</v>
      </c>
      <c r="M262" s="2"/>
      <c r="N262" s="2"/>
      <c r="O262" s="2" t="s">
        <v>1567</v>
      </c>
      <c r="P262" s="2" t="s">
        <v>1568</v>
      </c>
      <c r="Q262" s="6" t="s">
        <v>236</v>
      </c>
      <c r="R262" s="6" t="s">
        <v>85</v>
      </c>
      <c r="S262" s="9" t="s">
        <v>1569</v>
      </c>
      <c r="T262" s="9" t="s">
        <v>1570</v>
      </c>
      <c r="U262" s="6"/>
      <c r="V262" s="10"/>
      <c r="W262" s="10" t="s">
        <v>88</v>
      </c>
      <c r="X262" s="10"/>
      <c r="Y262" s="10"/>
    </row>
    <row r="263" customFormat="false" ht="35.05" hidden="false" customHeight="false" outlineLevel="0" collapsed="false">
      <c r="A263" s="6" t="n">
        <v>262</v>
      </c>
      <c r="B263" s="7" t="s">
        <v>1571</v>
      </c>
      <c r="C263" s="6" t="str">
        <f aca="false">IF(U263&lt;&gt;"","Client",IF(D263&gt;=9,"A",IF(D263&gt;=7,"B","C")))</f>
        <v>C</v>
      </c>
      <c r="D263" s="6" t="n">
        <f aca="false">E263+F263+G263</f>
        <v>6</v>
      </c>
      <c r="E263" s="6" t="n">
        <v>1</v>
      </c>
      <c r="F263" s="6" t="n">
        <v>2</v>
      </c>
      <c r="G263" s="8" t="n">
        <v>3</v>
      </c>
      <c r="H263" s="6" t="s">
        <v>1215</v>
      </c>
      <c r="I263" s="6" t="s">
        <v>287</v>
      </c>
      <c r="J263" s="2" t="s">
        <v>288</v>
      </c>
      <c r="K263" s="2" t="s">
        <v>730</v>
      </c>
      <c r="L263" s="2" t="s">
        <v>102</v>
      </c>
      <c r="M263" s="2"/>
      <c r="N263" s="2" t="s">
        <v>338</v>
      </c>
      <c r="O263" s="2" t="s">
        <v>1572</v>
      </c>
      <c r="P263" s="2" t="s">
        <v>1573</v>
      </c>
      <c r="Q263" s="6" t="s">
        <v>504</v>
      </c>
      <c r="R263" s="6" t="s">
        <v>106</v>
      </c>
      <c r="S263" s="9" t="s">
        <v>1449</v>
      </c>
      <c r="T263" s="6"/>
      <c r="U263" s="6"/>
      <c r="V263" s="10"/>
      <c r="W263" s="10" t="s">
        <v>88</v>
      </c>
      <c r="X263" s="10"/>
      <c r="Y263" s="10"/>
    </row>
    <row r="264" customFormat="false" ht="57.45" hidden="false" customHeight="false" outlineLevel="0" collapsed="false">
      <c r="A264" s="6" t="n">
        <v>263</v>
      </c>
      <c r="B264" s="7" t="s">
        <v>1574</v>
      </c>
      <c r="C264" s="6" t="str">
        <f aca="false">IF(U264&lt;&gt;"","Client",IF(D264&gt;=9,"A",IF(D264&gt;=7,"B","C")))</f>
        <v>C</v>
      </c>
      <c r="D264" s="6" t="n">
        <f aca="false">E264+F264+G264</f>
        <v>6</v>
      </c>
      <c r="E264" s="6" t="n">
        <v>1</v>
      </c>
      <c r="F264" s="6" t="n">
        <v>2</v>
      </c>
      <c r="G264" s="8" t="n">
        <v>3</v>
      </c>
      <c r="H264" s="6" t="s">
        <v>1215</v>
      </c>
      <c r="I264" s="6" t="s">
        <v>287</v>
      </c>
      <c r="J264" s="2" t="s">
        <v>1575</v>
      </c>
      <c r="K264" s="2" t="s">
        <v>1576</v>
      </c>
      <c r="L264" s="2" t="s">
        <v>1577</v>
      </c>
      <c r="M264" s="2" t="s">
        <v>401</v>
      </c>
      <c r="N264" s="2" t="s">
        <v>633</v>
      </c>
      <c r="O264" s="2" t="s">
        <v>1578</v>
      </c>
      <c r="P264" s="2" t="s">
        <v>1579</v>
      </c>
      <c r="Q264" s="6" t="s">
        <v>178</v>
      </c>
      <c r="R264" s="6" t="s">
        <v>85</v>
      </c>
      <c r="S264" s="9" t="s">
        <v>1580</v>
      </c>
      <c r="T264" s="9" t="s">
        <v>1581</v>
      </c>
      <c r="U264" s="6"/>
      <c r="V264" s="10"/>
      <c r="W264" s="10" t="s">
        <v>88</v>
      </c>
      <c r="X264" s="10"/>
      <c r="Y264" s="10"/>
    </row>
    <row r="265" customFormat="false" ht="15" hidden="false" customHeight="false" outlineLevel="0" collapsed="false">
      <c r="A265" s="6" t="n">
        <v>264</v>
      </c>
      <c r="B265" s="7" t="s">
        <v>1582</v>
      </c>
      <c r="C265" s="6" t="str">
        <f aca="false">IF(U265&lt;&gt;"","Client",IF(D265&gt;=9,"A",IF(D265&gt;=7,"B","C")))</f>
        <v>C</v>
      </c>
      <c r="D265" s="6" t="n">
        <f aca="false">E265+F265+G265</f>
        <v>6</v>
      </c>
      <c r="E265" s="6" t="n">
        <v>1</v>
      </c>
      <c r="F265" s="6" t="n">
        <v>2</v>
      </c>
      <c r="G265" s="8" t="n">
        <v>3</v>
      </c>
      <c r="H265" s="6" t="s">
        <v>1583</v>
      </c>
      <c r="I265" s="6" t="s">
        <v>287</v>
      </c>
      <c r="J265" s="2" t="s">
        <v>1584</v>
      </c>
      <c r="K265" s="2" t="s">
        <v>92</v>
      </c>
      <c r="L265" s="2" t="s">
        <v>93</v>
      </c>
      <c r="M265" s="2"/>
      <c r="N265" s="2" t="s">
        <v>184</v>
      </c>
      <c r="O265" s="2" t="s">
        <v>1585</v>
      </c>
      <c r="P265" s="2" t="s">
        <v>1586</v>
      </c>
      <c r="Q265" s="6" t="s">
        <v>97</v>
      </c>
      <c r="R265" s="6" t="s">
        <v>106</v>
      </c>
      <c r="S265" s="9" t="s">
        <v>1587</v>
      </c>
      <c r="T265" s="6"/>
      <c r="U265" s="6"/>
      <c r="V265" s="10"/>
      <c r="W265" s="10" t="s">
        <v>88</v>
      </c>
      <c r="X265" s="10"/>
      <c r="Y265" s="10"/>
    </row>
    <row r="266" customFormat="false" ht="23.85" hidden="false" customHeight="false" outlineLevel="0" collapsed="false">
      <c r="A266" s="6" t="n">
        <v>265</v>
      </c>
      <c r="B266" s="7" t="s">
        <v>1588</v>
      </c>
      <c r="C266" s="6" t="str">
        <f aca="false">IF(U266&lt;&gt;"","Client",IF(D266&gt;=9,"A",IF(D266&gt;=7,"B","C")))</f>
        <v>C</v>
      </c>
      <c r="D266" s="6" t="n">
        <f aca="false">E266+F266+G266</f>
        <v>6</v>
      </c>
      <c r="E266" s="6" t="n">
        <v>1</v>
      </c>
      <c r="F266" s="6" t="n">
        <v>2</v>
      </c>
      <c r="G266" s="8" t="n">
        <v>3</v>
      </c>
      <c r="H266" s="6" t="s">
        <v>1583</v>
      </c>
      <c r="I266" s="6" t="s">
        <v>287</v>
      </c>
      <c r="J266" s="2" t="s">
        <v>1588</v>
      </c>
      <c r="K266" s="2" t="s">
        <v>92</v>
      </c>
      <c r="L266" s="2" t="s">
        <v>93</v>
      </c>
      <c r="M266" s="2"/>
      <c r="N266" s="2" t="s">
        <v>184</v>
      </c>
      <c r="O266" s="2" t="s">
        <v>1589</v>
      </c>
      <c r="P266" s="2" t="s">
        <v>1590</v>
      </c>
      <c r="Q266" s="6" t="s">
        <v>97</v>
      </c>
      <c r="R266" s="6" t="s">
        <v>85</v>
      </c>
      <c r="S266" s="9" t="s">
        <v>1591</v>
      </c>
      <c r="T266" s="6"/>
      <c r="U266" s="6"/>
      <c r="V266" s="10"/>
      <c r="W266" s="10" t="s">
        <v>88</v>
      </c>
      <c r="X266" s="10"/>
      <c r="Y266" s="10"/>
    </row>
    <row r="267" customFormat="false" ht="15" hidden="false" customHeight="false" outlineLevel="0" collapsed="false">
      <c r="A267" s="6" t="n">
        <v>266</v>
      </c>
      <c r="B267" s="7" t="s">
        <v>1592</v>
      </c>
      <c r="C267" s="6" t="str">
        <f aca="false">IF(U267&lt;&gt;"","Client",IF(D267&gt;=9,"A",IF(D267&gt;=7,"B","C")))</f>
        <v>C</v>
      </c>
      <c r="D267" s="6" t="n">
        <f aca="false">E267+F267+G267</f>
        <v>6</v>
      </c>
      <c r="E267" s="6" t="n">
        <v>1</v>
      </c>
      <c r="F267" s="6" t="n">
        <v>2</v>
      </c>
      <c r="G267" s="8" t="n">
        <v>3</v>
      </c>
      <c r="H267" s="6" t="s">
        <v>1215</v>
      </c>
      <c r="I267" s="6" t="s">
        <v>287</v>
      </c>
      <c r="J267" s="2" t="s">
        <v>1593</v>
      </c>
      <c r="K267" s="2" t="s">
        <v>92</v>
      </c>
      <c r="L267" s="2" t="s">
        <v>93</v>
      </c>
      <c r="M267" s="2"/>
      <c r="N267" s="2" t="s">
        <v>184</v>
      </c>
      <c r="O267" s="2" t="s">
        <v>1594</v>
      </c>
      <c r="P267" s="2" t="s">
        <v>1595</v>
      </c>
      <c r="Q267" s="6" t="s">
        <v>281</v>
      </c>
      <c r="R267" s="6" t="s">
        <v>85</v>
      </c>
      <c r="S267" s="9" t="s">
        <v>1596</v>
      </c>
      <c r="T267" s="6"/>
      <c r="U267" s="6"/>
      <c r="V267" s="10"/>
      <c r="W267" s="10" t="s">
        <v>88</v>
      </c>
      <c r="X267" s="10"/>
      <c r="Y267" s="10"/>
    </row>
    <row r="268" customFormat="false" ht="15" hidden="false" customHeight="false" outlineLevel="0" collapsed="false">
      <c r="A268" s="6" t="n">
        <v>267</v>
      </c>
      <c r="B268" s="7" t="s">
        <v>1597</v>
      </c>
      <c r="C268" s="6" t="str">
        <f aca="false">IF(U268&lt;&gt;"","Client",IF(D268&gt;=9,"A",IF(D268&gt;=7,"B","C")))</f>
        <v>C</v>
      </c>
      <c r="D268" s="6" t="n">
        <f aca="false">E268+F268+G268</f>
        <v>6</v>
      </c>
      <c r="E268" s="6" t="n">
        <v>1</v>
      </c>
      <c r="F268" s="6" t="n">
        <v>2</v>
      </c>
      <c r="G268" s="8" t="n">
        <v>3</v>
      </c>
      <c r="H268" s="6" t="s">
        <v>1598</v>
      </c>
      <c r="I268" s="6" t="s">
        <v>287</v>
      </c>
      <c r="J268" s="2" t="s">
        <v>1599</v>
      </c>
      <c r="K268" s="2" t="s">
        <v>92</v>
      </c>
      <c r="L268" s="2" t="s">
        <v>93</v>
      </c>
      <c r="M268" s="2"/>
      <c r="N268" s="2" t="s">
        <v>184</v>
      </c>
      <c r="O268" s="2" t="s">
        <v>1600</v>
      </c>
      <c r="P268" s="2" t="s">
        <v>1601</v>
      </c>
      <c r="Q268" s="6" t="s">
        <v>461</v>
      </c>
      <c r="R268" s="6" t="s">
        <v>85</v>
      </c>
      <c r="S268" s="9" t="s">
        <v>1602</v>
      </c>
      <c r="T268" s="6"/>
      <c r="U268" s="6"/>
      <c r="V268" s="10"/>
      <c r="W268" s="10" t="s">
        <v>88</v>
      </c>
      <c r="X268" s="10"/>
      <c r="Y268" s="10"/>
    </row>
    <row r="269" customFormat="false" ht="23.85" hidden="false" customHeight="false" outlineLevel="0" collapsed="false">
      <c r="A269" s="6" t="n">
        <v>268</v>
      </c>
      <c r="B269" s="7" t="s">
        <v>1603</v>
      </c>
      <c r="C269" s="6" t="str">
        <f aca="false">IF(U269&lt;&gt;"","Client",IF(D269&gt;=9,"A",IF(D269&gt;=7,"B","C")))</f>
        <v>C</v>
      </c>
      <c r="D269" s="6" t="n">
        <f aca="false">E269+F269+G269</f>
        <v>6</v>
      </c>
      <c r="E269" s="6" t="n">
        <v>1</v>
      </c>
      <c r="F269" s="6" t="n">
        <v>2</v>
      </c>
      <c r="G269" s="8" t="n">
        <v>3</v>
      </c>
      <c r="H269" s="6" t="s">
        <v>1598</v>
      </c>
      <c r="I269" s="6" t="s">
        <v>287</v>
      </c>
      <c r="J269" s="2" t="s">
        <v>1604</v>
      </c>
      <c r="K269" s="2" t="s">
        <v>1605</v>
      </c>
      <c r="L269" s="2" t="s">
        <v>102</v>
      </c>
      <c r="M269" s="2"/>
      <c r="N269" s="2" t="s">
        <v>753</v>
      </c>
      <c r="O269" s="2" t="s">
        <v>1606</v>
      </c>
      <c r="P269" s="2" t="s">
        <v>1607</v>
      </c>
      <c r="Q269" s="6" t="s">
        <v>324</v>
      </c>
      <c r="R269" s="6" t="s">
        <v>85</v>
      </c>
      <c r="S269" s="9" t="s">
        <v>1608</v>
      </c>
      <c r="T269" s="6"/>
      <c r="U269" s="6"/>
      <c r="V269" s="10"/>
      <c r="W269" s="10" t="s">
        <v>88</v>
      </c>
      <c r="X269" s="10"/>
      <c r="Y269" s="10"/>
    </row>
    <row r="270" customFormat="false" ht="23.85" hidden="false" customHeight="false" outlineLevel="0" collapsed="false">
      <c r="A270" s="6" t="n">
        <v>269</v>
      </c>
      <c r="B270" s="7" t="s">
        <v>1609</v>
      </c>
      <c r="C270" s="6" t="str">
        <f aca="false">IF(U270&lt;&gt;"","Client",IF(D270&gt;=9,"A",IF(D270&gt;=7,"B","C")))</f>
        <v>C</v>
      </c>
      <c r="D270" s="6" t="n">
        <f aca="false">E270+F270+G270</f>
        <v>6</v>
      </c>
      <c r="E270" s="6" t="n">
        <v>1</v>
      </c>
      <c r="F270" s="6" t="n">
        <v>2</v>
      </c>
      <c r="G270" s="8" t="n">
        <v>3</v>
      </c>
      <c r="H270" s="6" t="s">
        <v>1583</v>
      </c>
      <c r="I270" s="6" t="s">
        <v>287</v>
      </c>
      <c r="J270" s="2" t="s">
        <v>1610</v>
      </c>
      <c r="K270" s="2" t="s">
        <v>92</v>
      </c>
      <c r="L270" s="2" t="s">
        <v>93</v>
      </c>
      <c r="M270" s="2"/>
      <c r="N270" s="2" t="s">
        <v>1611</v>
      </c>
      <c r="O270" s="2" t="s">
        <v>1612</v>
      </c>
      <c r="P270" s="2" t="s">
        <v>1613</v>
      </c>
      <c r="Q270" s="6" t="s">
        <v>123</v>
      </c>
      <c r="R270" s="6" t="s">
        <v>85</v>
      </c>
      <c r="S270" s="9" t="s">
        <v>1614</v>
      </c>
      <c r="T270" s="6"/>
      <c r="U270" s="6"/>
      <c r="V270" s="10"/>
      <c r="W270" s="10" t="s">
        <v>88</v>
      </c>
      <c r="X270" s="10"/>
      <c r="Y270" s="10"/>
    </row>
    <row r="271" customFormat="false" ht="35.05" hidden="false" customHeight="false" outlineLevel="0" collapsed="false">
      <c r="A271" s="6" t="n">
        <v>270</v>
      </c>
      <c r="B271" s="7" t="s">
        <v>1615</v>
      </c>
      <c r="C271" s="6" t="str">
        <f aca="false">IF(U271&lt;&gt;"","Client",IF(D271&gt;=9,"A",IF(D271&gt;=7,"B","C")))</f>
        <v>C</v>
      </c>
      <c r="D271" s="6" t="n">
        <f aca="false">E271+F271+G271</f>
        <v>6</v>
      </c>
      <c r="E271" s="6" t="n">
        <v>1</v>
      </c>
      <c r="F271" s="6" t="n">
        <v>2</v>
      </c>
      <c r="G271" s="8" t="n">
        <v>3</v>
      </c>
      <c r="H271" s="6" t="s">
        <v>1215</v>
      </c>
      <c r="I271" s="6" t="s">
        <v>287</v>
      </c>
      <c r="J271" s="2" t="s">
        <v>1616</v>
      </c>
      <c r="K271" s="2" t="s">
        <v>1617</v>
      </c>
      <c r="L271" s="2" t="s">
        <v>290</v>
      </c>
      <c r="M271" s="2"/>
      <c r="N271" s="2" t="s">
        <v>1618</v>
      </c>
      <c r="O271" s="2" t="s">
        <v>1619</v>
      </c>
      <c r="P271" s="2" t="s">
        <v>1620</v>
      </c>
      <c r="Q271" s="6" t="s">
        <v>389</v>
      </c>
      <c r="R271" s="6" t="s">
        <v>106</v>
      </c>
      <c r="S271" s="9" t="s">
        <v>1621</v>
      </c>
      <c r="T271" s="9" t="s">
        <v>1622</v>
      </c>
      <c r="U271" s="6"/>
      <c r="V271" s="10"/>
      <c r="W271" s="10" t="s">
        <v>88</v>
      </c>
      <c r="X271" s="10"/>
      <c r="Y271" s="10"/>
    </row>
    <row r="272" customFormat="false" ht="15" hidden="false" customHeight="false" outlineLevel="0" collapsed="false">
      <c r="A272" s="6" t="n">
        <v>271</v>
      </c>
      <c r="B272" s="7" t="s">
        <v>1623</v>
      </c>
      <c r="C272" s="6" t="str">
        <f aca="false">IF(U272&lt;&gt;"","Client",IF(D272&gt;=9,"A",IF(D272&gt;=7,"B","C")))</f>
        <v>C</v>
      </c>
      <c r="D272" s="6" t="n">
        <f aca="false">E272+F272+G272</f>
        <v>6</v>
      </c>
      <c r="E272" s="6" t="n">
        <v>1</v>
      </c>
      <c r="F272" s="6" t="n">
        <v>2</v>
      </c>
      <c r="G272" s="8" t="n">
        <v>3</v>
      </c>
      <c r="H272" s="6" t="s">
        <v>1583</v>
      </c>
      <c r="I272" s="6" t="s">
        <v>287</v>
      </c>
      <c r="J272" s="2" t="s">
        <v>1623</v>
      </c>
      <c r="K272" s="2" t="s">
        <v>92</v>
      </c>
      <c r="L272" s="2" t="s">
        <v>93</v>
      </c>
      <c r="M272" s="2"/>
      <c r="N272" s="2" t="s">
        <v>184</v>
      </c>
      <c r="O272" s="2" t="s">
        <v>1624</v>
      </c>
      <c r="P272" s="2" t="s">
        <v>1625</v>
      </c>
      <c r="Q272" s="6" t="s">
        <v>178</v>
      </c>
      <c r="R272" s="6" t="s">
        <v>85</v>
      </c>
      <c r="S272" s="9" t="s">
        <v>1626</v>
      </c>
      <c r="T272" s="6"/>
      <c r="U272" s="6"/>
      <c r="V272" s="10"/>
      <c r="W272" s="10" t="s">
        <v>88</v>
      </c>
      <c r="X272" s="10"/>
      <c r="Y272" s="10"/>
    </row>
    <row r="273" customFormat="false" ht="23.85" hidden="false" customHeight="false" outlineLevel="0" collapsed="false">
      <c r="A273" s="6" t="n">
        <v>272</v>
      </c>
      <c r="B273" s="7" t="s">
        <v>1627</v>
      </c>
      <c r="C273" s="6" t="str">
        <f aca="false">IF(U273&lt;&gt;"","Client",IF(D273&gt;=9,"A",IF(D273&gt;=7,"B","C")))</f>
        <v>C</v>
      </c>
      <c r="D273" s="6" t="n">
        <f aca="false">E273+F273+G273</f>
        <v>6</v>
      </c>
      <c r="E273" s="6" t="n">
        <v>1</v>
      </c>
      <c r="F273" s="6" t="n">
        <v>2</v>
      </c>
      <c r="G273" s="8" t="n">
        <v>3</v>
      </c>
      <c r="H273" s="6" t="s">
        <v>1215</v>
      </c>
      <c r="I273" s="6" t="s">
        <v>287</v>
      </c>
      <c r="J273" s="2" t="s">
        <v>1627</v>
      </c>
      <c r="K273" s="2" t="s">
        <v>730</v>
      </c>
      <c r="L273" s="2" t="s">
        <v>102</v>
      </c>
      <c r="M273" s="2"/>
      <c r="N273" s="2" t="s">
        <v>338</v>
      </c>
      <c r="O273" s="2" t="s">
        <v>1447</v>
      </c>
      <c r="P273" s="2" t="s">
        <v>1628</v>
      </c>
      <c r="Q273" s="6" t="s">
        <v>504</v>
      </c>
      <c r="R273" s="6" t="s">
        <v>106</v>
      </c>
      <c r="S273" s="9" t="s">
        <v>1449</v>
      </c>
      <c r="T273" s="6"/>
      <c r="U273" s="6"/>
      <c r="V273" s="10"/>
      <c r="W273" s="10" t="s">
        <v>88</v>
      </c>
      <c r="X273" s="10"/>
      <c r="Y273" s="10"/>
    </row>
    <row r="274" customFormat="false" ht="23.85" hidden="false" customHeight="false" outlineLevel="0" collapsed="false">
      <c r="A274" s="6" t="n">
        <v>273</v>
      </c>
      <c r="B274" s="7" t="s">
        <v>1629</v>
      </c>
      <c r="C274" s="6" t="str">
        <f aca="false">IF(U274&lt;&gt;"","Client",IF(D274&gt;=9,"A",IF(D274&gt;=7,"B","C")))</f>
        <v>C</v>
      </c>
      <c r="D274" s="6" t="n">
        <f aca="false">E274+F274+G274</f>
        <v>6</v>
      </c>
      <c r="E274" s="6" t="n">
        <v>1</v>
      </c>
      <c r="F274" s="6" t="n">
        <v>2</v>
      </c>
      <c r="G274" s="8" t="n">
        <v>3</v>
      </c>
      <c r="H274" s="6" t="s">
        <v>1583</v>
      </c>
      <c r="I274" s="6" t="s">
        <v>287</v>
      </c>
      <c r="J274" s="2" t="s">
        <v>1630</v>
      </c>
      <c r="K274" s="2" t="s">
        <v>730</v>
      </c>
      <c r="L274" s="2" t="s">
        <v>102</v>
      </c>
      <c r="M274" s="2"/>
      <c r="N274" s="2" t="s">
        <v>338</v>
      </c>
      <c r="O274" s="2" t="s">
        <v>1447</v>
      </c>
      <c r="P274" s="2" t="s">
        <v>1631</v>
      </c>
      <c r="Q274" s="6" t="s">
        <v>1162</v>
      </c>
      <c r="R274" s="6" t="s">
        <v>106</v>
      </c>
      <c r="S274" s="9" t="s">
        <v>733</v>
      </c>
      <c r="T274" s="6"/>
      <c r="U274" s="6"/>
      <c r="V274" s="10"/>
      <c r="W274" s="10" t="s">
        <v>88</v>
      </c>
      <c r="X274" s="10"/>
      <c r="Y274" s="10"/>
    </row>
    <row r="275" customFormat="false" ht="23.85" hidden="false" customHeight="false" outlineLevel="0" collapsed="false">
      <c r="A275" s="6" t="n">
        <v>274</v>
      </c>
      <c r="B275" s="7" t="s">
        <v>1632</v>
      </c>
      <c r="C275" s="6" t="str">
        <f aca="false">IF(U275&lt;&gt;"","Client",IF(D275&gt;=9,"A",IF(D275&gt;=7,"B","C")))</f>
        <v>C</v>
      </c>
      <c r="D275" s="6" t="n">
        <f aca="false">E275+F275+G275</f>
        <v>6</v>
      </c>
      <c r="E275" s="6" t="n">
        <v>1</v>
      </c>
      <c r="F275" s="6" t="n">
        <v>2</v>
      </c>
      <c r="G275" s="8" t="n">
        <v>3</v>
      </c>
      <c r="H275" s="6" t="s">
        <v>1598</v>
      </c>
      <c r="I275" s="6" t="s">
        <v>287</v>
      </c>
      <c r="J275" s="2" t="s">
        <v>1633</v>
      </c>
      <c r="K275" s="2" t="s">
        <v>1634</v>
      </c>
      <c r="L275" s="2" t="s">
        <v>102</v>
      </c>
      <c r="M275" s="2"/>
      <c r="N275" s="2" t="s">
        <v>338</v>
      </c>
      <c r="O275" s="2" t="s">
        <v>1447</v>
      </c>
      <c r="P275" s="2" t="s">
        <v>1635</v>
      </c>
      <c r="Q275" s="6" t="s">
        <v>1636</v>
      </c>
      <c r="R275" s="6" t="s">
        <v>106</v>
      </c>
      <c r="S275" s="9" t="s">
        <v>1637</v>
      </c>
      <c r="T275" s="6"/>
      <c r="U275" s="6"/>
      <c r="V275" s="10"/>
      <c r="W275" s="10" t="s">
        <v>88</v>
      </c>
      <c r="X275" s="10"/>
      <c r="Y275" s="10"/>
    </row>
    <row r="276" customFormat="false" ht="35.05" hidden="false" customHeight="false" outlineLevel="0" collapsed="false">
      <c r="A276" s="6" t="n">
        <v>275</v>
      </c>
      <c r="B276" s="7" t="s">
        <v>1638</v>
      </c>
      <c r="C276" s="6" t="str">
        <f aca="false">IF(U276&lt;&gt;"","Client",IF(D276&gt;=9,"A",IF(D276&gt;=7,"B","C")))</f>
        <v>C</v>
      </c>
      <c r="D276" s="6" t="n">
        <f aca="false">E276+F276+G276</f>
        <v>6</v>
      </c>
      <c r="E276" s="6" t="n">
        <v>1</v>
      </c>
      <c r="F276" s="6" t="n">
        <v>2</v>
      </c>
      <c r="G276" s="8" t="n">
        <v>3</v>
      </c>
      <c r="H276" s="6" t="s">
        <v>1583</v>
      </c>
      <c r="I276" s="6" t="s">
        <v>287</v>
      </c>
      <c r="J276" s="2" t="s">
        <v>1630</v>
      </c>
      <c r="K276" s="2" t="s">
        <v>1639</v>
      </c>
      <c r="L276" s="2" t="s">
        <v>102</v>
      </c>
      <c r="M276" s="2"/>
      <c r="N276" s="2" t="s">
        <v>338</v>
      </c>
      <c r="O276" s="2" t="s">
        <v>1640</v>
      </c>
      <c r="P276" s="2" t="s">
        <v>1641</v>
      </c>
      <c r="Q276" s="6" t="s">
        <v>150</v>
      </c>
      <c r="R276" s="6" t="s">
        <v>85</v>
      </c>
      <c r="S276" s="9" t="s">
        <v>1642</v>
      </c>
      <c r="T276" s="6"/>
      <c r="U276" s="6"/>
      <c r="V276" s="10"/>
      <c r="W276" s="10" t="s">
        <v>88</v>
      </c>
      <c r="X276" s="10"/>
      <c r="Y276" s="10"/>
    </row>
    <row r="277" customFormat="false" ht="46.25" hidden="false" customHeight="false" outlineLevel="0" collapsed="false">
      <c r="A277" s="6" t="n">
        <v>276</v>
      </c>
      <c r="B277" s="7" t="s">
        <v>1643</v>
      </c>
      <c r="C277" s="6" t="str">
        <f aca="false">IF(U277&lt;&gt;"","Client",IF(D277&gt;=9,"A",IF(D277&gt;=7,"B","C")))</f>
        <v>C</v>
      </c>
      <c r="D277" s="6" t="n">
        <f aca="false">E277+F277+G277</f>
        <v>6</v>
      </c>
      <c r="E277" s="6" t="n">
        <v>1</v>
      </c>
      <c r="F277" s="6" t="n">
        <v>2</v>
      </c>
      <c r="G277" s="8" t="n">
        <v>3</v>
      </c>
      <c r="H277" s="6" t="s">
        <v>1644</v>
      </c>
      <c r="I277" s="6" t="s">
        <v>287</v>
      </c>
      <c r="J277" s="2" t="s">
        <v>1645</v>
      </c>
      <c r="K277" s="2" t="s">
        <v>1646</v>
      </c>
      <c r="L277" s="2" t="s">
        <v>112</v>
      </c>
      <c r="M277" s="2" t="s">
        <v>716</v>
      </c>
      <c r="N277" s="2" t="s">
        <v>1647</v>
      </c>
      <c r="O277" s="2" t="s">
        <v>1648</v>
      </c>
      <c r="P277" s="2" t="s">
        <v>1649</v>
      </c>
      <c r="Q277" s="6" t="s">
        <v>178</v>
      </c>
      <c r="R277" s="6" t="s">
        <v>85</v>
      </c>
      <c r="S277" s="9" t="s">
        <v>1650</v>
      </c>
      <c r="T277" s="9" t="s">
        <v>1651</v>
      </c>
      <c r="U277" s="6"/>
      <c r="V277" s="10"/>
      <c r="W277" s="10" t="s">
        <v>88</v>
      </c>
      <c r="X277" s="10"/>
      <c r="Y277" s="10"/>
    </row>
    <row r="278" customFormat="false" ht="35.05" hidden="false" customHeight="false" outlineLevel="0" collapsed="false">
      <c r="A278" s="6" t="n">
        <v>277</v>
      </c>
      <c r="B278" s="7" t="s">
        <v>1652</v>
      </c>
      <c r="C278" s="6" t="str">
        <f aca="false">IF(U278&lt;&gt;"","Client",IF(D278&gt;=9,"A",IF(D278&gt;=7,"B","C")))</f>
        <v>C</v>
      </c>
      <c r="D278" s="6" t="n">
        <f aca="false">E278+F278+G278</f>
        <v>6</v>
      </c>
      <c r="E278" s="6" t="n">
        <v>1</v>
      </c>
      <c r="F278" s="6" t="n">
        <v>2</v>
      </c>
      <c r="G278" s="8" t="n">
        <v>3</v>
      </c>
      <c r="H278" s="6" t="s">
        <v>1583</v>
      </c>
      <c r="I278" s="6" t="s">
        <v>287</v>
      </c>
      <c r="J278" s="2" t="s">
        <v>1653</v>
      </c>
      <c r="K278" s="2" t="s">
        <v>1654</v>
      </c>
      <c r="L278" s="2" t="s">
        <v>102</v>
      </c>
      <c r="M278" s="2"/>
      <c r="N278" s="2" t="s">
        <v>103</v>
      </c>
      <c r="O278" s="2" t="s">
        <v>1655</v>
      </c>
      <c r="P278" s="2" t="s">
        <v>1656</v>
      </c>
      <c r="Q278" s="6" t="s">
        <v>389</v>
      </c>
      <c r="R278" s="6" t="s">
        <v>106</v>
      </c>
      <c r="S278" s="9" t="s">
        <v>667</v>
      </c>
      <c r="T278" s="9" t="s">
        <v>1657</v>
      </c>
      <c r="U278" s="6"/>
      <c r="V278" s="10"/>
      <c r="W278" s="10" t="s">
        <v>88</v>
      </c>
      <c r="X278" s="10"/>
      <c r="Y278" s="10"/>
    </row>
    <row r="279" customFormat="false" ht="35.05" hidden="false" customHeight="false" outlineLevel="0" collapsed="false">
      <c r="A279" s="6" t="n">
        <v>278</v>
      </c>
      <c r="B279" s="7" t="s">
        <v>1658</v>
      </c>
      <c r="C279" s="6" t="str">
        <f aca="false">IF(U279&lt;&gt;"","Client",IF(D279&gt;=9,"A",IF(D279&gt;=7,"B","C")))</f>
        <v>C</v>
      </c>
      <c r="D279" s="6" t="n">
        <f aca="false">E279+F279+G279</f>
        <v>6</v>
      </c>
      <c r="E279" s="6" t="n">
        <v>1</v>
      </c>
      <c r="F279" s="6" t="n">
        <v>2</v>
      </c>
      <c r="G279" s="8" t="n">
        <v>3</v>
      </c>
      <c r="H279" s="6" t="s">
        <v>1583</v>
      </c>
      <c r="I279" s="6" t="s">
        <v>287</v>
      </c>
      <c r="J279" s="2" t="s">
        <v>1659</v>
      </c>
      <c r="K279" s="2" t="s">
        <v>1660</v>
      </c>
      <c r="L279" s="2" t="s">
        <v>102</v>
      </c>
      <c r="M279" s="2"/>
      <c r="N279" s="2" t="s">
        <v>717</v>
      </c>
      <c r="O279" s="2" t="s">
        <v>1661</v>
      </c>
      <c r="P279" s="2" t="s">
        <v>1662</v>
      </c>
      <c r="Q279" s="6" t="s">
        <v>160</v>
      </c>
      <c r="R279" s="6" t="s">
        <v>85</v>
      </c>
      <c r="S279" s="9" t="s">
        <v>1663</v>
      </c>
      <c r="T279" s="9" t="s">
        <v>1664</v>
      </c>
      <c r="U279" s="6"/>
      <c r="V279" s="10"/>
      <c r="W279" s="10" t="s">
        <v>88</v>
      </c>
      <c r="X279" s="10"/>
      <c r="Y279" s="10"/>
    </row>
    <row r="280" customFormat="false" ht="23.85" hidden="false" customHeight="false" outlineLevel="0" collapsed="false">
      <c r="A280" s="6" t="n">
        <v>279</v>
      </c>
      <c r="B280" s="7" t="s">
        <v>1665</v>
      </c>
      <c r="C280" s="6" t="str">
        <f aca="false">IF(U280&lt;&gt;"","Client",IF(D280&gt;=9,"A",IF(D280&gt;=7,"B","C")))</f>
        <v>C</v>
      </c>
      <c r="D280" s="6" t="n">
        <f aca="false">E280+F280+G280</f>
        <v>6</v>
      </c>
      <c r="E280" s="6" t="n">
        <v>1</v>
      </c>
      <c r="F280" s="6" t="n">
        <v>2</v>
      </c>
      <c r="G280" s="8" t="n">
        <v>3</v>
      </c>
      <c r="H280" s="6" t="s">
        <v>1215</v>
      </c>
      <c r="I280" s="6" t="s">
        <v>287</v>
      </c>
      <c r="J280" s="2" t="s">
        <v>1666</v>
      </c>
      <c r="K280" s="2" t="s">
        <v>1667</v>
      </c>
      <c r="L280" s="2" t="s">
        <v>167</v>
      </c>
      <c r="M280" s="2"/>
      <c r="N280" s="2" t="s">
        <v>1668</v>
      </c>
      <c r="O280" s="2" t="s">
        <v>1669</v>
      </c>
      <c r="P280" s="2" t="s">
        <v>1670</v>
      </c>
      <c r="Q280" s="6" t="s">
        <v>178</v>
      </c>
      <c r="R280" s="6" t="s">
        <v>85</v>
      </c>
      <c r="S280" s="9" t="s">
        <v>1671</v>
      </c>
      <c r="T280" s="6"/>
      <c r="U280" s="6"/>
      <c r="V280" s="10"/>
      <c r="W280" s="10" t="s">
        <v>88</v>
      </c>
      <c r="X280" s="10"/>
      <c r="Y280" s="10"/>
    </row>
    <row r="281" customFormat="false" ht="23.85" hidden="false" customHeight="false" outlineLevel="0" collapsed="false">
      <c r="A281" s="6" t="n">
        <v>280</v>
      </c>
      <c r="B281" s="7" t="s">
        <v>1672</v>
      </c>
      <c r="C281" s="6" t="str">
        <f aca="false">IF(U281&lt;&gt;"","Client",IF(D281&gt;=9,"A",IF(D281&gt;=7,"B","C")))</f>
        <v>C</v>
      </c>
      <c r="D281" s="6" t="n">
        <f aca="false">E281+F281+G281</f>
        <v>6</v>
      </c>
      <c r="E281" s="6" t="n">
        <v>1</v>
      </c>
      <c r="F281" s="6" t="n">
        <v>2</v>
      </c>
      <c r="G281" s="8" t="n">
        <v>3</v>
      </c>
      <c r="H281" s="6" t="s">
        <v>1215</v>
      </c>
      <c r="I281" s="6" t="s">
        <v>287</v>
      </c>
      <c r="J281" s="2" t="s">
        <v>1673</v>
      </c>
      <c r="K281" s="2" t="s">
        <v>1674</v>
      </c>
      <c r="L281" s="2" t="s">
        <v>127</v>
      </c>
      <c r="M281" s="2"/>
      <c r="N281" s="2" t="s">
        <v>1675</v>
      </c>
      <c r="O281" s="2" t="s">
        <v>1676</v>
      </c>
      <c r="P281" s="2" t="s">
        <v>1677</v>
      </c>
      <c r="Q281" s="6" t="s">
        <v>308</v>
      </c>
      <c r="R281" s="6" t="s">
        <v>85</v>
      </c>
      <c r="S281" s="9" t="s">
        <v>1678</v>
      </c>
      <c r="T281" s="9" t="s">
        <v>1679</v>
      </c>
      <c r="U281" s="6"/>
      <c r="V281" s="10"/>
      <c r="W281" s="10" t="s">
        <v>88</v>
      </c>
      <c r="X281" s="10"/>
      <c r="Y281" s="10"/>
    </row>
    <row r="282" customFormat="false" ht="46.25" hidden="false" customHeight="false" outlineLevel="0" collapsed="false">
      <c r="A282" s="6" t="n">
        <v>281</v>
      </c>
      <c r="B282" s="7" t="s">
        <v>1680</v>
      </c>
      <c r="C282" s="6" t="str">
        <f aca="false">IF(U282&lt;&gt;"","Client",IF(D282&gt;=9,"A",IF(D282&gt;=7,"B","C")))</f>
        <v>C</v>
      </c>
      <c r="D282" s="6" t="n">
        <f aca="false">E282+F282+G282</f>
        <v>6</v>
      </c>
      <c r="E282" s="6" t="n">
        <v>1</v>
      </c>
      <c r="F282" s="6" t="n">
        <v>2</v>
      </c>
      <c r="G282" s="8" t="n">
        <v>3</v>
      </c>
      <c r="H282" s="6" t="s">
        <v>1644</v>
      </c>
      <c r="I282" s="6" t="s">
        <v>287</v>
      </c>
      <c r="J282" s="2" t="s">
        <v>1681</v>
      </c>
      <c r="K282" s="2" t="s">
        <v>1682</v>
      </c>
      <c r="L282" s="2" t="s">
        <v>1683</v>
      </c>
      <c r="M282" s="2"/>
      <c r="N282" s="2" t="s">
        <v>1684</v>
      </c>
      <c r="O282" s="2" t="s">
        <v>1685</v>
      </c>
      <c r="P282" s="2" t="s">
        <v>1686</v>
      </c>
      <c r="Q282" s="6" t="s">
        <v>461</v>
      </c>
      <c r="R282" s="6" t="s">
        <v>106</v>
      </c>
      <c r="S282" s="9" t="s">
        <v>1449</v>
      </c>
      <c r="T282" s="9" t="s">
        <v>1687</v>
      </c>
      <c r="U282" s="6"/>
      <c r="V282" s="10"/>
      <c r="W282" s="10" t="s">
        <v>88</v>
      </c>
      <c r="X282" s="10"/>
      <c r="Y282" s="10"/>
    </row>
    <row r="283" customFormat="false" ht="35.05" hidden="false" customHeight="false" outlineLevel="0" collapsed="false">
      <c r="A283" s="6" t="n">
        <v>282</v>
      </c>
      <c r="B283" s="7" t="s">
        <v>1688</v>
      </c>
      <c r="C283" s="6" t="str">
        <f aca="false">IF(U283&lt;&gt;"","Client",IF(D283&gt;=9,"A",IF(D283&gt;=7,"B","C")))</f>
        <v>C</v>
      </c>
      <c r="D283" s="6" t="n">
        <f aca="false">E283+F283+G283</f>
        <v>6</v>
      </c>
      <c r="E283" s="6" t="n">
        <v>1</v>
      </c>
      <c r="F283" s="6" t="n">
        <v>2</v>
      </c>
      <c r="G283" s="8" t="n">
        <v>3</v>
      </c>
      <c r="H283" s="6" t="s">
        <v>1583</v>
      </c>
      <c r="I283" s="6" t="s">
        <v>287</v>
      </c>
      <c r="J283" s="2" t="s">
        <v>1689</v>
      </c>
      <c r="K283" s="2" t="s">
        <v>1690</v>
      </c>
      <c r="L283" s="2" t="s">
        <v>1093</v>
      </c>
      <c r="M283" s="2"/>
      <c r="N283" s="2" t="s">
        <v>1691</v>
      </c>
      <c r="O283" s="2" t="s">
        <v>1692</v>
      </c>
      <c r="P283" s="2" t="s">
        <v>1693</v>
      </c>
      <c r="Q283" s="6" t="s">
        <v>97</v>
      </c>
      <c r="R283" s="6" t="s">
        <v>85</v>
      </c>
      <c r="S283" s="9" t="s">
        <v>1694</v>
      </c>
      <c r="T283" s="9" t="s">
        <v>1695</v>
      </c>
      <c r="U283" s="6"/>
      <c r="V283" s="10"/>
      <c r="W283" s="10" t="s">
        <v>88</v>
      </c>
      <c r="X283" s="10"/>
      <c r="Y283" s="10"/>
    </row>
    <row r="284" customFormat="false" ht="23.85" hidden="false" customHeight="false" outlineLevel="0" collapsed="false">
      <c r="A284" s="6" t="n">
        <v>283</v>
      </c>
      <c r="B284" s="7" t="s">
        <v>1696</v>
      </c>
      <c r="C284" s="6" t="str">
        <f aca="false">IF(U284&lt;&gt;"","Client",IF(D284&gt;=9,"A",IF(D284&gt;=7,"B","C")))</f>
        <v>C</v>
      </c>
      <c r="D284" s="6" t="n">
        <f aca="false">E284+F284+G284</f>
        <v>6</v>
      </c>
      <c r="E284" s="6" t="n">
        <v>1</v>
      </c>
      <c r="F284" s="6" t="n">
        <v>2</v>
      </c>
      <c r="G284" s="8" t="n">
        <v>3</v>
      </c>
      <c r="H284" s="6" t="s">
        <v>1583</v>
      </c>
      <c r="I284" s="6" t="s">
        <v>287</v>
      </c>
      <c r="J284" s="2" t="s">
        <v>1630</v>
      </c>
      <c r="K284" s="2" t="s">
        <v>501</v>
      </c>
      <c r="L284" s="2" t="s">
        <v>102</v>
      </c>
      <c r="M284" s="2"/>
      <c r="N284" s="2" t="s">
        <v>103</v>
      </c>
      <c r="O284" s="2" t="s">
        <v>670</v>
      </c>
      <c r="P284" s="2" t="s">
        <v>1697</v>
      </c>
      <c r="Q284" s="6" t="s">
        <v>150</v>
      </c>
      <c r="R284" s="6" t="s">
        <v>85</v>
      </c>
      <c r="S284" s="9" t="s">
        <v>1698</v>
      </c>
      <c r="T284" s="6"/>
      <c r="U284" s="6"/>
      <c r="V284" s="10"/>
      <c r="W284" s="10" t="s">
        <v>88</v>
      </c>
      <c r="X284" s="10"/>
      <c r="Y284" s="10"/>
    </row>
    <row r="285" customFormat="false" ht="35.05" hidden="false" customHeight="false" outlineLevel="0" collapsed="false">
      <c r="A285" s="6" t="n">
        <v>284</v>
      </c>
      <c r="B285" s="7" t="s">
        <v>1699</v>
      </c>
      <c r="C285" s="6" t="str">
        <f aca="false">IF(U285&lt;&gt;"","Client",IF(D285&gt;=9,"A",IF(D285&gt;=7,"B","C")))</f>
        <v>C</v>
      </c>
      <c r="D285" s="6" t="n">
        <f aca="false">E285+F285+G285</f>
        <v>6</v>
      </c>
      <c r="E285" s="6" t="n">
        <v>2</v>
      </c>
      <c r="F285" s="6" t="n">
        <v>2</v>
      </c>
      <c r="G285" s="8" t="n">
        <v>2</v>
      </c>
      <c r="H285" s="6" t="s">
        <v>507</v>
      </c>
      <c r="I285" s="6" t="s">
        <v>287</v>
      </c>
      <c r="J285" s="2" t="s">
        <v>1700</v>
      </c>
      <c r="K285" s="2" t="s">
        <v>1701</v>
      </c>
      <c r="L285" s="2" t="s">
        <v>127</v>
      </c>
      <c r="M285" s="2"/>
      <c r="N285" s="2" t="s">
        <v>802</v>
      </c>
      <c r="O285" s="2" t="s">
        <v>1702</v>
      </c>
      <c r="P285" s="2" t="s">
        <v>1703</v>
      </c>
      <c r="Q285" s="6" t="s">
        <v>160</v>
      </c>
      <c r="R285" s="6" t="s">
        <v>85</v>
      </c>
      <c r="S285" s="9" t="s">
        <v>1704</v>
      </c>
      <c r="T285" s="9" t="s">
        <v>1705</v>
      </c>
      <c r="U285" s="6"/>
      <c r="V285" s="10"/>
      <c r="W285" s="10" t="s">
        <v>88</v>
      </c>
      <c r="X285" s="10"/>
      <c r="Y285" s="10"/>
    </row>
    <row r="286" customFormat="false" ht="15" hidden="false" customHeight="false" outlineLevel="0" collapsed="false">
      <c r="A286" s="6" t="n">
        <v>285</v>
      </c>
      <c r="B286" s="7" t="s">
        <v>1706</v>
      </c>
      <c r="C286" s="6" t="str">
        <f aca="false">IF(U286&lt;&gt;"","Client",IF(D286&gt;=9,"A",IF(D286&gt;=7,"B","C")))</f>
        <v>C</v>
      </c>
      <c r="D286" s="6" t="n">
        <f aca="false">E286+F286+G286</f>
        <v>6</v>
      </c>
      <c r="E286" s="6" t="n">
        <v>2</v>
      </c>
      <c r="F286" s="6" t="n">
        <v>2</v>
      </c>
      <c r="G286" s="8" t="n">
        <v>2</v>
      </c>
      <c r="H286" s="6" t="s">
        <v>1127</v>
      </c>
      <c r="I286" s="6" t="s">
        <v>287</v>
      </c>
      <c r="J286" s="2" t="s">
        <v>1707</v>
      </c>
      <c r="K286" s="2" t="s">
        <v>92</v>
      </c>
      <c r="L286" s="2" t="s">
        <v>93</v>
      </c>
      <c r="M286" s="2"/>
      <c r="N286" s="2" t="s">
        <v>219</v>
      </c>
      <c r="O286" s="2" t="s">
        <v>1708</v>
      </c>
      <c r="P286" s="2" t="s">
        <v>1709</v>
      </c>
      <c r="Q286" s="6" t="s">
        <v>97</v>
      </c>
      <c r="R286" s="6" t="s">
        <v>98</v>
      </c>
      <c r="S286" s="6"/>
      <c r="T286" s="6"/>
      <c r="U286" s="6"/>
      <c r="V286" s="10"/>
      <c r="W286" s="10" t="s">
        <v>88</v>
      </c>
      <c r="X286" s="10"/>
      <c r="Y286" s="10"/>
    </row>
    <row r="287" customFormat="false" ht="35.05" hidden="false" customHeight="false" outlineLevel="0" collapsed="false">
      <c r="A287" s="6" t="n">
        <v>286</v>
      </c>
      <c r="B287" s="7" t="s">
        <v>1710</v>
      </c>
      <c r="C287" s="6" t="str">
        <f aca="false">IF(U287&lt;&gt;"","Client",IF(D287&gt;=9,"A",IF(D287&gt;=7,"B","C")))</f>
        <v>C</v>
      </c>
      <c r="D287" s="6" t="n">
        <f aca="false">E287+F287+G287</f>
        <v>6</v>
      </c>
      <c r="E287" s="6" t="n">
        <v>2</v>
      </c>
      <c r="F287" s="6" t="n">
        <v>2</v>
      </c>
      <c r="G287" s="8" t="n">
        <v>2</v>
      </c>
      <c r="H287" s="6" t="s">
        <v>507</v>
      </c>
      <c r="I287" s="6" t="s">
        <v>287</v>
      </c>
      <c r="J287" s="2" t="s">
        <v>1711</v>
      </c>
      <c r="K287" s="2" t="s">
        <v>1712</v>
      </c>
      <c r="L287" s="2" t="s">
        <v>127</v>
      </c>
      <c r="M287" s="2"/>
      <c r="N287" s="2" t="s">
        <v>802</v>
      </c>
      <c r="O287" s="2" t="s">
        <v>1713</v>
      </c>
      <c r="P287" s="2" t="s">
        <v>1714</v>
      </c>
      <c r="Q287" s="6" t="s">
        <v>256</v>
      </c>
      <c r="R287" s="6" t="s">
        <v>85</v>
      </c>
      <c r="S287" s="9" t="s">
        <v>1715</v>
      </c>
      <c r="T287" s="9" t="s">
        <v>1716</v>
      </c>
      <c r="U287" s="6"/>
      <c r="V287" s="10"/>
      <c r="W287" s="10" t="s">
        <v>88</v>
      </c>
      <c r="X287" s="10"/>
      <c r="Y287" s="10"/>
    </row>
    <row r="288" customFormat="false" ht="23.85" hidden="false" customHeight="false" outlineLevel="0" collapsed="false">
      <c r="A288" s="6" t="n">
        <v>287</v>
      </c>
      <c r="B288" s="7" t="s">
        <v>1717</v>
      </c>
      <c r="C288" s="6" t="str">
        <f aca="false">IF(U288&lt;&gt;"","Client",IF(D288&gt;=9,"A",IF(D288&gt;=7,"B","C")))</f>
        <v>C</v>
      </c>
      <c r="D288" s="6" t="n">
        <f aca="false">E288+F288+G288</f>
        <v>6</v>
      </c>
      <c r="E288" s="6" t="n">
        <v>2</v>
      </c>
      <c r="F288" s="6" t="n">
        <v>2</v>
      </c>
      <c r="G288" s="8" t="n">
        <v>2</v>
      </c>
      <c r="H288" s="6" t="s">
        <v>1085</v>
      </c>
      <c r="I288" s="6" t="s">
        <v>287</v>
      </c>
      <c r="J288" s="2" t="s">
        <v>1718</v>
      </c>
      <c r="K288" s="2" t="s">
        <v>724</v>
      </c>
      <c r="L288" s="2" t="s">
        <v>102</v>
      </c>
      <c r="M288" s="2"/>
      <c r="N288" s="2" t="s">
        <v>247</v>
      </c>
      <c r="O288" s="2" t="s">
        <v>1719</v>
      </c>
      <c r="P288" s="2" t="s">
        <v>1720</v>
      </c>
      <c r="Q288" s="6" t="s">
        <v>97</v>
      </c>
      <c r="R288" s="6" t="s">
        <v>98</v>
      </c>
      <c r="S288" s="9" t="s">
        <v>108</v>
      </c>
      <c r="T288" s="6"/>
      <c r="U288" s="6"/>
      <c r="V288" s="10"/>
      <c r="W288" s="10" t="s">
        <v>88</v>
      </c>
      <c r="X288" s="10"/>
      <c r="Y288" s="10"/>
    </row>
    <row r="289" customFormat="false" ht="23.85" hidden="false" customHeight="false" outlineLevel="0" collapsed="false">
      <c r="A289" s="6" t="n">
        <v>288</v>
      </c>
      <c r="B289" s="7" t="s">
        <v>1721</v>
      </c>
      <c r="C289" s="6" t="str">
        <f aca="false">IF(U289&lt;&gt;"","Client",IF(D289&gt;=9,"A",IF(D289&gt;=7,"B","C")))</f>
        <v>C</v>
      </c>
      <c r="D289" s="6" t="n">
        <f aca="false">E289+F289+G289</f>
        <v>6</v>
      </c>
      <c r="E289" s="6" t="n">
        <v>2</v>
      </c>
      <c r="F289" s="6" t="n">
        <v>2</v>
      </c>
      <c r="G289" s="8" t="n">
        <v>2</v>
      </c>
      <c r="H289" s="6" t="s">
        <v>1127</v>
      </c>
      <c r="I289" s="6" t="s">
        <v>287</v>
      </c>
      <c r="J289" s="2" t="s">
        <v>1722</v>
      </c>
      <c r="K289" s="2" t="s">
        <v>1723</v>
      </c>
      <c r="L289" s="2" t="s">
        <v>652</v>
      </c>
      <c r="M289" s="2"/>
      <c r="N289" s="2" t="s">
        <v>247</v>
      </c>
      <c r="O289" s="2" t="s">
        <v>1724</v>
      </c>
      <c r="P289" s="2" t="s">
        <v>1725</v>
      </c>
      <c r="Q289" s="6" t="s">
        <v>1401</v>
      </c>
      <c r="R289" s="6" t="s">
        <v>85</v>
      </c>
      <c r="S289" s="9" t="s">
        <v>1726</v>
      </c>
      <c r="T289" s="6"/>
      <c r="U289" s="6"/>
      <c r="V289" s="10"/>
      <c r="W289" s="10" t="s">
        <v>88</v>
      </c>
      <c r="X289" s="10"/>
      <c r="Y289" s="10"/>
    </row>
    <row r="290" customFormat="false" ht="23.85" hidden="false" customHeight="false" outlineLevel="0" collapsed="false">
      <c r="A290" s="6" t="n">
        <v>289</v>
      </c>
      <c r="B290" s="7" t="s">
        <v>1727</v>
      </c>
      <c r="C290" s="6" t="str">
        <f aca="false">IF(U290&lt;&gt;"","Client",IF(D290&gt;=9,"A",IF(D290&gt;=7,"B","C")))</f>
        <v>C</v>
      </c>
      <c r="D290" s="6" t="n">
        <f aca="false">E290+F290+G290</f>
        <v>6</v>
      </c>
      <c r="E290" s="6" t="n">
        <v>2</v>
      </c>
      <c r="F290" s="6" t="n">
        <v>2</v>
      </c>
      <c r="G290" s="8" t="n">
        <v>2</v>
      </c>
      <c r="H290" s="6" t="s">
        <v>507</v>
      </c>
      <c r="I290" s="6" t="s">
        <v>287</v>
      </c>
      <c r="J290" s="2" t="s">
        <v>1728</v>
      </c>
      <c r="K290" s="2" t="s">
        <v>812</v>
      </c>
      <c r="L290" s="2" t="s">
        <v>127</v>
      </c>
      <c r="M290" s="2"/>
      <c r="N290" s="2" t="s">
        <v>802</v>
      </c>
      <c r="O290" s="2" t="s">
        <v>1729</v>
      </c>
      <c r="P290" s="2" t="s">
        <v>1730</v>
      </c>
      <c r="Q290" s="6" t="s">
        <v>130</v>
      </c>
      <c r="R290" s="6" t="s">
        <v>106</v>
      </c>
      <c r="S290" s="9" t="s">
        <v>1731</v>
      </c>
      <c r="T290" s="6"/>
      <c r="U290" s="6"/>
      <c r="V290" s="10"/>
      <c r="W290" s="10" t="s">
        <v>88</v>
      </c>
      <c r="X290" s="10"/>
      <c r="Y290" s="10"/>
    </row>
    <row r="291" customFormat="false" ht="35.05" hidden="false" customHeight="false" outlineLevel="0" collapsed="false">
      <c r="A291" s="6" t="n">
        <v>290</v>
      </c>
      <c r="B291" s="7" t="s">
        <v>1732</v>
      </c>
      <c r="C291" s="6" t="str">
        <f aca="false">IF(U291&lt;&gt;"","Client",IF(D291&gt;=9,"A",IF(D291&gt;=7,"B","C")))</f>
        <v>C</v>
      </c>
      <c r="D291" s="6" t="n">
        <f aca="false">E291+F291+G291</f>
        <v>6</v>
      </c>
      <c r="E291" s="6" t="n">
        <v>2</v>
      </c>
      <c r="F291" s="6" t="n">
        <v>2</v>
      </c>
      <c r="G291" s="8" t="n">
        <v>2</v>
      </c>
      <c r="H291" s="6" t="s">
        <v>507</v>
      </c>
      <c r="I291" s="6" t="s">
        <v>287</v>
      </c>
      <c r="J291" s="2" t="s">
        <v>1732</v>
      </c>
      <c r="K291" s="2" t="s">
        <v>1733</v>
      </c>
      <c r="L291" s="2" t="s">
        <v>1683</v>
      </c>
      <c r="M291" s="2"/>
      <c r="N291" s="2" t="s">
        <v>802</v>
      </c>
      <c r="O291" s="2" t="s">
        <v>1734</v>
      </c>
      <c r="P291" s="2" t="s">
        <v>1735</v>
      </c>
      <c r="Q291" s="6" t="s">
        <v>178</v>
      </c>
      <c r="R291" s="6" t="s">
        <v>85</v>
      </c>
      <c r="S291" s="9" t="s">
        <v>1736</v>
      </c>
      <c r="T291" s="9" t="s">
        <v>1737</v>
      </c>
      <c r="U291" s="6"/>
      <c r="V291" s="10"/>
      <c r="W291" s="10" t="s">
        <v>88</v>
      </c>
      <c r="X291" s="10"/>
      <c r="Y291" s="10"/>
    </row>
    <row r="292" customFormat="false" ht="23.85" hidden="false" customHeight="false" outlineLevel="0" collapsed="false">
      <c r="A292" s="6" t="n">
        <v>291</v>
      </c>
      <c r="B292" s="7" t="s">
        <v>1738</v>
      </c>
      <c r="C292" s="6" t="str">
        <f aca="false">IF(U292&lt;&gt;"","Client",IF(D292&gt;=9,"A",IF(D292&gt;=7,"B","C")))</f>
        <v>C</v>
      </c>
      <c r="D292" s="6" t="n">
        <f aca="false">E292+F292+G292</f>
        <v>6</v>
      </c>
      <c r="E292" s="6" t="n">
        <v>2</v>
      </c>
      <c r="F292" s="6" t="n">
        <v>2</v>
      </c>
      <c r="G292" s="8" t="n">
        <v>2</v>
      </c>
      <c r="H292" s="6" t="s">
        <v>507</v>
      </c>
      <c r="I292" s="6" t="s">
        <v>287</v>
      </c>
      <c r="J292" s="2" t="s">
        <v>1739</v>
      </c>
      <c r="K292" s="2" t="s">
        <v>724</v>
      </c>
      <c r="L292" s="2" t="s">
        <v>102</v>
      </c>
      <c r="M292" s="2"/>
      <c r="N292" s="2" t="s">
        <v>247</v>
      </c>
      <c r="O292" s="2" t="s">
        <v>1719</v>
      </c>
      <c r="P292" s="2" t="s">
        <v>1720</v>
      </c>
      <c r="Q292" s="6" t="s">
        <v>97</v>
      </c>
      <c r="R292" s="6" t="s">
        <v>98</v>
      </c>
      <c r="S292" s="9" t="s">
        <v>108</v>
      </c>
      <c r="T292" s="6"/>
      <c r="U292" s="6"/>
      <c r="V292" s="10"/>
      <c r="W292" s="10" t="s">
        <v>88</v>
      </c>
      <c r="X292" s="10"/>
      <c r="Y292" s="10"/>
    </row>
    <row r="293" customFormat="false" ht="23.85" hidden="false" customHeight="false" outlineLevel="0" collapsed="false">
      <c r="A293" s="6" t="n">
        <v>292</v>
      </c>
      <c r="B293" s="7" t="s">
        <v>1740</v>
      </c>
      <c r="C293" s="6" t="str">
        <f aca="false">IF(U293&lt;&gt;"","Client",IF(D293&gt;=9,"A",IF(D293&gt;=7,"B","C")))</f>
        <v>C</v>
      </c>
      <c r="D293" s="6" t="n">
        <f aca="false">E293+F293+G293</f>
        <v>6</v>
      </c>
      <c r="E293" s="6" t="n">
        <v>2</v>
      </c>
      <c r="F293" s="6" t="n">
        <v>2</v>
      </c>
      <c r="G293" s="8" t="n">
        <v>2</v>
      </c>
      <c r="H293" s="6" t="s">
        <v>1127</v>
      </c>
      <c r="I293" s="6" t="s">
        <v>287</v>
      </c>
      <c r="J293" s="2" t="s">
        <v>1741</v>
      </c>
      <c r="K293" s="2" t="s">
        <v>724</v>
      </c>
      <c r="L293" s="2" t="s">
        <v>102</v>
      </c>
      <c r="M293" s="2"/>
      <c r="N293" s="2" t="s">
        <v>247</v>
      </c>
      <c r="O293" s="2" t="s">
        <v>1742</v>
      </c>
      <c r="P293" s="2" t="s">
        <v>1743</v>
      </c>
      <c r="Q293" s="6" t="s">
        <v>84</v>
      </c>
      <c r="R293" s="6" t="s">
        <v>106</v>
      </c>
      <c r="S293" s="9" t="s">
        <v>1744</v>
      </c>
      <c r="T293" s="6"/>
      <c r="U293" s="6"/>
      <c r="V293" s="10"/>
      <c r="W293" s="10" t="s">
        <v>88</v>
      </c>
      <c r="X293" s="10"/>
      <c r="Y293" s="10"/>
    </row>
    <row r="294" customFormat="false" ht="23.85" hidden="false" customHeight="false" outlineLevel="0" collapsed="false">
      <c r="A294" s="6" t="n">
        <v>293</v>
      </c>
      <c r="B294" s="7" t="s">
        <v>1745</v>
      </c>
      <c r="C294" s="6" t="str">
        <f aca="false">IF(U294&lt;&gt;"","Client",IF(D294&gt;=9,"A",IF(D294&gt;=7,"B","C")))</f>
        <v>C</v>
      </c>
      <c r="D294" s="6" t="n">
        <f aca="false">E294+F294+G294</f>
        <v>6</v>
      </c>
      <c r="E294" s="6" t="n">
        <v>2</v>
      </c>
      <c r="F294" s="6" t="n">
        <v>2</v>
      </c>
      <c r="G294" s="8" t="n">
        <v>2</v>
      </c>
      <c r="H294" s="6" t="s">
        <v>507</v>
      </c>
      <c r="I294" s="6" t="s">
        <v>287</v>
      </c>
      <c r="J294" s="2" t="s">
        <v>1746</v>
      </c>
      <c r="K294" s="2" t="s">
        <v>724</v>
      </c>
      <c r="L294" s="2" t="s">
        <v>102</v>
      </c>
      <c r="M294" s="2"/>
      <c r="N294" s="2" t="s">
        <v>247</v>
      </c>
      <c r="O294" s="2" t="s">
        <v>1719</v>
      </c>
      <c r="P294" s="2" t="s">
        <v>1720</v>
      </c>
      <c r="Q294" s="6" t="s">
        <v>97</v>
      </c>
      <c r="R294" s="6" t="s">
        <v>98</v>
      </c>
      <c r="S294" s="9" t="s">
        <v>108</v>
      </c>
      <c r="T294" s="6"/>
      <c r="U294" s="6"/>
      <c r="V294" s="10"/>
      <c r="W294" s="10" t="s">
        <v>88</v>
      </c>
      <c r="X294" s="10"/>
      <c r="Y294" s="10"/>
    </row>
    <row r="295" customFormat="false" ht="23.85" hidden="false" customHeight="false" outlineLevel="0" collapsed="false">
      <c r="A295" s="6" t="n">
        <v>294</v>
      </c>
      <c r="B295" s="7" t="s">
        <v>1747</v>
      </c>
      <c r="C295" s="6" t="str">
        <f aca="false">IF(U295&lt;&gt;"","Client",IF(D295&gt;=9,"A",IF(D295&gt;=7,"B","C")))</f>
        <v>C</v>
      </c>
      <c r="D295" s="6" t="n">
        <f aca="false">E295+F295+G295</f>
        <v>6</v>
      </c>
      <c r="E295" s="6" t="n">
        <v>2</v>
      </c>
      <c r="F295" s="6" t="n">
        <v>2</v>
      </c>
      <c r="G295" s="8" t="n">
        <v>2</v>
      </c>
      <c r="H295" s="6" t="s">
        <v>507</v>
      </c>
      <c r="I295" s="6" t="s">
        <v>287</v>
      </c>
      <c r="J295" s="2" t="s">
        <v>1745</v>
      </c>
      <c r="K295" s="2" t="s">
        <v>1748</v>
      </c>
      <c r="L295" s="2" t="s">
        <v>167</v>
      </c>
      <c r="M295" s="2"/>
      <c r="N295" s="2" t="s">
        <v>247</v>
      </c>
      <c r="O295" s="2" t="s">
        <v>1749</v>
      </c>
      <c r="P295" s="2" t="s">
        <v>1750</v>
      </c>
      <c r="Q295" s="6" t="s">
        <v>324</v>
      </c>
      <c r="R295" s="6" t="s">
        <v>85</v>
      </c>
      <c r="S295" s="9" t="s">
        <v>1751</v>
      </c>
      <c r="T295" s="6"/>
      <c r="U295" s="6"/>
      <c r="V295" s="10"/>
      <c r="W295" s="10" t="s">
        <v>88</v>
      </c>
      <c r="X295" s="10"/>
      <c r="Y295" s="10"/>
    </row>
    <row r="296" customFormat="false" ht="23.85" hidden="false" customHeight="false" outlineLevel="0" collapsed="false">
      <c r="A296" s="6" t="n">
        <v>295</v>
      </c>
      <c r="B296" s="7" t="s">
        <v>1752</v>
      </c>
      <c r="C296" s="6" t="str">
        <f aca="false">IF(U296&lt;&gt;"","Client",IF(D296&gt;=9,"A",IF(D296&gt;=7,"B","C")))</f>
        <v>C</v>
      </c>
      <c r="D296" s="6" t="n">
        <f aca="false">E296+F296+G296</f>
        <v>6</v>
      </c>
      <c r="E296" s="6" t="n">
        <v>2</v>
      </c>
      <c r="F296" s="6" t="n">
        <v>2</v>
      </c>
      <c r="G296" s="8" t="n">
        <v>2</v>
      </c>
      <c r="H296" s="6" t="s">
        <v>507</v>
      </c>
      <c r="I296" s="6" t="s">
        <v>287</v>
      </c>
      <c r="J296" s="2" t="s">
        <v>1753</v>
      </c>
      <c r="K296" s="2" t="s">
        <v>1754</v>
      </c>
      <c r="L296" s="2" t="s">
        <v>374</v>
      </c>
      <c r="M296" s="2"/>
      <c r="N296" s="2" t="s">
        <v>802</v>
      </c>
      <c r="O296" s="2" t="s">
        <v>1755</v>
      </c>
      <c r="P296" s="2" t="s">
        <v>1756</v>
      </c>
      <c r="Q296" s="6" t="s">
        <v>504</v>
      </c>
      <c r="R296" s="6" t="s">
        <v>85</v>
      </c>
      <c r="S296" s="9" t="s">
        <v>1757</v>
      </c>
      <c r="T296" s="6"/>
      <c r="U296" s="6"/>
      <c r="V296" s="10"/>
      <c r="W296" s="10" t="s">
        <v>88</v>
      </c>
      <c r="X296" s="10"/>
      <c r="Y296" s="10"/>
    </row>
    <row r="297" customFormat="false" ht="23.85" hidden="false" customHeight="false" outlineLevel="0" collapsed="false">
      <c r="A297" s="6" t="n">
        <v>296</v>
      </c>
      <c r="B297" s="7" t="s">
        <v>1758</v>
      </c>
      <c r="C297" s="6" t="str">
        <f aca="false">IF(U297&lt;&gt;"","Client",IF(D297&gt;=9,"A",IF(D297&gt;=7,"B","C")))</f>
        <v>C</v>
      </c>
      <c r="D297" s="6" t="n">
        <f aca="false">E297+F297+G297</f>
        <v>6</v>
      </c>
      <c r="E297" s="6" t="n">
        <v>2</v>
      </c>
      <c r="F297" s="6" t="n">
        <v>2</v>
      </c>
      <c r="G297" s="8" t="n">
        <v>2</v>
      </c>
      <c r="H297" s="6" t="s">
        <v>1127</v>
      </c>
      <c r="I297" s="6" t="s">
        <v>287</v>
      </c>
      <c r="J297" s="2" t="s">
        <v>1759</v>
      </c>
      <c r="K297" s="2" t="s">
        <v>1760</v>
      </c>
      <c r="L297" s="2" t="s">
        <v>102</v>
      </c>
      <c r="M297" s="2"/>
      <c r="N297" s="2" t="s">
        <v>247</v>
      </c>
      <c r="O297" s="2" t="s">
        <v>1761</v>
      </c>
      <c r="P297" s="2" t="s">
        <v>1762</v>
      </c>
      <c r="Q297" s="6" t="s">
        <v>383</v>
      </c>
      <c r="R297" s="6" t="s">
        <v>85</v>
      </c>
      <c r="S297" s="9" t="s">
        <v>1763</v>
      </c>
      <c r="T297" s="6"/>
      <c r="U297" s="6"/>
      <c r="V297" s="10"/>
      <c r="W297" s="10" t="s">
        <v>88</v>
      </c>
      <c r="X297" s="10"/>
      <c r="Y297" s="10"/>
    </row>
    <row r="298" customFormat="false" ht="23.85" hidden="false" customHeight="false" outlineLevel="0" collapsed="false">
      <c r="A298" s="6" t="n">
        <v>297</v>
      </c>
      <c r="B298" s="7" t="s">
        <v>1764</v>
      </c>
      <c r="C298" s="6" t="str">
        <f aca="false">IF(U298&lt;&gt;"","Client",IF(D298&gt;=9,"A",IF(D298&gt;=7,"B","C")))</f>
        <v>C</v>
      </c>
      <c r="D298" s="6" t="n">
        <f aca="false">E298+F298+G298</f>
        <v>6</v>
      </c>
      <c r="E298" s="6" t="n">
        <v>2</v>
      </c>
      <c r="F298" s="6" t="n">
        <v>2</v>
      </c>
      <c r="G298" s="8" t="n">
        <v>2</v>
      </c>
      <c r="H298" s="6" t="s">
        <v>1127</v>
      </c>
      <c r="I298" s="6" t="s">
        <v>287</v>
      </c>
      <c r="J298" s="2" t="s">
        <v>1765</v>
      </c>
      <c r="K298" s="2" t="s">
        <v>1766</v>
      </c>
      <c r="L298" s="2" t="s">
        <v>102</v>
      </c>
      <c r="M298" s="2"/>
      <c r="N298" s="2" t="s">
        <v>247</v>
      </c>
      <c r="O298" s="2" t="s">
        <v>1767</v>
      </c>
      <c r="P298" s="2" t="s">
        <v>1768</v>
      </c>
      <c r="Q298" s="6" t="s">
        <v>236</v>
      </c>
      <c r="R298" s="6" t="s">
        <v>85</v>
      </c>
      <c r="S298" s="9" t="s">
        <v>1769</v>
      </c>
      <c r="T298" s="6"/>
      <c r="U298" s="6"/>
      <c r="V298" s="10"/>
      <c r="W298" s="10" t="s">
        <v>88</v>
      </c>
      <c r="X298" s="10"/>
      <c r="Y298" s="10"/>
    </row>
    <row r="299" customFormat="false" ht="23.85" hidden="false" customHeight="false" outlineLevel="0" collapsed="false">
      <c r="A299" s="6" t="n">
        <v>298</v>
      </c>
      <c r="B299" s="7" t="s">
        <v>1770</v>
      </c>
      <c r="C299" s="6" t="str">
        <f aca="false">IF(U299&lt;&gt;"","Client",IF(D299&gt;=9,"A",IF(D299&gt;=7,"B","C")))</f>
        <v>C</v>
      </c>
      <c r="D299" s="6" t="n">
        <f aca="false">E299+F299+G299</f>
        <v>6</v>
      </c>
      <c r="E299" s="6" t="n">
        <v>2</v>
      </c>
      <c r="F299" s="6" t="n">
        <v>2</v>
      </c>
      <c r="G299" s="8" t="n">
        <v>2</v>
      </c>
      <c r="H299" s="6" t="s">
        <v>1127</v>
      </c>
      <c r="I299" s="6" t="s">
        <v>287</v>
      </c>
      <c r="J299" s="2" t="s">
        <v>1771</v>
      </c>
      <c r="K299" s="2" t="s">
        <v>1772</v>
      </c>
      <c r="L299" s="2" t="s">
        <v>102</v>
      </c>
      <c r="M299" s="2"/>
      <c r="N299" s="2" t="s">
        <v>247</v>
      </c>
      <c r="O299" s="2" t="s">
        <v>1222</v>
      </c>
      <c r="P299" s="2" t="s">
        <v>1773</v>
      </c>
      <c r="Q299" s="6" t="s">
        <v>1774</v>
      </c>
      <c r="R299" s="6" t="s">
        <v>106</v>
      </c>
      <c r="S299" s="9" t="s">
        <v>1775</v>
      </c>
      <c r="T299" s="6"/>
      <c r="U299" s="6"/>
      <c r="V299" s="10"/>
      <c r="W299" s="10" t="s">
        <v>88</v>
      </c>
      <c r="X299" s="10"/>
      <c r="Y299" s="10"/>
    </row>
    <row r="300" customFormat="false" ht="35.05" hidden="false" customHeight="false" outlineLevel="0" collapsed="false">
      <c r="A300" s="6" t="n">
        <v>299</v>
      </c>
      <c r="B300" s="7" t="s">
        <v>1776</v>
      </c>
      <c r="C300" s="6" t="str">
        <f aca="false">IF(U300&lt;&gt;"","Client",IF(D300&gt;=9,"A",IF(D300&gt;=7,"B","C")))</f>
        <v>C</v>
      </c>
      <c r="D300" s="6" t="n">
        <f aca="false">E300+F300+G300</f>
        <v>6</v>
      </c>
      <c r="E300" s="6" t="n">
        <v>2</v>
      </c>
      <c r="F300" s="6" t="n">
        <v>2</v>
      </c>
      <c r="G300" s="8" t="n">
        <v>2</v>
      </c>
      <c r="H300" s="6" t="s">
        <v>507</v>
      </c>
      <c r="I300" s="6" t="s">
        <v>287</v>
      </c>
      <c r="J300" s="2" t="s">
        <v>1777</v>
      </c>
      <c r="K300" s="2" t="s">
        <v>1778</v>
      </c>
      <c r="L300" s="2" t="s">
        <v>652</v>
      </c>
      <c r="M300" s="2"/>
      <c r="N300" s="2" t="s">
        <v>802</v>
      </c>
      <c r="O300" s="2" t="s">
        <v>1779</v>
      </c>
      <c r="P300" s="2" t="s">
        <v>1780</v>
      </c>
      <c r="Q300" s="6" t="s">
        <v>130</v>
      </c>
      <c r="R300" s="6" t="s">
        <v>85</v>
      </c>
      <c r="S300" s="9" t="s">
        <v>1781</v>
      </c>
      <c r="T300" s="6"/>
      <c r="U300" s="6"/>
      <c r="V300" s="10"/>
      <c r="W300" s="10" t="s">
        <v>88</v>
      </c>
      <c r="X300" s="10"/>
      <c r="Y300" s="10"/>
    </row>
    <row r="301" customFormat="false" ht="35.05" hidden="false" customHeight="false" outlineLevel="0" collapsed="false">
      <c r="A301" s="6" t="n">
        <v>300</v>
      </c>
      <c r="B301" s="7" t="s">
        <v>1782</v>
      </c>
      <c r="C301" s="6" t="str">
        <f aca="false">IF(U301&lt;&gt;"","Client",IF(D301&gt;=9,"A",IF(D301&gt;=7,"B","C")))</f>
        <v>C</v>
      </c>
      <c r="D301" s="6" t="n">
        <f aca="false">E301+F301+G301</f>
        <v>6</v>
      </c>
      <c r="E301" s="6" t="n">
        <v>2</v>
      </c>
      <c r="F301" s="6" t="n">
        <v>2</v>
      </c>
      <c r="G301" s="8" t="n">
        <v>2</v>
      </c>
      <c r="H301" s="6" t="s">
        <v>507</v>
      </c>
      <c r="I301" s="6" t="s">
        <v>287</v>
      </c>
      <c r="J301" s="2" t="s">
        <v>1783</v>
      </c>
      <c r="K301" s="2" t="s">
        <v>1784</v>
      </c>
      <c r="L301" s="2" t="s">
        <v>102</v>
      </c>
      <c r="M301" s="2"/>
      <c r="N301" s="2" t="s">
        <v>802</v>
      </c>
      <c r="O301" s="2" t="s">
        <v>1785</v>
      </c>
      <c r="P301" s="2" t="s">
        <v>1786</v>
      </c>
      <c r="Q301" s="6" t="s">
        <v>324</v>
      </c>
      <c r="R301" s="6" t="s">
        <v>106</v>
      </c>
      <c r="S301" s="9" t="s">
        <v>1787</v>
      </c>
      <c r="T301" s="9" t="s">
        <v>1788</v>
      </c>
      <c r="U301" s="6"/>
      <c r="V301" s="10"/>
      <c r="W301" s="10" t="s">
        <v>88</v>
      </c>
      <c r="X301" s="10"/>
      <c r="Y301" s="10"/>
    </row>
    <row r="302" customFormat="false" ht="15" hidden="false" customHeight="false" outlineLevel="0" collapsed="false">
      <c r="A302" s="6" t="n">
        <v>301</v>
      </c>
      <c r="B302" s="7" t="s">
        <v>1789</v>
      </c>
      <c r="C302" s="6" t="str">
        <f aca="false">IF(U302&lt;&gt;"","Client",IF(D302&gt;=9,"A",IF(D302&gt;=7,"B","C")))</f>
        <v>C</v>
      </c>
      <c r="D302" s="6" t="n">
        <f aca="false">E302+F302+G302</f>
        <v>6</v>
      </c>
      <c r="E302" s="6" t="n">
        <v>3</v>
      </c>
      <c r="F302" s="6" t="n">
        <v>2</v>
      </c>
      <c r="G302" s="8" t="n">
        <v>1</v>
      </c>
      <c r="H302" s="6" t="s">
        <v>626</v>
      </c>
      <c r="I302" s="6" t="s">
        <v>287</v>
      </c>
      <c r="J302" s="2" t="s">
        <v>1790</v>
      </c>
      <c r="K302" s="2" t="s">
        <v>92</v>
      </c>
      <c r="L302" s="2" t="s">
        <v>93</v>
      </c>
      <c r="M302" s="2"/>
      <c r="N302" s="2" t="s">
        <v>521</v>
      </c>
      <c r="O302" s="2"/>
      <c r="P302" s="2" t="s">
        <v>1791</v>
      </c>
      <c r="Q302" s="6" t="s">
        <v>97</v>
      </c>
      <c r="R302" s="6" t="s">
        <v>98</v>
      </c>
      <c r="S302" s="6"/>
      <c r="T302" s="6"/>
      <c r="U302" s="6"/>
      <c r="V302" s="10"/>
      <c r="W302" s="10" t="s">
        <v>88</v>
      </c>
      <c r="X302" s="10"/>
      <c r="Y302" s="10"/>
    </row>
    <row r="303" customFormat="false" ht="23.85" hidden="false" customHeight="false" outlineLevel="0" collapsed="false">
      <c r="A303" s="6" t="n">
        <v>302</v>
      </c>
      <c r="B303" s="7" t="s">
        <v>1792</v>
      </c>
      <c r="C303" s="6" t="str">
        <f aca="false">IF(U303&lt;&gt;"","Client",IF(D303&gt;=9,"A",IF(D303&gt;=7,"B","C")))</f>
        <v>C</v>
      </c>
      <c r="D303" s="6" t="n">
        <f aca="false">E303+F303+G303</f>
        <v>6</v>
      </c>
      <c r="E303" s="6" t="n">
        <v>3</v>
      </c>
      <c r="F303" s="6" t="n">
        <v>2</v>
      </c>
      <c r="G303" s="8" t="n">
        <v>1</v>
      </c>
      <c r="H303" s="6" t="s">
        <v>164</v>
      </c>
      <c r="I303" s="6" t="s">
        <v>287</v>
      </c>
      <c r="J303" s="2" t="s">
        <v>1792</v>
      </c>
      <c r="K303" s="2" t="s">
        <v>1031</v>
      </c>
      <c r="L303" s="2" t="s">
        <v>127</v>
      </c>
      <c r="M303" s="2"/>
      <c r="N303" s="2" t="s">
        <v>530</v>
      </c>
      <c r="O303" s="2" t="s">
        <v>1793</v>
      </c>
      <c r="P303" s="2" t="s">
        <v>1794</v>
      </c>
      <c r="Q303" s="6" t="s">
        <v>97</v>
      </c>
      <c r="R303" s="6" t="s">
        <v>106</v>
      </c>
      <c r="S303" s="9" t="s">
        <v>562</v>
      </c>
      <c r="T303" s="6"/>
      <c r="U303" s="6"/>
      <c r="V303" s="10"/>
      <c r="W303" s="10" t="s">
        <v>88</v>
      </c>
      <c r="X303" s="10"/>
      <c r="Y303" s="10"/>
    </row>
    <row r="304" customFormat="false" ht="35.05" hidden="false" customHeight="false" outlineLevel="0" collapsed="false">
      <c r="A304" s="6" t="n">
        <v>303</v>
      </c>
      <c r="B304" s="7" t="s">
        <v>1795</v>
      </c>
      <c r="C304" s="6" t="str">
        <f aca="false">IF(U304&lt;&gt;"","Client",IF(D304&gt;=9,"A",IF(D304&gt;=7,"B","C")))</f>
        <v>C</v>
      </c>
      <c r="D304" s="6" t="n">
        <f aca="false">E304+F304+G304</f>
        <v>6</v>
      </c>
      <c r="E304" s="6" t="n">
        <v>3</v>
      </c>
      <c r="F304" s="6" t="n">
        <v>2</v>
      </c>
      <c r="G304" s="8" t="n">
        <v>1</v>
      </c>
      <c r="H304" s="6" t="s">
        <v>153</v>
      </c>
      <c r="I304" s="6" t="s">
        <v>287</v>
      </c>
      <c r="J304" s="2" t="s">
        <v>1796</v>
      </c>
      <c r="K304" s="2" t="s">
        <v>1797</v>
      </c>
      <c r="L304" s="2" t="s">
        <v>112</v>
      </c>
      <c r="M304" s="2"/>
      <c r="N304" s="2" t="s">
        <v>601</v>
      </c>
      <c r="O304" s="2" t="s">
        <v>1798</v>
      </c>
      <c r="P304" s="2" t="s">
        <v>1799</v>
      </c>
      <c r="Q304" s="6" t="s">
        <v>84</v>
      </c>
      <c r="R304" s="6" t="s">
        <v>85</v>
      </c>
      <c r="S304" s="9" t="s">
        <v>1800</v>
      </c>
      <c r="T304" s="9" t="s">
        <v>1124</v>
      </c>
      <c r="U304" s="6"/>
      <c r="V304" s="10"/>
      <c r="W304" s="10" t="s">
        <v>88</v>
      </c>
      <c r="X304" s="10"/>
      <c r="Y304" s="10"/>
    </row>
    <row r="305" customFormat="false" ht="15" hidden="false" customHeight="false" outlineLevel="0" collapsed="false">
      <c r="A305" s="6" t="n">
        <v>304</v>
      </c>
      <c r="B305" s="7" t="s">
        <v>1801</v>
      </c>
      <c r="C305" s="6" t="str">
        <f aca="false">IF(U305&lt;&gt;"","Client",IF(D305&gt;=9,"A",IF(D305&gt;=7,"B","C")))</f>
        <v>C</v>
      </c>
      <c r="D305" s="6" t="n">
        <f aca="false">E305+F305+G305</f>
        <v>6</v>
      </c>
      <c r="E305" s="6" t="n">
        <v>3</v>
      </c>
      <c r="F305" s="6" t="n">
        <v>2</v>
      </c>
      <c r="G305" s="8" t="n">
        <v>1</v>
      </c>
      <c r="H305" s="6" t="s">
        <v>164</v>
      </c>
      <c r="I305" s="6" t="s">
        <v>287</v>
      </c>
      <c r="J305" s="2" t="s">
        <v>1802</v>
      </c>
      <c r="K305" s="2" t="s">
        <v>92</v>
      </c>
      <c r="L305" s="2" t="s">
        <v>93</v>
      </c>
      <c r="M305" s="2"/>
      <c r="N305" s="2" t="s">
        <v>521</v>
      </c>
      <c r="O305" s="2"/>
      <c r="P305" s="2" t="s">
        <v>1803</v>
      </c>
      <c r="Q305" s="6" t="s">
        <v>97</v>
      </c>
      <c r="R305" s="6" t="s">
        <v>98</v>
      </c>
      <c r="S305" s="6"/>
      <c r="T305" s="6"/>
      <c r="U305" s="6"/>
      <c r="V305" s="10"/>
      <c r="W305" s="10" t="s">
        <v>88</v>
      </c>
      <c r="X305" s="10"/>
      <c r="Y305" s="10"/>
    </row>
    <row r="306" customFormat="false" ht="23.85" hidden="false" customHeight="false" outlineLevel="0" collapsed="false">
      <c r="A306" s="6" t="n">
        <v>305</v>
      </c>
      <c r="B306" s="7" t="s">
        <v>1804</v>
      </c>
      <c r="C306" s="6" t="str">
        <f aca="false">IF(U306&lt;&gt;"","Client",IF(D306&gt;=9,"A",IF(D306&gt;=7,"B","C")))</f>
        <v>C</v>
      </c>
      <c r="D306" s="6" t="n">
        <f aca="false">E306+F306+G306</f>
        <v>6</v>
      </c>
      <c r="E306" s="6" t="n">
        <v>3</v>
      </c>
      <c r="F306" s="6" t="n">
        <v>2</v>
      </c>
      <c r="G306" s="8" t="n">
        <v>1</v>
      </c>
      <c r="H306" s="6" t="s">
        <v>626</v>
      </c>
      <c r="I306" s="6" t="s">
        <v>287</v>
      </c>
      <c r="J306" s="2" t="s">
        <v>1805</v>
      </c>
      <c r="K306" s="2" t="s">
        <v>92</v>
      </c>
      <c r="L306" s="2" t="s">
        <v>93</v>
      </c>
      <c r="M306" s="2"/>
      <c r="N306" s="2" t="s">
        <v>521</v>
      </c>
      <c r="O306" s="2" t="s">
        <v>1806</v>
      </c>
      <c r="P306" s="2" t="s">
        <v>1807</v>
      </c>
      <c r="Q306" s="6" t="s">
        <v>1636</v>
      </c>
      <c r="R306" s="6" t="s">
        <v>98</v>
      </c>
      <c r="S306" s="9" t="s">
        <v>1808</v>
      </c>
      <c r="T306" s="6"/>
      <c r="U306" s="6"/>
      <c r="V306" s="10"/>
      <c r="W306" s="10" t="s">
        <v>88</v>
      </c>
      <c r="X306" s="10"/>
      <c r="Y306" s="10"/>
    </row>
    <row r="307" customFormat="false" ht="15" hidden="false" customHeight="false" outlineLevel="0" collapsed="false">
      <c r="A307" s="6" t="n">
        <v>306</v>
      </c>
      <c r="B307" s="7" t="s">
        <v>1809</v>
      </c>
      <c r="C307" s="6" t="str">
        <f aca="false">IF(U307&lt;&gt;"","Client",IF(D307&gt;=9,"A",IF(D307&gt;=7,"B","C")))</f>
        <v>C</v>
      </c>
      <c r="D307" s="6" t="n">
        <f aca="false">E307+F307+G307</f>
        <v>6</v>
      </c>
      <c r="E307" s="6" t="n">
        <v>3</v>
      </c>
      <c r="F307" s="6" t="n">
        <v>2</v>
      </c>
      <c r="G307" s="8" t="n">
        <v>1</v>
      </c>
      <c r="H307" s="6" t="s">
        <v>182</v>
      </c>
      <c r="I307" s="6" t="s">
        <v>287</v>
      </c>
      <c r="J307" s="2" t="s">
        <v>429</v>
      </c>
      <c r="K307" s="2" t="s">
        <v>92</v>
      </c>
      <c r="L307" s="2" t="s">
        <v>93</v>
      </c>
      <c r="M307" s="2"/>
      <c r="N307" s="2" t="s">
        <v>521</v>
      </c>
      <c r="O307" s="2" t="s">
        <v>1810</v>
      </c>
      <c r="P307" s="2" t="s">
        <v>1811</v>
      </c>
      <c r="Q307" s="6" t="s">
        <v>97</v>
      </c>
      <c r="R307" s="6" t="s">
        <v>98</v>
      </c>
      <c r="S307" s="6"/>
      <c r="T307" s="6"/>
      <c r="U307" s="6"/>
      <c r="V307" s="10"/>
      <c r="W307" s="10" t="s">
        <v>88</v>
      </c>
      <c r="X307" s="10"/>
      <c r="Y307" s="10"/>
    </row>
    <row r="308" customFormat="false" ht="23.85" hidden="false" customHeight="false" outlineLevel="0" collapsed="false">
      <c r="A308" s="6" t="n">
        <v>307</v>
      </c>
      <c r="B308" s="7" t="s">
        <v>1812</v>
      </c>
      <c r="C308" s="6" t="str">
        <f aca="false">IF(U308&lt;&gt;"","Client",IF(D308&gt;=9,"A",IF(D308&gt;=7,"B","C")))</f>
        <v>C</v>
      </c>
      <c r="D308" s="6" t="n">
        <f aca="false">E308+F308+G308</f>
        <v>6</v>
      </c>
      <c r="E308" s="6" t="n">
        <v>3</v>
      </c>
      <c r="F308" s="6" t="n">
        <v>2</v>
      </c>
      <c r="G308" s="8" t="n">
        <v>1</v>
      </c>
      <c r="H308" s="6" t="s">
        <v>164</v>
      </c>
      <c r="I308" s="6" t="s">
        <v>287</v>
      </c>
      <c r="J308" s="2" t="s">
        <v>1813</v>
      </c>
      <c r="K308" s="2" t="s">
        <v>1814</v>
      </c>
      <c r="L308" s="2" t="s">
        <v>127</v>
      </c>
      <c r="M308" s="2"/>
      <c r="N308" s="2" t="s">
        <v>538</v>
      </c>
      <c r="O308" s="2" t="s">
        <v>1346</v>
      </c>
      <c r="P308" s="2" t="s">
        <v>1815</v>
      </c>
      <c r="Q308" s="6" t="s">
        <v>226</v>
      </c>
      <c r="R308" s="6" t="s">
        <v>85</v>
      </c>
      <c r="S308" s="9" t="s">
        <v>1816</v>
      </c>
      <c r="T308" s="6"/>
      <c r="U308" s="6"/>
      <c r="V308" s="10"/>
      <c r="W308" s="10" t="s">
        <v>88</v>
      </c>
      <c r="X308" s="10"/>
      <c r="Y308" s="10"/>
    </row>
    <row r="309" customFormat="false" ht="23.85" hidden="false" customHeight="false" outlineLevel="0" collapsed="false">
      <c r="A309" s="6" t="n">
        <v>308</v>
      </c>
      <c r="B309" s="7" t="s">
        <v>1817</v>
      </c>
      <c r="C309" s="6" t="str">
        <f aca="false">IF(U309&lt;&gt;"","Client",IF(D309&gt;=9,"A",IF(D309&gt;=7,"B","C")))</f>
        <v>C</v>
      </c>
      <c r="D309" s="6" t="n">
        <f aca="false">E309+F309+G309</f>
        <v>6</v>
      </c>
      <c r="E309" s="6" t="n">
        <v>3</v>
      </c>
      <c r="F309" s="6" t="n">
        <v>2</v>
      </c>
      <c r="G309" s="8" t="n">
        <v>1</v>
      </c>
      <c r="H309" s="6" t="s">
        <v>164</v>
      </c>
      <c r="I309" s="6" t="s">
        <v>287</v>
      </c>
      <c r="J309" s="2" t="s">
        <v>893</v>
      </c>
      <c r="K309" s="2" t="s">
        <v>92</v>
      </c>
      <c r="L309" s="2" t="s">
        <v>93</v>
      </c>
      <c r="M309" s="2"/>
      <c r="N309" s="2" t="s">
        <v>521</v>
      </c>
      <c r="O309" s="2" t="s">
        <v>1818</v>
      </c>
      <c r="P309" s="2" t="s">
        <v>1819</v>
      </c>
      <c r="Q309" s="6" t="s">
        <v>150</v>
      </c>
      <c r="R309" s="6" t="s">
        <v>98</v>
      </c>
      <c r="S309" s="9" t="s">
        <v>896</v>
      </c>
      <c r="T309" s="6"/>
      <c r="U309" s="6"/>
      <c r="V309" s="10"/>
      <c r="W309" s="10" t="s">
        <v>88</v>
      </c>
      <c r="X309" s="10"/>
      <c r="Y309" s="10"/>
    </row>
    <row r="310" customFormat="false" ht="15" hidden="false" customHeight="false" outlineLevel="0" collapsed="false">
      <c r="A310" s="6" t="n">
        <v>309</v>
      </c>
      <c r="B310" s="7" t="s">
        <v>1820</v>
      </c>
      <c r="C310" s="6" t="str">
        <f aca="false">IF(U310&lt;&gt;"","Client",IF(D310&gt;=9,"A",IF(D310&gt;=7,"B","C")))</f>
        <v>C</v>
      </c>
      <c r="D310" s="6" t="n">
        <f aca="false">E310+F310+G310</f>
        <v>6</v>
      </c>
      <c r="E310" s="6" t="n">
        <v>3</v>
      </c>
      <c r="F310" s="6" t="n">
        <v>2</v>
      </c>
      <c r="G310" s="8" t="n">
        <v>1</v>
      </c>
      <c r="H310" s="6" t="s">
        <v>164</v>
      </c>
      <c r="I310" s="6" t="s">
        <v>287</v>
      </c>
      <c r="J310" s="2" t="s">
        <v>1821</v>
      </c>
      <c r="K310" s="2" t="s">
        <v>92</v>
      </c>
      <c r="L310" s="2" t="s">
        <v>93</v>
      </c>
      <c r="M310" s="2"/>
      <c r="N310" s="2" t="s">
        <v>521</v>
      </c>
      <c r="O310" s="2"/>
      <c r="P310" s="2" t="s">
        <v>1822</v>
      </c>
      <c r="Q310" s="6" t="s">
        <v>97</v>
      </c>
      <c r="R310" s="6" t="s">
        <v>98</v>
      </c>
      <c r="S310" s="6"/>
      <c r="T310" s="6"/>
      <c r="U310" s="6"/>
      <c r="V310" s="10"/>
      <c r="W310" s="10" t="s">
        <v>88</v>
      </c>
      <c r="X310" s="10"/>
      <c r="Y310" s="10"/>
    </row>
    <row r="311" customFormat="false" ht="23.85" hidden="false" customHeight="false" outlineLevel="0" collapsed="false">
      <c r="A311" s="6" t="n">
        <v>310</v>
      </c>
      <c r="B311" s="7" t="s">
        <v>1823</v>
      </c>
      <c r="C311" s="6" t="str">
        <f aca="false">IF(U311&lt;&gt;"","Client",IF(D311&gt;=9,"A",IF(D311&gt;=7,"B","C")))</f>
        <v>C</v>
      </c>
      <c r="D311" s="6" t="n">
        <f aca="false">E311+F311+G311</f>
        <v>6</v>
      </c>
      <c r="E311" s="6" t="n">
        <v>3</v>
      </c>
      <c r="F311" s="6" t="n">
        <v>2</v>
      </c>
      <c r="G311" s="8" t="n">
        <v>1</v>
      </c>
      <c r="H311" s="6" t="s">
        <v>153</v>
      </c>
      <c r="I311" s="6" t="s">
        <v>287</v>
      </c>
      <c r="J311" s="2" t="s">
        <v>1824</v>
      </c>
      <c r="K311" s="2" t="s">
        <v>92</v>
      </c>
      <c r="L311" s="2" t="s">
        <v>93</v>
      </c>
      <c r="M311" s="2"/>
      <c r="N311" s="2" t="s">
        <v>521</v>
      </c>
      <c r="O311" s="2" t="s">
        <v>1825</v>
      </c>
      <c r="P311" s="2" t="s">
        <v>1826</v>
      </c>
      <c r="Q311" s="6" t="s">
        <v>160</v>
      </c>
      <c r="R311" s="6" t="s">
        <v>85</v>
      </c>
      <c r="S311" s="9" t="s">
        <v>1827</v>
      </c>
      <c r="T311" s="6"/>
      <c r="U311" s="6"/>
      <c r="V311" s="10"/>
      <c r="W311" s="10" t="s">
        <v>88</v>
      </c>
      <c r="X311" s="10"/>
      <c r="Y311" s="10"/>
    </row>
    <row r="312" customFormat="false" ht="15" hidden="false" customHeight="false" outlineLevel="0" collapsed="false">
      <c r="A312" s="6" t="n">
        <v>311</v>
      </c>
      <c r="B312" s="7" t="s">
        <v>1828</v>
      </c>
      <c r="C312" s="6" t="str">
        <f aca="false">IF(U312&lt;&gt;"","Client",IF(D312&gt;=9,"A",IF(D312&gt;=7,"B","C")))</f>
        <v>C</v>
      </c>
      <c r="D312" s="6" t="n">
        <f aca="false">E312+F312+G312</f>
        <v>6</v>
      </c>
      <c r="E312" s="6" t="n">
        <v>3</v>
      </c>
      <c r="F312" s="6" t="n">
        <v>2</v>
      </c>
      <c r="G312" s="8" t="n">
        <v>1</v>
      </c>
      <c r="H312" s="6" t="s">
        <v>626</v>
      </c>
      <c r="I312" s="6" t="s">
        <v>287</v>
      </c>
      <c r="J312" s="2" t="s">
        <v>1829</v>
      </c>
      <c r="K312" s="2" t="s">
        <v>92</v>
      </c>
      <c r="L312" s="2" t="s">
        <v>93</v>
      </c>
      <c r="M312" s="2"/>
      <c r="N312" s="2" t="s">
        <v>521</v>
      </c>
      <c r="O312" s="2" t="s">
        <v>1830</v>
      </c>
      <c r="P312" s="2" t="s">
        <v>1831</v>
      </c>
      <c r="Q312" s="6" t="s">
        <v>97</v>
      </c>
      <c r="R312" s="6" t="s">
        <v>98</v>
      </c>
      <c r="S312" s="6"/>
      <c r="T312" s="6"/>
      <c r="U312" s="6"/>
      <c r="V312" s="10"/>
      <c r="W312" s="10" t="s">
        <v>88</v>
      </c>
      <c r="X312" s="10"/>
      <c r="Y312" s="10"/>
    </row>
    <row r="313" customFormat="false" ht="15" hidden="false" customHeight="false" outlineLevel="0" collapsed="false">
      <c r="A313" s="6" t="n">
        <v>312</v>
      </c>
      <c r="B313" s="7" t="s">
        <v>1832</v>
      </c>
      <c r="C313" s="6" t="str">
        <f aca="false">IF(U313&lt;&gt;"","Client",IF(D313&gt;=9,"A",IF(D313&gt;=7,"B","C")))</f>
        <v>C</v>
      </c>
      <c r="D313" s="6" t="n">
        <f aca="false">E313+F313+G313</f>
        <v>6</v>
      </c>
      <c r="E313" s="6" t="n">
        <v>3</v>
      </c>
      <c r="F313" s="6" t="n">
        <v>2</v>
      </c>
      <c r="G313" s="8" t="n">
        <v>1</v>
      </c>
      <c r="H313" s="6" t="s">
        <v>182</v>
      </c>
      <c r="I313" s="6" t="s">
        <v>287</v>
      </c>
      <c r="J313" s="2" t="s">
        <v>1833</v>
      </c>
      <c r="K313" s="2" t="s">
        <v>92</v>
      </c>
      <c r="L313" s="2" t="s">
        <v>93</v>
      </c>
      <c r="M313" s="2"/>
      <c r="N313" s="2" t="s">
        <v>521</v>
      </c>
      <c r="O313" s="2" t="s">
        <v>1834</v>
      </c>
      <c r="P313" s="2" t="s">
        <v>1835</v>
      </c>
      <c r="Q313" s="6" t="s">
        <v>97</v>
      </c>
      <c r="R313" s="6" t="s">
        <v>98</v>
      </c>
      <c r="S313" s="6"/>
      <c r="T313" s="6"/>
      <c r="U313" s="6"/>
      <c r="V313" s="10"/>
      <c r="W313" s="10" t="s">
        <v>88</v>
      </c>
      <c r="X313" s="10"/>
      <c r="Y313" s="10"/>
    </row>
    <row r="314" customFormat="false" ht="23.85" hidden="false" customHeight="false" outlineLevel="0" collapsed="false">
      <c r="A314" s="6" t="n">
        <v>313</v>
      </c>
      <c r="B314" s="7" t="s">
        <v>1836</v>
      </c>
      <c r="C314" s="6" t="str">
        <f aca="false">IF(U314&lt;&gt;"","Client",IF(D314&gt;=9,"A",IF(D314&gt;=7,"B","C")))</f>
        <v>C</v>
      </c>
      <c r="D314" s="6" t="n">
        <f aca="false">E314+F314+G314</f>
        <v>6</v>
      </c>
      <c r="E314" s="6" t="n">
        <v>3</v>
      </c>
      <c r="F314" s="6" t="n">
        <v>2</v>
      </c>
      <c r="G314" s="8" t="n">
        <v>1</v>
      </c>
      <c r="H314" s="6" t="s">
        <v>164</v>
      </c>
      <c r="I314" s="6" t="s">
        <v>287</v>
      </c>
      <c r="J314" s="2" t="s">
        <v>1836</v>
      </c>
      <c r="K314" s="2" t="s">
        <v>1837</v>
      </c>
      <c r="L314" s="2" t="s">
        <v>167</v>
      </c>
      <c r="M314" s="2"/>
      <c r="N314" s="2" t="s">
        <v>538</v>
      </c>
      <c r="O314" s="2" t="s">
        <v>1838</v>
      </c>
      <c r="P314" s="2" t="s">
        <v>1839</v>
      </c>
      <c r="Q314" s="6" t="s">
        <v>1431</v>
      </c>
      <c r="R314" s="6" t="s">
        <v>85</v>
      </c>
      <c r="S314" s="9" t="s">
        <v>1840</v>
      </c>
      <c r="T314" s="6"/>
      <c r="U314" s="6"/>
      <c r="V314" s="10"/>
      <c r="W314" s="10" t="s">
        <v>88</v>
      </c>
      <c r="X314" s="10"/>
      <c r="Y314" s="10"/>
    </row>
    <row r="315" customFormat="false" ht="23.85" hidden="false" customHeight="false" outlineLevel="0" collapsed="false">
      <c r="A315" s="6" t="n">
        <v>314</v>
      </c>
      <c r="B315" s="7" t="s">
        <v>1841</v>
      </c>
      <c r="C315" s="6" t="str">
        <f aca="false">IF(U315&lt;&gt;"","Client",IF(D315&gt;=9,"A",IF(D315&gt;=7,"B","C")))</f>
        <v>C</v>
      </c>
      <c r="D315" s="6" t="n">
        <f aca="false">E315+F315+G315</f>
        <v>6</v>
      </c>
      <c r="E315" s="6" t="n">
        <v>3</v>
      </c>
      <c r="F315" s="6" t="n">
        <v>2</v>
      </c>
      <c r="G315" s="8" t="n">
        <v>1</v>
      </c>
      <c r="H315" s="6" t="s">
        <v>182</v>
      </c>
      <c r="I315" s="6" t="s">
        <v>287</v>
      </c>
      <c r="J315" s="2" t="s">
        <v>429</v>
      </c>
      <c r="K315" s="2" t="s">
        <v>92</v>
      </c>
      <c r="L315" s="2" t="s">
        <v>93</v>
      </c>
      <c r="M315" s="2"/>
      <c r="N315" s="2" t="s">
        <v>521</v>
      </c>
      <c r="O315" s="2" t="s">
        <v>1842</v>
      </c>
      <c r="P315" s="2" t="s">
        <v>1843</v>
      </c>
      <c r="Q315" s="6" t="s">
        <v>967</v>
      </c>
      <c r="R315" s="6" t="s">
        <v>98</v>
      </c>
      <c r="S315" s="9" t="s">
        <v>1844</v>
      </c>
      <c r="T315" s="6"/>
      <c r="U315" s="6"/>
      <c r="V315" s="10"/>
      <c r="W315" s="10" t="s">
        <v>88</v>
      </c>
      <c r="X315" s="10"/>
      <c r="Y315" s="10"/>
    </row>
    <row r="316" customFormat="false" ht="23.85" hidden="false" customHeight="false" outlineLevel="0" collapsed="false">
      <c r="A316" s="6" t="n">
        <v>315</v>
      </c>
      <c r="B316" s="7" t="s">
        <v>1845</v>
      </c>
      <c r="C316" s="6" t="str">
        <f aca="false">IF(U316&lt;&gt;"","Client",IF(D316&gt;=9,"A",IF(D316&gt;=7,"B","C")))</f>
        <v>C</v>
      </c>
      <c r="D316" s="6" t="n">
        <f aca="false">E316+F316+G316</f>
        <v>6</v>
      </c>
      <c r="E316" s="6" t="n">
        <v>3</v>
      </c>
      <c r="F316" s="6" t="n">
        <v>2</v>
      </c>
      <c r="G316" s="8" t="n">
        <v>1</v>
      </c>
      <c r="H316" s="6" t="s">
        <v>153</v>
      </c>
      <c r="I316" s="6" t="s">
        <v>287</v>
      </c>
      <c r="J316" s="2" t="s">
        <v>701</v>
      </c>
      <c r="K316" s="2" t="s">
        <v>1229</v>
      </c>
      <c r="L316" s="2" t="s">
        <v>102</v>
      </c>
      <c r="M316" s="2"/>
      <c r="N316" s="2" t="s">
        <v>538</v>
      </c>
      <c r="O316" s="2" t="s">
        <v>1846</v>
      </c>
      <c r="P316" s="2" t="s">
        <v>1847</v>
      </c>
      <c r="Q316" s="6" t="s">
        <v>97</v>
      </c>
      <c r="R316" s="6" t="s">
        <v>106</v>
      </c>
      <c r="S316" s="9" t="s">
        <v>1848</v>
      </c>
      <c r="T316" s="6"/>
      <c r="U316" s="6"/>
      <c r="V316" s="10"/>
      <c r="W316" s="10" t="s">
        <v>88</v>
      </c>
      <c r="X316" s="10"/>
      <c r="Y316" s="10"/>
    </row>
    <row r="317" customFormat="false" ht="23.85" hidden="false" customHeight="false" outlineLevel="0" collapsed="false">
      <c r="A317" s="6" t="n">
        <v>316</v>
      </c>
      <c r="B317" s="7" t="s">
        <v>1849</v>
      </c>
      <c r="C317" s="6" t="str">
        <f aca="false">IF(U317&lt;&gt;"","Client",IF(D317&gt;=9,"A",IF(D317&gt;=7,"B","C")))</f>
        <v>C</v>
      </c>
      <c r="D317" s="6" t="n">
        <f aca="false">E317+F317+G317</f>
        <v>6</v>
      </c>
      <c r="E317" s="6" t="n">
        <v>3</v>
      </c>
      <c r="F317" s="6" t="n">
        <v>2</v>
      </c>
      <c r="G317" s="8" t="n">
        <v>1</v>
      </c>
      <c r="H317" s="6" t="s">
        <v>164</v>
      </c>
      <c r="I317" s="6" t="s">
        <v>287</v>
      </c>
      <c r="J317" s="2" t="s">
        <v>514</v>
      </c>
      <c r="K317" s="2" t="s">
        <v>1850</v>
      </c>
      <c r="L317" s="2" t="s">
        <v>206</v>
      </c>
      <c r="M317" s="2"/>
      <c r="N317" s="2" t="s">
        <v>530</v>
      </c>
      <c r="O317" s="2" t="s">
        <v>1851</v>
      </c>
      <c r="P317" s="2" t="s">
        <v>1852</v>
      </c>
      <c r="Q317" s="6" t="s">
        <v>1853</v>
      </c>
      <c r="R317" s="6" t="s">
        <v>106</v>
      </c>
      <c r="S317" s="9" t="s">
        <v>1854</v>
      </c>
      <c r="T317" s="6"/>
      <c r="U317" s="6"/>
      <c r="V317" s="10"/>
      <c r="W317" s="10" t="s">
        <v>88</v>
      </c>
      <c r="X317" s="10"/>
      <c r="Y317" s="10"/>
    </row>
    <row r="318" customFormat="false" ht="15" hidden="false" customHeight="false" outlineLevel="0" collapsed="false">
      <c r="A318" s="6" t="n">
        <v>317</v>
      </c>
      <c r="B318" s="7" t="s">
        <v>1855</v>
      </c>
      <c r="C318" s="6" t="str">
        <f aca="false">IF(U318&lt;&gt;"","Client",IF(D318&gt;=9,"A",IF(D318&gt;=7,"B","C")))</f>
        <v>C</v>
      </c>
      <c r="D318" s="6" t="n">
        <f aca="false">E318+F318+G318</f>
        <v>6</v>
      </c>
      <c r="E318" s="6" t="n">
        <v>3</v>
      </c>
      <c r="F318" s="6" t="n">
        <v>2</v>
      </c>
      <c r="G318" s="8" t="n">
        <v>1</v>
      </c>
      <c r="H318" s="6" t="s">
        <v>153</v>
      </c>
      <c r="I318" s="6" t="s">
        <v>287</v>
      </c>
      <c r="J318" s="2" t="s">
        <v>1856</v>
      </c>
      <c r="K318" s="2" t="s">
        <v>1857</v>
      </c>
      <c r="L318" s="2" t="s">
        <v>374</v>
      </c>
      <c r="M318" s="2"/>
      <c r="N318" s="2" t="s">
        <v>530</v>
      </c>
      <c r="O318" s="2" t="s">
        <v>1858</v>
      </c>
      <c r="P318" s="2" t="s">
        <v>1859</v>
      </c>
      <c r="Q318" s="6" t="s">
        <v>411</v>
      </c>
      <c r="R318" s="6" t="s">
        <v>85</v>
      </c>
      <c r="S318" s="9" t="s">
        <v>1860</v>
      </c>
      <c r="T318" s="6"/>
      <c r="U318" s="6"/>
      <c r="V318" s="10"/>
      <c r="W318" s="10" t="s">
        <v>88</v>
      </c>
      <c r="X318" s="10"/>
      <c r="Y318" s="10"/>
    </row>
    <row r="319" customFormat="false" ht="15" hidden="false" customHeight="false" outlineLevel="0" collapsed="false">
      <c r="A319" s="6" t="n">
        <v>318</v>
      </c>
      <c r="B319" s="7" t="s">
        <v>1861</v>
      </c>
      <c r="C319" s="6" t="str">
        <f aca="false">IF(U319&lt;&gt;"","Client",IF(D319&gt;=9,"A",IF(D319&gt;=7,"B","C")))</f>
        <v>C</v>
      </c>
      <c r="D319" s="6" t="n">
        <f aca="false">E319+F319+G319</f>
        <v>6</v>
      </c>
      <c r="E319" s="6" t="n">
        <v>3</v>
      </c>
      <c r="F319" s="6" t="n">
        <v>2</v>
      </c>
      <c r="G319" s="8" t="n">
        <v>1</v>
      </c>
      <c r="H319" s="6" t="s">
        <v>182</v>
      </c>
      <c r="I319" s="6" t="s">
        <v>287</v>
      </c>
      <c r="J319" s="2" t="s">
        <v>1861</v>
      </c>
      <c r="K319" s="2" t="s">
        <v>92</v>
      </c>
      <c r="L319" s="2" t="s">
        <v>93</v>
      </c>
      <c r="M319" s="2"/>
      <c r="N319" s="2" t="s">
        <v>521</v>
      </c>
      <c r="O319" s="2" t="s">
        <v>1862</v>
      </c>
      <c r="P319" s="2" t="s">
        <v>1863</v>
      </c>
      <c r="Q319" s="6" t="s">
        <v>97</v>
      </c>
      <c r="R319" s="6" t="s">
        <v>98</v>
      </c>
      <c r="S319" s="6"/>
      <c r="T319" s="6"/>
      <c r="U319" s="6"/>
      <c r="V319" s="10"/>
      <c r="W319" s="10" t="s">
        <v>88</v>
      </c>
      <c r="X319" s="10"/>
      <c r="Y319" s="10"/>
    </row>
    <row r="320" customFormat="false" ht="23.85" hidden="false" customHeight="false" outlineLevel="0" collapsed="false">
      <c r="A320" s="6" t="n">
        <v>319</v>
      </c>
      <c r="B320" s="7" t="s">
        <v>1864</v>
      </c>
      <c r="C320" s="6" t="str">
        <f aca="false">IF(U320&lt;&gt;"","Client",IF(D320&gt;=9,"A",IF(D320&gt;=7,"B","C")))</f>
        <v>C</v>
      </c>
      <c r="D320" s="6" t="n">
        <f aca="false">E320+F320+G320</f>
        <v>6</v>
      </c>
      <c r="E320" s="6" t="n">
        <v>3</v>
      </c>
      <c r="F320" s="6" t="n">
        <v>2</v>
      </c>
      <c r="G320" s="8" t="n">
        <v>1</v>
      </c>
      <c r="H320" s="6" t="s">
        <v>626</v>
      </c>
      <c r="I320" s="6" t="s">
        <v>287</v>
      </c>
      <c r="J320" s="2" t="s">
        <v>1865</v>
      </c>
      <c r="K320" s="2" t="s">
        <v>92</v>
      </c>
      <c r="L320" s="2" t="s">
        <v>93</v>
      </c>
      <c r="M320" s="2"/>
      <c r="N320" s="2" t="s">
        <v>521</v>
      </c>
      <c r="O320" s="2" t="s">
        <v>1866</v>
      </c>
      <c r="P320" s="2" t="s">
        <v>1867</v>
      </c>
      <c r="Q320" s="6" t="s">
        <v>461</v>
      </c>
      <c r="R320" s="6" t="s">
        <v>98</v>
      </c>
      <c r="S320" s="9" t="s">
        <v>1868</v>
      </c>
      <c r="T320" s="6"/>
      <c r="U320" s="6"/>
      <c r="V320" s="10"/>
      <c r="W320" s="10" t="s">
        <v>88</v>
      </c>
      <c r="X320" s="10"/>
      <c r="Y320" s="10"/>
    </row>
    <row r="321" customFormat="false" ht="23.85" hidden="false" customHeight="false" outlineLevel="0" collapsed="false">
      <c r="A321" s="6" t="n">
        <v>320</v>
      </c>
      <c r="B321" s="7" t="s">
        <v>1869</v>
      </c>
      <c r="C321" s="6" t="str">
        <f aca="false">IF(U321&lt;&gt;"","Client",IF(D321&gt;=9,"A",IF(D321&gt;=7,"B","C")))</f>
        <v>C</v>
      </c>
      <c r="D321" s="6" t="n">
        <f aca="false">E321+F321+G321</f>
        <v>6</v>
      </c>
      <c r="E321" s="6" t="n">
        <v>3</v>
      </c>
      <c r="F321" s="6" t="n">
        <v>2</v>
      </c>
      <c r="G321" s="8" t="n">
        <v>1</v>
      </c>
      <c r="H321" s="6" t="s">
        <v>182</v>
      </c>
      <c r="I321" s="6" t="s">
        <v>287</v>
      </c>
      <c r="J321" s="2" t="s">
        <v>1870</v>
      </c>
      <c r="K321" s="2" t="s">
        <v>1871</v>
      </c>
      <c r="L321" s="2" t="s">
        <v>127</v>
      </c>
      <c r="M321" s="2"/>
      <c r="N321" s="2" t="s">
        <v>1328</v>
      </c>
      <c r="O321" s="2" t="s">
        <v>1872</v>
      </c>
      <c r="P321" s="2" t="s">
        <v>1873</v>
      </c>
      <c r="Q321" s="6" t="s">
        <v>1874</v>
      </c>
      <c r="R321" s="6" t="s">
        <v>106</v>
      </c>
      <c r="S321" s="9" t="s">
        <v>1875</v>
      </c>
      <c r="T321" s="6"/>
      <c r="U321" s="6"/>
      <c r="V321" s="10"/>
      <c r="W321" s="10" t="s">
        <v>88</v>
      </c>
      <c r="X321" s="10"/>
      <c r="Y321" s="10"/>
    </row>
    <row r="322" customFormat="false" ht="23.85" hidden="false" customHeight="false" outlineLevel="0" collapsed="false">
      <c r="A322" s="6" t="n">
        <v>321</v>
      </c>
      <c r="B322" s="7" t="s">
        <v>1876</v>
      </c>
      <c r="C322" s="6" t="str">
        <f aca="false">IF(U322&lt;&gt;"","Client",IF(D322&gt;=9,"A",IF(D322&gt;=7,"B","C")))</f>
        <v>C</v>
      </c>
      <c r="D322" s="6" t="n">
        <f aca="false">E322+F322+G322</f>
        <v>6</v>
      </c>
      <c r="E322" s="6" t="n">
        <v>3</v>
      </c>
      <c r="F322" s="6" t="n">
        <v>2</v>
      </c>
      <c r="G322" s="8" t="n">
        <v>1</v>
      </c>
      <c r="H322" s="6" t="s">
        <v>182</v>
      </c>
      <c r="I322" s="6" t="s">
        <v>287</v>
      </c>
      <c r="J322" s="2" t="s">
        <v>1877</v>
      </c>
      <c r="K322" s="2" t="s">
        <v>1878</v>
      </c>
      <c r="L322" s="2" t="s">
        <v>600</v>
      </c>
      <c r="M322" s="2"/>
      <c r="N322" s="2" t="s">
        <v>1275</v>
      </c>
      <c r="O322" s="2" t="s">
        <v>1879</v>
      </c>
      <c r="P322" s="2" t="s">
        <v>1880</v>
      </c>
      <c r="Q322" s="6" t="s">
        <v>256</v>
      </c>
      <c r="R322" s="6" t="s">
        <v>85</v>
      </c>
      <c r="S322" s="9" t="s">
        <v>1881</v>
      </c>
      <c r="T322" s="9" t="s">
        <v>1882</v>
      </c>
      <c r="U322" s="6"/>
      <c r="V322" s="10"/>
      <c r="W322" s="10" t="s">
        <v>88</v>
      </c>
      <c r="X322" s="10"/>
      <c r="Y322" s="10"/>
    </row>
    <row r="323" customFormat="false" ht="15" hidden="false" customHeight="false" outlineLevel="0" collapsed="false">
      <c r="A323" s="6" t="n">
        <v>322</v>
      </c>
      <c r="B323" s="7" t="s">
        <v>1883</v>
      </c>
      <c r="C323" s="6" t="str">
        <f aca="false">IF(U323&lt;&gt;"","Client",IF(D323&gt;=9,"A",IF(D323&gt;=7,"B","C")))</f>
        <v>C</v>
      </c>
      <c r="D323" s="6" t="n">
        <f aca="false">E323+F323+G323</f>
        <v>6</v>
      </c>
      <c r="E323" s="6" t="n">
        <v>3</v>
      </c>
      <c r="F323" s="6" t="n">
        <v>2</v>
      </c>
      <c r="G323" s="8" t="n">
        <v>1</v>
      </c>
      <c r="H323" s="6" t="s">
        <v>164</v>
      </c>
      <c r="I323" s="6" t="s">
        <v>287</v>
      </c>
      <c r="J323" s="2" t="s">
        <v>1884</v>
      </c>
      <c r="K323" s="2" t="s">
        <v>92</v>
      </c>
      <c r="L323" s="2" t="s">
        <v>93</v>
      </c>
      <c r="M323" s="2"/>
      <c r="N323" s="2" t="s">
        <v>521</v>
      </c>
      <c r="O323" s="2" t="s">
        <v>1885</v>
      </c>
      <c r="P323" s="2" t="s">
        <v>1886</v>
      </c>
      <c r="Q323" s="6" t="s">
        <v>97</v>
      </c>
      <c r="R323" s="6" t="s">
        <v>98</v>
      </c>
      <c r="S323" s="6"/>
      <c r="T323" s="6"/>
      <c r="U323" s="6"/>
      <c r="V323" s="10"/>
      <c r="W323" s="10" t="s">
        <v>88</v>
      </c>
      <c r="X323" s="10"/>
      <c r="Y323" s="10"/>
    </row>
    <row r="324" customFormat="false" ht="23.85" hidden="false" customHeight="false" outlineLevel="0" collapsed="false">
      <c r="A324" s="6" t="n">
        <v>323</v>
      </c>
      <c r="B324" s="7" t="s">
        <v>1887</v>
      </c>
      <c r="C324" s="6" t="str">
        <f aca="false">IF(U324&lt;&gt;"","Client",IF(D324&gt;=9,"A",IF(D324&gt;=7,"B","C")))</f>
        <v>C</v>
      </c>
      <c r="D324" s="6" t="n">
        <f aca="false">E324+F324+G324</f>
        <v>6</v>
      </c>
      <c r="E324" s="6" t="n">
        <v>3</v>
      </c>
      <c r="F324" s="6" t="n">
        <v>2</v>
      </c>
      <c r="G324" s="8" t="n">
        <v>1</v>
      </c>
      <c r="H324" s="6" t="s">
        <v>164</v>
      </c>
      <c r="I324" s="6" t="s">
        <v>287</v>
      </c>
      <c r="J324" s="2" t="s">
        <v>1888</v>
      </c>
      <c r="K324" s="2" t="s">
        <v>92</v>
      </c>
      <c r="L324" s="2" t="s">
        <v>93</v>
      </c>
      <c r="M324" s="2"/>
      <c r="N324" s="2" t="s">
        <v>521</v>
      </c>
      <c r="O324" s="2" t="s">
        <v>1889</v>
      </c>
      <c r="P324" s="2" t="s">
        <v>1890</v>
      </c>
      <c r="Q324" s="6" t="s">
        <v>160</v>
      </c>
      <c r="R324" s="6" t="s">
        <v>98</v>
      </c>
      <c r="S324" s="9" t="s">
        <v>1891</v>
      </c>
      <c r="T324" s="6"/>
      <c r="U324" s="6"/>
      <c r="V324" s="10"/>
      <c r="W324" s="10" t="s">
        <v>88</v>
      </c>
      <c r="X324" s="10"/>
      <c r="Y324" s="10"/>
    </row>
    <row r="325" customFormat="false" ht="23.85" hidden="false" customHeight="false" outlineLevel="0" collapsed="false">
      <c r="A325" s="6" t="n">
        <v>324</v>
      </c>
      <c r="B325" s="7" t="s">
        <v>1892</v>
      </c>
      <c r="C325" s="6" t="str">
        <f aca="false">IF(U325&lt;&gt;"","Client",IF(D325&gt;=9,"A",IF(D325&gt;=7,"B","C")))</f>
        <v>C</v>
      </c>
      <c r="D325" s="6" t="n">
        <f aca="false">E325+F325+G325</f>
        <v>6</v>
      </c>
      <c r="E325" s="6" t="n">
        <v>3</v>
      </c>
      <c r="F325" s="6" t="n">
        <v>2</v>
      </c>
      <c r="G325" s="8" t="n">
        <v>1</v>
      </c>
      <c r="H325" s="6" t="s">
        <v>182</v>
      </c>
      <c r="I325" s="6" t="s">
        <v>287</v>
      </c>
      <c r="J325" s="2" t="s">
        <v>1893</v>
      </c>
      <c r="K325" s="2" t="s">
        <v>92</v>
      </c>
      <c r="L325" s="2" t="s">
        <v>93</v>
      </c>
      <c r="M325" s="2"/>
      <c r="N325" s="2" t="s">
        <v>521</v>
      </c>
      <c r="O325" s="2" t="s">
        <v>1894</v>
      </c>
      <c r="P325" s="2" t="s">
        <v>1895</v>
      </c>
      <c r="Q325" s="6" t="s">
        <v>178</v>
      </c>
      <c r="R325" s="6" t="s">
        <v>98</v>
      </c>
      <c r="S325" s="9" t="s">
        <v>1896</v>
      </c>
      <c r="T325" s="6"/>
      <c r="U325" s="6"/>
      <c r="V325" s="10"/>
      <c r="W325" s="10" t="s">
        <v>88</v>
      </c>
      <c r="X325" s="10"/>
      <c r="Y325" s="10"/>
    </row>
    <row r="326" customFormat="false" ht="23.85" hidden="false" customHeight="false" outlineLevel="0" collapsed="false">
      <c r="A326" s="6" t="n">
        <v>325</v>
      </c>
      <c r="B326" s="7" t="s">
        <v>1897</v>
      </c>
      <c r="C326" s="6" t="str">
        <f aca="false">IF(U326&lt;&gt;"","Client",IF(D326&gt;=9,"A",IF(D326&gt;=7,"B","C")))</f>
        <v>C</v>
      </c>
      <c r="D326" s="6" t="n">
        <f aca="false">E326+F326+G326</f>
        <v>6</v>
      </c>
      <c r="E326" s="6" t="n">
        <v>3</v>
      </c>
      <c r="F326" s="6" t="n">
        <v>2</v>
      </c>
      <c r="G326" s="8" t="n">
        <v>1</v>
      </c>
      <c r="H326" s="6" t="s">
        <v>182</v>
      </c>
      <c r="I326" s="6" t="s">
        <v>287</v>
      </c>
      <c r="J326" s="2" t="s">
        <v>263</v>
      </c>
      <c r="K326" s="2" t="s">
        <v>1898</v>
      </c>
      <c r="L326" s="2" t="s">
        <v>127</v>
      </c>
      <c r="M326" s="2"/>
      <c r="N326" s="2" t="s">
        <v>538</v>
      </c>
      <c r="O326" s="2" t="s">
        <v>1899</v>
      </c>
      <c r="P326" s="2" t="s">
        <v>1900</v>
      </c>
      <c r="Q326" s="6" t="s">
        <v>97</v>
      </c>
      <c r="R326" s="6" t="s">
        <v>106</v>
      </c>
      <c r="S326" s="9" t="s">
        <v>1901</v>
      </c>
      <c r="T326" s="9" t="s">
        <v>1902</v>
      </c>
      <c r="U326" s="6"/>
      <c r="V326" s="10"/>
      <c r="W326" s="10" t="s">
        <v>88</v>
      </c>
      <c r="X326" s="10"/>
      <c r="Y326" s="10"/>
    </row>
    <row r="327" customFormat="false" ht="23.85" hidden="false" customHeight="false" outlineLevel="0" collapsed="false">
      <c r="A327" s="6" t="n">
        <v>326</v>
      </c>
      <c r="B327" s="7" t="s">
        <v>1903</v>
      </c>
      <c r="C327" s="6" t="str">
        <f aca="false">IF(U327&lt;&gt;"","Client",IF(D327&gt;=9,"A",IF(D327&gt;=7,"B","C")))</f>
        <v>C</v>
      </c>
      <c r="D327" s="6" t="n">
        <f aca="false">E327+F327+G327</f>
        <v>6</v>
      </c>
      <c r="E327" s="6" t="n">
        <v>3</v>
      </c>
      <c r="F327" s="6" t="n">
        <v>2</v>
      </c>
      <c r="G327" s="8" t="n">
        <v>1</v>
      </c>
      <c r="H327" s="6" t="s">
        <v>153</v>
      </c>
      <c r="I327" s="6" t="s">
        <v>287</v>
      </c>
      <c r="J327" s="2" t="s">
        <v>1260</v>
      </c>
      <c r="K327" s="2" t="s">
        <v>1904</v>
      </c>
      <c r="L327" s="2" t="s">
        <v>102</v>
      </c>
      <c r="M327" s="2"/>
      <c r="N327" s="2" t="s">
        <v>1275</v>
      </c>
      <c r="O327" s="2" t="s">
        <v>1905</v>
      </c>
      <c r="P327" s="2" t="s">
        <v>1906</v>
      </c>
      <c r="Q327" s="6" t="s">
        <v>97</v>
      </c>
      <c r="R327" s="6" t="s">
        <v>85</v>
      </c>
      <c r="S327" s="9" t="s">
        <v>1907</v>
      </c>
      <c r="T327" s="6"/>
      <c r="U327" s="6"/>
      <c r="V327" s="10"/>
      <c r="W327" s="10" t="s">
        <v>88</v>
      </c>
      <c r="X327" s="10"/>
      <c r="Y327" s="10"/>
    </row>
    <row r="328" customFormat="false" ht="15" hidden="false" customHeight="false" outlineLevel="0" collapsed="false">
      <c r="A328" s="6" t="n">
        <v>327</v>
      </c>
      <c r="B328" s="7" t="s">
        <v>1908</v>
      </c>
      <c r="C328" s="6" t="str">
        <f aca="false">IF(U328&lt;&gt;"","Client",IF(D328&gt;=9,"A",IF(D328&gt;=7,"B","C")))</f>
        <v>C</v>
      </c>
      <c r="D328" s="6" t="n">
        <f aca="false">E328+F328+G328</f>
        <v>6</v>
      </c>
      <c r="E328" s="6" t="n">
        <v>3</v>
      </c>
      <c r="F328" s="6" t="n">
        <v>2</v>
      </c>
      <c r="G328" s="8" t="n">
        <v>1</v>
      </c>
      <c r="H328" s="6" t="s">
        <v>626</v>
      </c>
      <c r="I328" s="6" t="s">
        <v>287</v>
      </c>
      <c r="J328" s="2" t="s">
        <v>1909</v>
      </c>
      <c r="K328" s="2" t="s">
        <v>92</v>
      </c>
      <c r="L328" s="2" t="s">
        <v>93</v>
      </c>
      <c r="M328" s="2"/>
      <c r="N328" s="2" t="s">
        <v>521</v>
      </c>
      <c r="O328" s="2" t="s">
        <v>1910</v>
      </c>
      <c r="P328" s="2" t="s">
        <v>1911</v>
      </c>
      <c r="Q328" s="6" t="s">
        <v>97</v>
      </c>
      <c r="R328" s="6" t="s">
        <v>98</v>
      </c>
      <c r="S328" s="6"/>
      <c r="T328" s="6"/>
      <c r="U328" s="6"/>
      <c r="V328" s="10"/>
      <c r="W328" s="10" t="s">
        <v>88</v>
      </c>
      <c r="X328" s="10"/>
      <c r="Y328" s="10"/>
    </row>
    <row r="329" customFormat="false" ht="23.85" hidden="false" customHeight="false" outlineLevel="0" collapsed="false">
      <c r="A329" s="6" t="n">
        <v>328</v>
      </c>
      <c r="B329" s="7" t="s">
        <v>1912</v>
      </c>
      <c r="C329" s="6" t="str">
        <f aca="false">IF(U329&lt;&gt;"","Client",IF(D329&gt;=9,"A",IF(D329&gt;=7,"B","C")))</f>
        <v>C</v>
      </c>
      <c r="D329" s="6" t="n">
        <f aca="false">E329+F329+G329</f>
        <v>6</v>
      </c>
      <c r="E329" s="6" t="n">
        <v>3</v>
      </c>
      <c r="F329" s="6" t="n">
        <v>2</v>
      </c>
      <c r="G329" s="8" t="n">
        <v>1</v>
      </c>
      <c r="H329" s="6" t="s">
        <v>153</v>
      </c>
      <c r="I329" s="6" t="s">
        <v>287</v>
      </c>
      <c r="J329" s="2" t="s">
        <v>1913</v>
      </c>
      <c r="K329" s="2" t="s">
        <v>1914</v>
      </c>
      <c r="L329" s="2" t="s">
        <v>127</v>
      </c>
      <c r="M329" s="2"/>
      <c r="N329" s="2" t="s">
        <v>538</v>
      </c>
      <c r="O329" s="2" t="s">
        <v>1915</v>
      </c>
      <c r="P329" s="2" t="s">
        <v>1916</v>
      </c>
      <c r="Q329" s="6" t="s">
        <v>411</v>
      </c>
      <c r="R329" s="6" t="s">
        <v>106</v>
      </c>
      <c r="S329" s="9" t="s">
        <v>1917</v>
      </c>
      <c r="T329" s="6"/>
      <c r="U329" s="6"/>
      <c r="V329" s="10"/>
      <c r="W329" s="10" t="s">
        <v>88</v>
      </c>
      <c r="X329" s="10"/>
      <c r="Y329" s="10"/>
    </row>
    <row r="330" customFormat="false" ht="91" hidden="false" customHeight="false" outlineLevel="0" collapsed="false">
      <c r="A330" s="6" t="n">
        <v>329</v>
      </c>
      <c r="B330" s="7" t="s">
        <v>1918</v>
      </c>
      <c r="C330" s="6" t="str">
        <f aca="false">IF(U330&lt;&gt;"","Client",IF(D330&gt;=9,"A",IF(D330&gt;=7,"B","C")))</f>
        <v>C</v>
      </c>
      <c r="D330" s="6" t="n">
        <f aca="false">E330+F330+G330</f>
        <v>6</v>
      </c>
      <c r="E330" s="6" t="n">
        <v>4</v>
      </c>
      <c r="F330" s="6" t="n">
        <v>2</v>
      </c>
      <c r="G330" s="8" t="n">
        <v>0</v>
      </c>
      <c r="H330" s="6" t="s">
        <v>90</v>
      </c>
      <c r="I330" s="6" t="s">
        <v>287</v>
      </c>
      <c r="J330" s="2" t="s">
        <v>1919</v>
      </c>
      <c r="K330" s="2" t="s">
        <v>1920</v>
      </c>
      <c r="L330" s="2" t="s">
        <v>1921</v>
      </c>
      <c r="M330" s="2" t="s">
        <v>1922</v>
      </c>
      <c r="N330" s="2" t="s">
        <v>1483</v>
      </c>
      <c r="O330" s="2" t="s">
        <v>1923</v>
      </c>
      <c r="P330" s="2" t="s">
        <v>1924</v>
      </c>
      <c r="Q330" s="6" t="s">
        <v>97</v>
      </c>
      <c r="R330" s="6" t="s">
        <v>85</v>
      </c>
      <c r="S330" s="9" t="s">
        <v>1925</v>
      </c>
      <c r="T330" s="9" t="s">
        <v>1926</v>
      </c>
      <c r="U330" s="6"/>
      <c r="V330" s="10"/>
      <c r="W330" s="10" t="s">
        <v>88</v>
      </c>
      <c r="X330" s="10"/>
      <c r="Y330" s="10"/>
    </row>
    <row r="331" customFormat="false" ht="57.45" hidden="false" customHeight="false" outlineLevel="0" collapsed="false">
      <c r="A331" s="6" t="n">
        <v>330</v>
      </c>
      <c r="B331" s="7" t="s">
        <v>1927</v>
      </c>
      <c r="C331" s="6" t="str">
        <f aca="false">IF(U331&lt;&gt;"","Client",IF(D331&gt;=9,"A",IF(D331&gt;=7,"B","C")))</f>
        <v>C</v>
      </c>
      <c r="D331" s="6" t="n">
        <f aca="false">E331+F331+G331</f>
        <v>6</v>
      </c>
      <c r="E331" s="6" t="n">
        <v>4</v>
      </c>
      <c r="F331" s="6" t="n">
        <v>2</v>
      </c>
      <c r="G331" s="8" t="n">
        <v>0</v>
      </c>
      <c r="H331" s="6" t="s">
        <v>239</v>
      </c>
      <c r="I331" s="6" t="s">
        <v>287</v>
      </c>
      <c r="J331" s="2" t="s">
        <v>263</v>
      </c>
      <c r="K331" s="2" t="s">
        <v>1928</v>
      </c>
      <c r="L331" s="2" t="s">
        <v>112</v>
      </c>
      <c r="M331" s="2"/>
      <c r="N331" s="2" t="s">
        <v>1929</v>
      </c>
      <c r="O331" s="2" t="s">
        <v>1930</v>
      </c>
      <c r="P331" s="2" t="s">
        <v>1931</v>
      </c>
      <c r="Q331" s="6" t="s">
        <v>160</v>
      </c>
      <c r="R331" s="6" t="s">
        <v>85</v>
      </c>
      <c r="S331" s="9" t="s">
        <v>1932</v>
      </c>
      <c r="T331" s="9" t="s">
        <v>1933</v>
      </c>
      <c r="U331" s="6"/>
      <c r="V331" s="10"/>
      <c r="W331" s="10" t="s">
        <v>88</v>
      </c>
      <c r="X331" s="10"/>
      <c r="Y331" s="10"/>
    </row>
    <row r="332" customFormat="false" ht="23.85" hidden="false" customHeight="false" outlineLevel="0" collapsed="false">
      <c r="A332" s="6" t="n">
        <v>331</v>
      </c>
      <c r="B332" s="7" t="s">
        <v>1934</v>
      </c>
      <c r="C332" s="6" t="str">
        <f aca="false">IF(U332&lt;&gt;"","Client",IF(D332&gt;=9,"A",IF(D332&gt;=7,"B","C")))</f>
        <v>C</v>
      </c>
      <c r="D332" s="6" t="n">
        <f aca="false">E332+F332+G332</f>
        <v>6</v>
      </c>
      <c r="E332" s="6" t="n">
        <v>4</v>
      </c>
      <c r="F332" s="6" t="n">
        <v>2</v>
      </c>
      <c r="G332" s="8" t="n">
        <v>0</v>
      </c>
      <c r="H332" s="6" t="s">
        <v>239</v>
      </c>
      <c r="I332" s="6" t="s">
        <v>287</v>
      </c>
      <c r="J332" s="2" t="s">
        <v>811</v>
      </c>
      <c r="K332" s="2" t="s">
        <v>1935</v>
      </c>
      <c r="L332" s="2" t="s">
        <v>167</v>
      </c>
      <c r="M332" s="2"/>
      <c r="N332" s="2"/>
      <c r="O332" s="2" t="s">
        <v>1936</v>
      </c>
      <c r="P332" s="2" t="s">
        <v>1937</v>
      </c>
      <c r="Q332" s="6" t="s">
        <v>84</v>
      </c>
      <c r="R332" s="6" t="s">
        <v>85</v>
      </c>
      <c r="S332" s="9" t="s">
        <v>1938</v>
      </c>
      <c r="T332" s="6"/>
      <c r="U332" s="6"/>
      <c r="V332" s="10"/>
      <c r="W332" s="10" t="s">
        <v>88</v>
      </c>
      <c r="X332" s="10"/>
      <c r="Y332" s="10"/>
    </row>
    <row r="333" customFormat="false" ht="23.85" hidden="false" customHeight="false" outlineLevel="0" collapsed="false">
      <c r="A333" s="6" t="n">
        <v>332</v>
      </c>
      <c r="B333" s="7" t="s">
        <v>1939</v>
      </c>
      <c r="C333" s="6" t="str">
        <f aca="false">IF(U333&lt;&gt;"","Client",IF(D333&gt;=9,"A",IF(D333&gt;=7,"B","C")))</f>
        <v>C</v>
      </c>
      <c r="D333" s="6" t="n">
        <f aca="false">E333+F333+G333</f>
        <v>6</v>
      </c>
      <c r="E333" s="6" t="n">
        <v>4</v>
      </c>
      <c r="F333" s="6" t="n">
        <v>2</v>
      </c>
      <c r="G333" s="8" t="n">
        <v>0</v>
      </c>
      <c r="H333" s="6" t="s">
        <v>118</v>
      </c>
      <c r="I333" s="6" t="s">
        <v>287</v>
      </c>
      <c r="J333" s="2" t="s">
        <v>1940</v>
      </c>
      <c r="K333" s="2" t="s">
        <v>1941</v>
      </c>
      <c r="L333" s="2" t="s">
        <v>127</v>
      </c>
      <c r="M333" s="2"/>
      <c r="N333" s="2"/>
      <c r="O333" s="2"/>
      <c r="P333" s="2" t="s">
        <v>1942</v>
      </c>
      <c r="Q333" s="6" t="s">
        <v>1943</v>
      </c>
      <c r="R333" s="6" t="s">
        <v>85</v>
      </c>
      <c r="S333" s="9" t="s">
        <v>1944</v>
      </c>
      <c r="T333" s="6"/>
      <c r="U333" s="6"/>
      <c r="V333" s="10"/>
      <c r="W333" s="10" t="s">
        <v>88</v>
      </c>
      <c r="X333" s="10"/>
      <c r="Y333" s="10"/>
    </row>
    <row r="334" customFormat="false" ht="15" hidden="false" customHeight="false" outlineLevel="0" collapsed="false">
      <c r="A334" s="6" t="n">
        <v>333</v>
      </c>
      <c r="B334" s="7" t="s">
        <v>1945</v>
      </c>
      <c r="C334" s="6" t="str">
        <f aca="false">IF(U334&lt;&gt;"","Client",IF(D334&gt;=9,"A",IF(D334&gt;=7,"B","C")))</f>
        <v>C</v>
      </c>
      <c r="D334" s="6" t="n">
        <f aca="false">E334+F334+G334</f>
        <v>6</v>
      </c>
      <c r="E334" s="6" t="n">
        <v>4</v>
      </c>
      <c r="F334" s="6" t="n">
        <v>2</v>
      </c>
      <c r="G334" s="8" t="n">
        <v>0</v>
      </c>
      <c r="H334" s="6" t="s">
        <v>239</v>
      </c>
      <c r="I334" s="6" t="s">
        <v>287</v>
      </c>
      <c r="J334" s="2" t="s">
        <v>1945</v>
      </c>
      <c r="K334" s="2" t="s">
        <v>1946</v>
      </c>
      <c r="L334" s="2" t="s">
        <v>652</v>
      </c>
      <c r="M334" s="2"/>
      <c r="N334" s="2"/>
      <c r="O334" s="2" t="s">
        <v>1947</v>
      </c>
      <c r="P334" s="2" t="s">
        <v>1948</v>
      </c>
      <c r="Q334" s="6" t="s">
        <v>97</v>
      </c>
      <c r="R334" s="6" t="s">
        <v>85</v>
      </c>
      <c r="S334" s="9" t="s">
        <v>1949</v>
      </c>
      <c r="T334" s="9" t="s">
        <v>1950</v>
      </c>
      <c r="U334" s="6"/>
      <c r="V334" s="10"/>
      <c r="W334" s="10" t="s">
        <v>88</v>
      </c>
      <c r="X334" s="10"/>
      <c r="Y334" s="10"/>
    </row>
    <row r="335" customFormat="false" ht="23.85" hidden="false" customHeight="false" outlineLevel="0" collapsed="false">
      <c r="A335" s="6" t="n">
        <v>334</v>
      </c>
      <c r="B335" s="7" t="s">
        <v>1951</v>
      </c>
      <c r="C335" s="6" t="str">
        <f aca="false">IF(U335&lt;&gt;"","Client",IF(D335&gt;=9,"A",IF(D335&gt;=7,"B","C")))</f>
        <v>C</v>
      </c>
      <c r="D335" s="6" t="n">
        <f aca="false">E335+F335+G335</f>
        <v>6</v>
      </c>
      <c r="E335" s="6" t="n">
        <v>4</v>
      </c>
      <c r="F335" s="6" t="n">
        <v>2</v>
      </c>
      <c r="G335" s="8" t="n">
        <v>0</v>
      </c>
      <c r="H335" s="6" t="s">
        <v>118</v>
      </c>
      <c r="I335" s="6" t="s">
        <v>287</v>
      </c>
      <c r="J335" s="2" t="s">
        <v>1952</v>
      </c>
      <c r="K335" s="2" t="s">
        <v>1953</v>
      </c>
      <c r="L335" s="2" t="s">
        <v>1175</v>
      </c>
      <c r="M335" s="2"/>
      <c r="N335" s="2" t="s">
        <v>1043</v>
      </c>
      <c r="O335" s="2" t="s">
        <v>1954</v>
      </c>
      <c r="P335" s="2" t="s">
        <v>1955</v>
      </c>
      <c r="Q335" s="6" t="s">
        <v>97</v>
      </c>
      <c r="R335" s="6" t="s">
        <v>85</v>
      </c>
      <c r="S335" s="9" t="s">
        <v>1956</v>
      </c>
      <c r="T335" s="6"/>
      <c r="U335" s="6"/>
      <c r="V335" s="10"/>
      <c r="W335" s="10" t="s">
        <v>88</v>
      </c>
      <c r="X335" s="10"/>
      <c r="Y335" s="10"/>
    </row>
    <row r="336" customFormat="false" ht="23.85" hidden="false" customHeight="false" outlineLevel="0" collapsed="false">
      <c r="A336" s="6" t="n">
        <v>335</v>
      </c>
      <c r="B336" s="7" t="s">
        <v>1957</v>
      </c>
      <c r="C336" s="6" t="str">
        <f aca="false">IF(U336&lt;&gt;"","Client",IF(D336&gt;=9,"A",IF(D336&gt;=7,"B","C")))</f>
        <v>C</v>
      </c>
      <c r="D336" s="6" t="n">
        <f aca="false">E336+F336+G336</f>
        <v>6</v>
      </c>
      <c r="E336" s="6" t="n">
        <v>4</v>
      </c>
      <c r="F336" s="6" t="n">
        <v>2</v>
      </c>
      <c r="G336" s="8" t="n">
        <v>0</v>
      </c>
      <c r="H336" s="6" t="s">
        <v>76</v>
      </c>
      <c r="I336" s="6" t="s">
        <v>287</v>
      </c>
      <c r="J336" s="2" t="s">
        <v>1958</v>
      </c>
      <c r="K336" s="2" t="s">
        <v>1959</v>
      </c>
      <c r="L336" s="2" t="s">
        <v>1921</v>
      </c>
      <c r="M336" s="2"/>
      <c r="N336" s="2"/>
      <c r="O336" s="2" t="s">
        <v>1960</v>
      </c>
      <c r="P336" s="2" t="s">
        <v>1961</v>
      </c>
      <c r="Q336" s="6" t="s">
        <v>504</v>
      </c>
      <c r="R336" s="6" t="s">
        <v>106</v>
      </c>
      <c r="S336" s="9" t="s">
        <v>1962</v>
      </c>
      <c r="T336" s="9" t="s">
        <v>1963</v>
      </c>
      <c r="U336" s="6"/>
      <c r="V336" s="10"/>
      <c r="W336" s="10" t="s">
        <v>88</v>
      </c>
      <c r="X336" s="10"/>
      <c r="Y336" s="10"/>
    </row>
    <row r="337" customFormat="false" ht="57.45" hidden="false" customHeight="false" outlineLevel="0" collapsed="false">
      <c r="A337" s="6" t="n">
        <v>336</v>
      </c>
      <c r="B337" s="7" t="s">
        <v>1964</v>
      </c>
      <c r="C337" s="6" t="str">
        <f aca="false">IF(U337&lt;&gt;"","Client",IF(D337&gt;=9,"A",IF(D337&gt;=7,"B","C")))</f>
        <v>C</v>
      </c>
      <c r="D337" s="6" t="n">
        <f aca="false">E337+F337+G337</f>
        <v>6</v>
      </c>
      <c r="E337" s="6" t="n">
        <v>4</v>
      </c>
      <c r="F337" s="6" t="n">
        <v>2</v>
      </c>
      <c r="G337" s="8" t="n">
        <v>0</v>
      </c>
      <c r="H337" s="6" t="s">
        <v>239</v>
      </c>
      <c r="I337" s="6" t="s">
        <v>287</v>
      </c>
      <c r="J337" s="2" t="s">
        <v>1965</v>
      </c>
      <c r="K337" s="2" t="s">
        <v>1966</v>
      </c>
      <c r="L337" s="2" t="s">
        <v>304</v>
      </c>
      <c r="M337" s="2"/>
      <c r="N337" s="2" t="s">
        <v>1502</v>
      </c>
      <c r="O337" s="2" t="s">
        <v>1967</v>
      </c>
      <c r="P337" s="2" t="s">
        <v>1968</v>
      </c>
      <c r="Q337" s="6" t="s">
        <v>160</v>
      </c>
      <c r="R337" s="6" t="s">
        <v>85</v>
      </c>
      <c r="S337" s="9" t="s">
        <v>1969</v>
      </c>
      <c r="T337" s="9" t="s">
        <v>1970</v>
      </c>
      <c r="U337" s="6"/>
      <c r="V337" s="10"/>
      <c r="W337" s="10" t="s">
        <v>88</v>
      </c>
      <c r="X337" s="10"/>
      <c r="Y337" s="10"/>
    </row>
    <row r="338" customFormat="false" ht="15" hidden="false" customHeight="false" outlineLevel="0" collapsed="false">
      <c r="A338" s="6" t="n">
        <v>337</v>
      </c>
      <c r="B338" s="7" t="s">
        <v>1971</v>
      </c>
      <c r="C338" s="6" t="str">
        <f aca="false">IF(U338&lt;&gt;"","Client",IF(D338&gt;=9,"A",IF(D338&gt;=7,"B","C")))</f>
        <v>C</v>
      </c>
      <c r="D338" s="6" t="n">
        <f aca="false">E338+F338+G338</f>
        <v>6</v>
      </c>
      <c r="E338" s="6" t="n">
        <v>4</v>
      </c>
      <c r="F338" s="6" t="n">
        <v>2</v>
      </c>
      <c r="G338" s="8" t="n">
        <v>0</v>
      </c>
      <c r="H338" s="6" t="s">
        <v>239</v>
      </c>
      <c r="I338" s="6" t="s">
        <v>287</v>
      </c>
      <c r="J338" s="2" t="s">
        <v>1972</v>
      </c>
      <c r="K338" s="2" t="s">
        <v>1973</v>
      </c>
      <c r="L338" s="2" t="s">
        <v>127</v>
      </c>
      <c r="M338" s="2"/>
      <c r="N338" s="2"/>
      <c r="O338" s="2"/>
      <c r="P338" s="2" t="s">
        <v>1974</v>
      </c>
      <c r="Q338" s="6" t="s">
        <v>308</v>
      </c>
      <c r="R338" s="6" t="s">
        <v>85</v>
      </c>
      <c r="S338" s="9" t="s">
        <v>1975</v>
      </c>
      <c r="T338" s="6"/>
      <c r="U338" s="6"/>
      <c r="V338" s="10"/>
      <c r="W338" s="10" t="s">
        <v>88</v>
      </c>
      <c r="X338" s="10"/>
      <c r="Y338" s="10"/>
    </row>
    <row r="339" customFormat="false" ht="15" hidden="false" customHeight="false" outlineLevel="0" collapsed="false">
      <c r="A339" s="6" t="n">
        <v>338</v>
      </c>
      <c r="B339" s="7" t="s">
        <v>1976</v>
      </c>
      <c r="C339" s="6" t="str">
        <f aca="false">IF(U339&lt;&gt;"","Client",IF(D339&gt;=9,"A",IF(D339&gt;=7,"B","C")))</f>
        <v>C</v>
      </c>
      <c r="D339" s="6" t="n">
        <f aca="false">E339+F339+G339</f>
        <v>6</v>
      </c>
      <c r="E339" s="6" t="n">
        <v>4</v>
      </c>
      <c r="F339" s="6" t="n">
        <v>2</v>
      </c>
      <c r="G339" s="8" t="n">
        <v>0</v>
      </c>
      <c r="H339" s="6" t="s">
        <v>239</v>
      </c>
      <c r="I339" s="6" t="s">
        <v>287</v>
      </c>
      <c r="J339" s="2" t="s">
        <v>1977</v>
      </c>
      <c r="K339" s="2" t="s">
        <v>1229</v>
      </c>
      <c r="L339" s="2" t="s">
        <v>102</v>
      </c>
      <c r="M339" s="2"/>
      <c r="N339" s="2"/>
      <c r="O339" s="2"/>
      <c r="P339" s="2" t="s">
        <v>1978</v>
      </c>
      <c r="Q339" s="6" t="s">
        <v>440</v>
      </c>
      <c r="R339" s="6" t="s">
        <v>106</v>
      </c>
      <c r="S339" s="9" t="s">
        <v>1979</v>
      </c>
      <c r="T339" s="6"/>
      <c r="U339" s="6"/>
      <c r="V339" s="10"/>
      <c r="W339" s="10" t="s">
        <v>88</v>
      </c>
      <c r="X339" s="10"/>
      <c r="Y339" s="10"/>
    </row>
    <row r="340" customFormat="false" ht="35.05" hidden="false" customHeight="false" outlineLevel="0" collapsed="false">
      <c r="A340" s="6" t="n">
        <v>339</v>
      </c>
      <c r="B340" s="7" t="s">
        <v>1980</v>
      </c>
      <c r="C340" s="6" t="str">
        <f aca="false">IF(U340&lt;&gt;"","Client",IF(D340&gt;=9,"A",IF(D340&gt;=7,"B","C")))</f>
        <v>C</v>
      </c>
      <c r="D340" s="6" t="n">
        <f aca="false">E340+F340+G340</f>
        <v>6</v>
      </c>
      <c r="E340" s="6" t="n">
        <v>4</v>
      </c>
      <c r="F340" s="6" t="n">
        <v>2</v>
      </c>
      <c r="G340" s="8" t="n">
        <v>0</v>
      </c>
      <c r="H340" s="6" t="s">
        <v>76</v>
      </c>
      <c r="I340" s="6" t="s">
        <v>287</v>
      </c>
      <c r="J340" s="2" t="s">
        <v>467</v>
      </c>
      <c r="K340" s="2" t="s">
        <v>1981</v>
      </c>
      <c r="L340" s="2" t="s">
        <v>652</v>
      </c>
      <c r="M340" s="2"/>
      <c r="N340" s="2"/>
      <c r="O340" s="2" t="s">
        <v>1982</v>
      </c>
      <c r="P340" s="2" t="s">
        <v>1983</v>
      </c>
      <c r="Q340" s="6" t="s">
        <v>389</v>
      </c>
      <c r="R340" s="6" t="s">
        <v>85</v>
      </c>
      <c r="S340" s="9" t="s">
        <v>1984</v>
      </c>
      <c r="T340" s="9" t="s">
        <v>1985</v>
      </c>
      <c r="U340" s="6"/>
      <c r="V340" s="10"/>
      <c r="W340" s="10" t="s">
        <v>88</v>
      </c>
      <c r="X340" s="10"/>
      <c r="Y340" s="10"/>
    </row>
    <row r="341" customFormat="false" ht="15" hidden="false" customHeight="false" outlineLevel="0" collapsed="false">
      <c r="A341" s="6" t="n">
        <v>340</v>
      </c>
      <c r="B341" s="7" t="s">
        <v>1986</v>
      </c>
      <c r="C341" s="6" t="str">
        <f aca="false">IF(U341&lt;&gt;"","Client",IF(D341&gt;=9,"A",IF(D341&gt;=7,"B","C")))</f>
        <v>C</v>
      </c>
      <c r="D341" s="6" t="n">
        <f aca="false">E341+F341+G341</f>
        <v>6</v>
      </c>
      <c r="E341" s="6" t="n">
        <v>4</v>
      </c>
      <c r="F341" s="6" t="n">
        <v>2</v>
      </c>
      <c r="G341" s="8" t="n">
        <v>0</v>
      </c>
      <c r="H341" s="6" t="s">
        <v>239</v>
      </c>
      <c r="I341" s="6" t="s">
        <v>287</v>
      </c>
      <c r="J341" s="2" t="s">
        <v>1987</v>
      </c>
      <c r="K341" s="2" t="s">
        <v>1494</v>
      </c>
      <c r="L341" s="2" t="s">
        <v>127</v>
      </c>
      <c r="M341" s="2"/>
      <c r="N341" s="2"/>
      <c r="O341" s="2"/>
      <c r="P341" s="2" t="s">
        <v>1988</v>
      </c>
      <c r="Q341" s="6" t="s">
        <v>97</v>
      </c>
      <c r="R341" s="6" t="s">
        <v>106</v>
      </c>
      <c r="S341" s="9" t="s">
        <v>1989</v>
      </c>
      <c r="T341" s="6"/>
      <c r="U341" s="6"/>
      <c r="V341" s="10"/>
      <c r="W341" s="10" t="s">
        <v>88</v>
      </c>
      <c r="X341" s="10"/>
      <c r="Y341" s="10"/>
    </row>
    <row r="342" customFormat="false" ht="23.85" hidden="false" customHeight="false" outlineLevel="0" collapsed="false">
      <c r="A342" s="6" t="n">
        <v>341</v>
      </c>
      <c r="B342" s="7" t="s">
        <v>1990</v>
      </c>
      <c r="C342" s="6" t="str">
        <f aca="false">IF(U342&lt;&gt;"","Client",IF(D342&gt;=9,"A",IF(D342&gt;=7,"B","C")))</f>
        <v>C</v>
      </c>
      <c r="D342" s="6" t="n">
        <f aca="false">E342+F342+G342</f>
        <v>6</v>
      </c>
      <c r="E342" s="6" t="n">
        <v>4</v>
      </c>
      <c r="F342" s="6" t="n">
        <v>2</v>
      </c>
      <c r="G342" s="8" t="n">
        <v>0</v>
      </c>
      <c r="H342" s="6" t="s">
        <v>118</v>
      </c>
      <c r="I342" s="6" t="s">
        <v>287</v>
      </c>
      <c r="J342" s="2" t="s">
        <v>1990</v>
      </c>
      <c r="K342" s="2" t="s">
        <v>1991</v>
      </c>
      <c r="L342" s="2" t="s">
        <v>127</v>
      </c>
      <c r="M342" s="2"/>
      <c r="N342" s="2" t="s">
        <v>1533</v>
      </c>
      <c r="O342" s="2" t="s">
        <v>1992</v>
      </c>
      <c r="P342" s="2" t="s">
        <v>1993</v>
      </c>
      <c r="Q342" s="6" t="s">
        <v>160</v>
      </c>
      <c r="R342" s="6" t="s">
        <v>85</v>
      </c>
      <c r="S342" s="9" t="s">
        <v>1994</v>
      </c>
      <c r="T342" s="6"/>
      <c r="U342" s="6"/>
      <c r="V342" s="10"/>
      <c r="W342" s="10" t="s">
        <v>88</v>
      </c>
      <c r="X342" s="10"/>
      <c r="Y342" s="10"/>
    </row>
    <row r="343" customFormat="false" ht="15" hidden="false" customHeight="false" outlineLevel="0" collapsed="false">
      <c r="A343" s="6" t="n">
        <v>342</v>
      </c>
      <c r="B343" s="7" t="s">
        <v>1995</v>
      </c>
      <c r="C343" s="6" t="str">
        <f aca="false">IF(U343&lt;&gt;"","Client",IF(D343&gt;=9,"A",IF(D343&gt;=7,"B","C")))</f>
        <v>C</v>
      </c>
      <c r="D343" s="6" t="n">
        <f aca="false">E343+F343+G343</f>
        <v>6</v>
      </c>
      <c r="E343" s="6" t="n">
        <v>4</v>
      </c>
      <c r="F343" s="6" t="n">
        <v>2</v>
      </c>
      <c r="G343" s="8" t="n">
        <v>0</v>
      </c>
      <c r="H343" s="6" t="s">
        <v>76</v>
      </c>
      <c r="I343" s="6" t="s">
        <v>287</v>
      </c>
      <c r="J343" s="2" t="s">
        <v>1996</v>
      </c>
      <c r="K343" s="2" t="s">
        <v>1997</v>
      </c>
      <c r="L343" s="2" t="s">
        <v>127</v>
      </c>
      <c r="M343" s="2"/>
      <c r="N343" s="2"/>
      <c r="O343" s="2" t="s">
        <v>1998</v>
      </c>
      <c r="P343" s="2" t="s">
        <v>1999</v>
      </c>
      <c r="Q343" s="6" t="s">
        <v>2000</v>
      </c>
      <c r="R343" s="6" t="s">
        <v>106</v>
      </c>
      <c r="S343" s="9" t="s">
        <v>2001</v>
      </c>
      <c r="T343" s="6"/>
      <c r="U343" s="6"/>
      <c r="V343" s="10"/>
      <c r="W343" s="10" t="s">
        <v>88</v>
      </c>
      <c r="X343" s="10"/>
      <c r="Y343" s="10"/>
    </row>
    <row r="344" customFormat="false" ht="15" hidden="false" customHeight="false" outlineLevel="0" collapsed="false">
      <c r="A344" s="6" t="n">
        <v>343</v>
      </c>
      <c r="B344" s="7" t="s">
        <v>2002</v>
      </c>
      <c r="C344" s="6" t="str">
        <f aca="false">IF(U344&lt;&gt;"","Client",IF(D344&gt;=9,"A",IF(D344&gt;=7,"B","C")))</f>
        <v>C</v>
      </c>
      <c r="D344" s="6" t="n">
        <f aca="false">E344+F344+G344</f>
        <v>6</v>
      </c>
      <c r="E344" s="6" t="n">
        <v>4</v>
      </c>
      <c r="F344" s="6" t="n">
        <v>2</v>
      </c>
      <c r="G344" s="8" t="n">
        <v>0</v>
      </c>
      <c r="H344" s="6" t="s">
        <v>76</v>
      </c>
      <c r="I344" s="6" t="s">
        <v>287</v>
      </c>
      <c r="J344" s="2" t="s">
        <v>2002</v>
      </c>
      <c r="K344" s="2" t="s">
        <v>2003</v>
      </c>
      <c r="L344" s="2" t="s">
        <v>127</v>
      </c>
      <c r="M344" s="2"/>
      <c r="N344" s="2" t="s">
        <v>1043</v>
      </c>
      <c r="O344" s="2" t="s">
        <v>2004</v>
      </c>
      <c r="P344" s="2" t="s">
        <v>2005</v>
      </c>
      <c r="Q344" s="6" t="s">
        <v>256</v>
      </c>
      <c r="R344" s="6" t="s">
        <v>85</v>
      </c>
      <c r="S344" s="9" t="s">
        <v>2006</v>
      </c>
      <c r="T344" s="6"/>
      <c r="U344" s="6"/>
      <c r="V344" s="10"/>
      <c r="W344" s="10" t="s">
        <v>88</v>
      </c>
      <c r="X344" s="10"/>
      <c r="Y344" s="10"/>
    </row>
    <row r="345" customFormat="false" ht="23.85" hidden="false" customHeight="false" outlineLevel="0" collapsed="false">
      <c r="A345" s="6" t="n">
        <v>344</v>
      </c>
      <c r="B345" s="7" t="s">
        <v>2007</v>
      </c>
      <c r="C345" s="6" t="str">
        <f aca="false">IF(U345&lt;&gt;"","Client",IF(D345&gt;=9,"A",IF(D345&gt;=7,"B","C")))</f>
        <v>C</v>
      </c>
      <c r="D345" s="6" t="n">
        <f aca="false">E345+F345+G345</f>
        <v>6</v>
      </c>
      <c r="E345" s="6" t="n">
        <v>4</v>
      </c>
      <c r="F345" s="6" t="n">
        <v>2</v>
      </c>
      <c r="G345" s="8" t="n">
        <v>0</v>
      </c>
      <c r="H345" s="6" t="s">
        <v>239</v>
      </c>
      <c r="I345" s="6" t="s">
        <v>287</v>
      </c>
      <c r="J345" s="2" t="s">
        <v>2008</v>
      </c>
      <c r="K345" s="2" t="s">
        <v>2009</v>
      </c>
      <c r="L345" s="2" t="s">
        <v>127</v>
      </c>
      <c r="M345" s="2"/>
      <c r="N345" s="2"/>
      <c r="O345" s="2" t="s">
        <v>2010</v>
      </c>
      <c r="P345" s="2" t="s">
        <v>2011</v>
      </c>
      <c r="Q345" s="6" t="s">
        <v>97</v>
      </c>
      <c r="R345" s="6" t="s">
        <v>106</v>
      </c>
      <c r="S345" s="9" t="s">
        <v>2012</v>
      </c>
      <c r="T345" s="6"/>
      <c r="U345" s="6"/>
      <c r="V345" s="10"/>
      <c r="W345" s="10" t="s">
        <v>88</v>
      </c>
      <c r="X345" s="10"/>
      <c r="Y345" s="10"/>
    </row>
    <row r="346" customFormat="false" ht="23.85" hidden="false" customHeight="false" outlineLevel="0" collapsed="false">
      <c r="A346" s="6" t="n">
        <v>345</v>
      </c>
      <c r="B346" s="7" t="s">
        <v>2013</v>
      </c>
      <c r="C346" s="6" t="str">
        <f aca="false">IF(U346&lt;&gt;"","Client",IF(D346&gt;=9,"A",IF(D346&gt;=7,"B","C")))</f>
        <v>C</v>
      </c>
      <c r="D346" s="6" t="n">
        <f aca="false">E346+F346+G346</f>
        <v>6</v>
      </c>
      <c r="E346" s="6" t="n">
        <v>4</v>
      </c>
      <c r="F346" s="6" t="n">
        <v>2</v>
      </c>
      <c r="G346" s="8" t="n">
        <v>0</v>
      </c>
      <c r="H346" s="6" t="s">
        <v>90</v>
      </c>
      <c r="I346" s="6" t="s">
        <v>287</v>
      </c>
      <c r="J346" s="2" t="s">
        <v>824</v>
      </c>
      <c r="K346" s="2" t="s">
        <v>2014</v>
      </c>
      <c r="L346" s="2" t="s">
        <v>127</v>
      </c>
      <c r="M346" s="2"/>
      <c r="N346" s="2"/>
      <c r="O346" s="2" t="s">
        <v>2015</v>
      </c>
      <c r="P346" s="2" t="s">
        <v>2016</v>
      </c>
      <c r="Q346" s="6" t="s">
        <v>2017</v>
      </c>
      <c r="R346" s="6" t="s">
        <v>98</v>
      </c>
      <c r="S346" s="9" t="s">
        <v>2018</v>
      </c>
      <c r="T346" s="6"/>
      <c r="U346" s="6"/>
      <c r="V346" s="10"/>
      <c r="W346" s="10" t="s">
        <v>88</v>
      </c>
      <c r="X346" s="10"/>
      <c r="Y346" s="10"/>
    </row>
    <row r="347" customFormat="false" ht="15" hidden="false" customHeight="false" outlineLevel="0" collapsed="false">
      <c r="A347" s="6" t="n">
        <v>346</v>
      </c>
      <c r="B347" s="7" t="s">
        <v>2019</v>
      </c>
      <c r="C347" s="6" t="str">
        <f aca="false">IF(U347&lt;&gt;"","Client",IF(D347&gt;=9,"A",IF(D347&gt;=7,"B","C")))</f>
        <v>C</v>
      </c>
      <c r="D347" s="6" t="n">
        <f aca="false">E347+F347+G347</f>
        <v>6</v>
      </c>
      <c r="E347" s="6" t="n">
        <v>4</v>
      </c>
      <c r="F347" s="6" t="n">
        <v>2</v>
      </c>
      <c r="G347" s="8" t="n">
        <v>0</v>
      </c>
      <c r="H347" s="6" t="s">
        <v>118</v>
      </c>
      <c r="I347" s="6" t="s">
        <v>287</v>
      </c>
      <c r="J347" s="2" t="s">
        <v>2020</v>
      </c>
      <c r="K347" s="2" t="s">
        <v>664</v>
      </c>
      <c r="L347" s="2" t="s">
        <v>102</v>
      </c>
      <c r="M347" s="2"/>
      <c r="N347" s="2"/>
      <c r="O347" s="2"/>
      <c r="P347" s="2" t="s">
        <v>2021</v>
      </c>
      <c r="Q347" s="6" t="s">
        <v>2022</v>
      </c>
      <c r="R347" s="6" t="s">
        <v>106</v>
      </c>
      <c r="S347" s="9" t="s">
        <v>2023</v>
      </c>
      <c r="T347" s="6"/>
      <c r="U347" s="6"/>
      <c r="V347" s="10"/>
      <c r="W347" s="10" t="s">
        <v>88</v>
      </c>
      <c r="X347" s="10"/>
      <c r="Y347" s="10"/>
    </row>
    <row r="348" customFormat="false" ht="23.85" hidden="false" customHeight="false" outlineLevel="0" collapsed="false">
      <c r="A348" s="6" t="n">
        <v>347</v>
      </c>
      <c r="B348" s="7" t="s">
        <v>2024</v>
      </c>
      <c r="C348" s="6" t="str">
        <f aca="false">IF(U348&lt;&gt;"","Client",IF(D348&gt;=9,"A",IF(D348&gt;=7,"B","C")))</f>
        <v>C</v>
      </c>
      <c r="D348" s="6" t="n">
        <f aca="false">E348+F348+G348</f>
        <v>6</v>
      </c>
      <c r="E348" s="6" t="n">
        <v>4</v>
      </c>
      <c r="F348" s="6" t="n">
        <v>2</v>
      </c>
      <c r="G348" s="8" t="n">
        <v>0</v>
      </c>
      <c r="H348" s="6" t="s">
        <v>239</v>
      </c>
      <c r="I348" s="6" t="s">
        <v>287</v>
      </c>
      <c r="J348" s="2" t="s">
        <v>2024</v>
      </c>
      <c r="K348" s="2" t="s">
        <v>2025</v>
      </c>
      <c r="L348" s="2" t="s">
        <v>127</v>
      </c>
      <c r="M348" s="2"/>
      <c r="N348" s="2"/>
      <c r="O348" s="2"/>
      <c r="P348" s="2" t="s">
        <v>2026</v>
      </c>
      <c r="Q348" s="6" t="s">
        <v>642</v>
      </c>
      <c r="R348" s="6" t="s">
        <v>85</v>
      </c>
      <c r="S348" s="9" t="s">
        <v>2027</v>
      </c>
      <c r="T348" s="6"/>
      <c r="U348" s="6"/>
      <c r="V348" s="10"/>
      <c r="W348" s="10" t="s">
        <v>88</v>
      </c>
      <c r="X348" s="10"/>
      <c r="Y348" s="10"/>
    </row>
    <row r="349" customFormat="false" ht="15" hidden="false" customHeight="false" outlineLevel="0" collapsed="false">
      <c r="A349" s="6" t="n">
        <v>348</v>
      </c>
      <c r="B349" s="7" t="s">
        <v>2028</v>
      </c>
      <c r="C349" s="6" t="str">
        <f aca="false">IF(U349&lt;&gt;"","Client",IF(D349&gt;=9,"A",IF(D349&gt;=7,"B","C")))</f>
        <v>C</v>
      </c>
      <c r="D349" s="6" t="n">
        <f aca="false">E349+F349+G349</f>
        <v>6</v>
      </c>
      <c r="E349" s="6" t="n">
        <v>4</v>
      </c>
      <c r="F349" s="6" t="n">
        <v>2</v>
      </c>
      <c r="G349" s="8" t="n">
        <v>0</v>
      </c>
      <c r="H349" s="6" t="s">
        <v>239</v>
      </c>
      <c r="I349" s="6" t="s">
        <v>287</v>
      </c>
      <c r="J349" s="2" t="s">
        <v>2028</v>
      </c>
      <c r="K349" s="2" t="s">
        <v>2029</v>
      </c>
      <c r="L349" s="2" t="s">
        <v>127</v>
      </c>
      <c r="M349" s="2"/>
      <c r="N349" s="2" t="s">
        <v>1533</v>
      </c>
      <c r="O349" s="2" t="s">
        <v>2030</v>
      </c>
      <c r="P349" s="2" t="s">
        <v>2031</v>
      </c>
      <c r="Q349" s="6" t="s">
        <v>160</v>
      </c>
      <c r="R349" s="6" t="s">
        <v>85</v>
      </c>
      <c r="S349" s="9" t="s">
        <v>2032</v>
      </c>
      <c r="T349" s="6"/>
      <c r="U349" s="6"/>
      <c r="V349" s="10"/>
      <c r="W349" s="10" t="s">
        <v>88</v>
      </c>
      <c r="X349" s="10"/>
      <c r="Y349" s="10"/>
    </row>
    <row r="350" customFormat="false" ht="57.45" hidden="false" customHeight="false" outlineLevel="0" collapsed="false">
      <c r="A350" s="6" t="n">
        <v>349</v>
      </c>
      <c r="B350" s="7" t="s">
        <v>2033</v>
      </c>
      <c r="C350" s="6" t="str">
        <f aca="false">IF(U350&lt;&gt;"","Client",IF(D350&gt;=9,"A",IF(D350&gt;=7,"B","C")))</f>
        <v>C</v>
      </c>
      <c r="D350" s="6" t="n">
        <f aca="false">E350+F350+G350</f>
        <v>6</v>
      </c>
      <c r="E350" s="6" t="n">
        <v>4</v>
      </c>
      <c r="F350" s="6" t="n">
        <v>2</v>
      </c>
      <c r="G350" s="8" t="n">
        <v>0</v>
      </c>
      <c r="H350" s="6" t="s">
        <v>90</v>
      </c>
      <c r="I350" s="6" t="s">
        <v>287</v>
      </c>
      <c r="J350" s="2" t="s">
        <v>2034</v>
      </c>
      <c r="K350" s="2" t="s">
        <v>2035</v>
      </c>
      <c r="L350" s="2" t="s">
        <v>374</v>
      </c>
      <c r="M350" s="2"/>
      <c r="N350" s="2" t="s">
        <v>2036</v>
      </c>
      <c r="O350" s="2" t="s">
        <v>2037</v>
      </c>
      <c r="P350" s="2" t="s">
        <v>2038</v>
      </c>
      <c r="Q350" s="6" t="s">
        <v>281</v>
      </c>
      <c r="R350" s="6" t="s">
        <v>85</v>
      </c>
      <c r="S350" s="9" t="s">
        <v>2039</v>
      </c>
      <c r="T350" s="9" t="s">
        <v>2040</v>
      </c>
      <c r="U350" s="6"/>
      <c r="V350" s="10"/>
      <c r="W350" s="10" t="s">
        <v>88</v>
      </c>
      <c r="X350" s="10"/>
      <c r="Y350" s="10"/>
    </row>
    <row r="351" customFormat="false" ht="23.85" hidden="false" customHeight="false" outlineLevel="0" collapsed="false">
      <c r="A351" s="6" t="n">
        <v>350</v>
      </c>
      <c r="B351" s="7" t="s">
        <v>2041</v>
      </c>
      <c r="C351" s="6" t="str">
        <f aca="false">IF(U351&lt;&gt;"","Client",IF(D351&gt;=9,"A",IF(D351&gt;=7,"B","C")))</f>
        <v>C</v>
      </c>
      <c r="D351" s="6" t="n">
        <f aca="false">E351+F351+G351</f>
        <v>6</v>
      </c>
      <c r="E351" s="6" t="n">
        <v>4</v>
      </c>
      <c r="F351" s="6" t="n">
        <v>2</v>
      </c>
      <c r="G351" s="8" t="n">
        <v>0</v>
      </c>
      <c r="H351" s="6" t="s">
        <v>239</v>
      </c>
      <c r="I351" s="6" t="s">
        <v>287</v>
      </c>
      <c r="J351" s="2" t="s">
        <v>2042</v>
      </c>
      <c r="K351" s="2" t="s">
        <v>2043</v>
      </c>
      <c r="L351" s="2" t="s">
        <v>127</v>
      </c>
      <c r="M351" s="2"/>
      <c r="N351" s="2"/>
      <c r="O351" s="2"/>
      <c r="P351" s="2" t="s">
        <v>2044</v>
      </c>
      <c r="Q351" s="6" t="s">
        <v>1455</v>
      </c>
      <c r="R351" s="6" t="s">
        <v>106</v>
      </c>
      <c r="S351" s="9" t="s">
        <v>2045</v>
      </c>
      <c r="T351" s="6"/>
      <c r="U351" s="6"/>
      <c r="V351" s="10"/>
      <c r="W351" s="10" t="s">
        <v>88</v>
      </c>
      <c r="X351" s="10"/>
      <c r="Y351" s="10"/>
    </row>
    <row r="352" customFormat="false" ht="23.85" hidden="false" customHeight="false" outlineLevel="0" collapsed="false">
      <c r="A352" s="6" t="n">
        <v>351</v>
      </c>
      <c r="B352" s="7" t="s">
        <v>2046</v>
      </c>
      <c r="C352" s="6" t="str">
        <f aca="false">IF(U352&lt;&gt;"","Client",IF(D352&gt;=9,"A",IF(D352&gt;=7,"B","C")))</f>
        <v>C</v>
      </c>
      <c r="D352" s="6" t="n">
        <f aca="false">E352+F352+G352</f>
        <v>6</v>
      </c>
      <c r="E352" s="6" t="n">
        <v>4</v>
      </c>
      <c r="F352" s="6" t="n">
        <v>2</v>
      </c>
      <c r="G352" s="8" t="n">
        <v>0</v>
      </c>
      <c r="H352" s="6" t="s">
        <v>76</v>
      </c>
      <c r="I352" s="6" t="s">
        <v>287</v>
      </c>
      <c r="J352" s="2" t="s">
        <v>2047</v>
      </c>
      <c r="K352" s="2" t="s">
        <v>2048</v>
      </c>
      <c r="L352" s="2" t="s">
        <v>1175</v>
      </c>
      <c r="M352" s="2"/>
      <c r="N352" s="2"/>
      <c r="O352" s="2" t="s">
        <v>2049</v>
      </c>
      <c r="P352" s="2" t="s">
        <v>2050</v>
      </c>
      <c r="Q352" s="6" t="s">
        <v>389</v>
      </c>
      <c r="R352" s="6" t="s">
        <v>85</v>
      </c>
      <c r="S352" s="9" t="s">
        <v>2051</v>
      </c>
      <c r="T352" s="6"/>
      <c r="U352" s="6"/>
      <c r="V352" s="10"/>
      <c r="W352" s="10" t="s">
        <v>88</v>
      </c>
      <c r="X352" s="10"/>
      <c r="Y352" s="10"/>
    </row>
    <row r="353" customFormat="false" ht="23.85" hidden="false" customHeight="false" outlineLevel="0" collapsed="false">
      <c r="A353" s="6" t="n">
        <v>352</v>
      </c>
      <c r="B353" s="7" t="s">
        <v>2052</v>
      </c>
      <c r="C353" s="6" t="str">
        <f aca="false">IF(U353&lt;&gt;"","Client",IF(D353&gt;=9,"A",IF(D353&gt;=7,"B","C")))</f>
        <v>C</v>
      </c>
      <c r="D353" s="6" t="n">
        <f aca="false">E353+F353+G353</f>
        <v>6</v>
      </c>
      <c r="E353" s="6" t="n">
        <v>4</v>
      </c>
      <c r="F353" s="6" t="n">
        <v>2</v>
      </c>
      <c r="G353" s="8" t="n">
        <v>0</v>
      </c>
      <c r="H353" s="6" t="s">
        <v>239</v>
      </c>
      <c r="I353" s="6" t="s">
        <v>287</v>
      </c>
      <c r="J353" s="2" t="s">
        <v>2052</v>
      </c>
      <c r="K353" s="2" t="s">
        <v>2053</v>
      </c>
      <c r="L353" s="2" t="s">
        <v>167</v>
      </c>
      <c r="M353" s="2"/>
      <c r="N353" s="2"/>
      <c r="O353" s="2" t="s">
        <v>2054</v>
      </c>
      <c r="P353" s="2" t="s">
        <v>2055</v>
      </c>
      <c r="Q353" s="6" t="s">
        <v>130</v>
      </c>
      <c r="R353" s="6" t="s">
        <v>106</v>
      </c>
      <c r="S353" s="9" t="s">
        <v>2056</v>
      </c>
      <c r="T353" s="6"/>
      <c r="U353" s="6"/>
      <c r="V353" s="10"/>
      <c r="W353" s="10" t="s">
        <v>88</v>
      </c>
      <c r="X353" s="10"/>
      <c r="Y353" s="10"/>
    </row>
    <row r="354" customFormat="false" ht="15" hidden="false" customHeight="false" outlineLevel="0" collapsed="false">
      <c r="A354" s="6" t="n">
        <v>353</v>
      </c>
      <c r="B354" s="7" t="s">
        <v>2057</v>
      </c>
      <c r="C354" s="6" t="str">
        <f aca="false">IF(U354&lt;&gt;"","Client",IF(D354&gt;=9,"A",IF(D354&gt;=7,"B","C")))</f>
        <v>C</v>
      </c>
      <c r="D354" s="6" t="n">
        <f aca="false">E354+F354+G354</f>
        <v>6</v>
      </c>
      <c r="E354" s="6" t="n">
        <v>4</v>
      </c>
      <c r="F354" s="6" t="n">
        <v>2</v>
      </c>
      <c r="G354" s="8" t="n">
        <v>0</v>
      </c>
      <c r="H354" s="6" t="s">
        <v>118</v>
      </c>
      <c r="I354" s="6" t="s">
        <v>287</v>
      </c>
      <c r="J354" s="2" t="s">
        <v>2058</v>
      </c>
      <c r="K354" s="2" t="s">
        <v>2059</v>
      </c>
      <c r="L354" s="2" t="s">
        <v>127</v>
      </c>
      <c r="M354" s="2"/>
      <c r="N354" s="2"/>
      <c r="O354" s="2" t="s">
        <v>2060</v>
      </c>
      <c r="P354" s="2" t="s">
        <v>2061</v>
      </c>
      <c r="Q354" s="6" t="s">
        <v>1162</v>
      </c>
      <c r="R354" s="6" t="s">
        <v>85</v>
      </c>
      <c r="S354" s="9" t="s">
        <v>2062</v>
      </c>
      <c r="T354" s="6"/>
      <c r="U354" s="6"/>
      <c r="V354" s="10"/>
      <c r="W354" s="10" t="s">
        <v>88</v>
      </c>
      <c r="X354" s="10"/>
      <c r="Y354" s="10"/>
    </row>
    <row r="355" customFormat="false" ht="23.85" hidden="false" customHeight="false" outlineLevel="0" collapsed="false">
      <c r="A355" s="6" t="n">
        <v>354</v>
      </c>
      <c r="B355" s="7" t="s">
        <v>2063</v>
      </c>
      <c r="C355" s="6" t="str">
        <f aca="false">IF(U355&lt;&gt;"","Client",IF(D355&gt;=9,"A",IF(D355&gt;=7,"B","C")))</f>
        <v>C</v>
      </c>
      <c r="D355" s="6" t="n">
        <f aca="false">E355+F355+G355</f>
        <v>6</v>
      </c>
      <c r="E355" s="6" t="n">
        <v>4</v>
      </c>
      <c r="F355" s="6" t="n">
        <v>2</v>
      </c>
      <c r="G355" s="8" t="n">
        <v>0</v>
      </c>
      <c r="H355" s="6" t="s">
        <v>118</v>
      </c>
      <c r="I355" s="6" t="s">
        <v>287</v>
      </c>
      <c r="J355" s="2" t="s">
        <v>2064</v>
      </c>
      <c r="K355" s="2" t="s">
        <v>2065</v>
      </c>
      <c r="L355" s="2" t="s">
        <v>167</v>
      </c>
      <c r="M355" s="2"/>
      <c r="N355" s="2"/>
      <c r="O355" s="2" t="s">
        <v>2066</v>
      </c>
      <c r="P355" s="2" t="s">
        <v>2067</v>
      </c>
      <c r="Q355" s="6" t="s">
        <v>2068</v>
      </c>
      <c r="R355" s="6" t="s">
        <v>106</v>
      </c>
      <c r="S355" s="9" t="s">
        <v>2069</v>
      </c>
      <c r="T355" s="6"/>
      <c r="U355" s="6"/>
      <c r="V355" s="10"/>
      <c r="W355" s="10" t="s">
        <v>88</v>
      </c>
      <c r="X355" s="10"/>
      <c r="Y355" s="10"/>
    </row>
    <row r="356" customFormat="false" ht="23.85" hidden="false" customHeight="false" outlineLevel="0" collapsed="false">
      <c r="A356" s="6" t="n">
        <v>355</v>
      </c>
      <c r="B356" s="7" t="s">
        <v>2070</v>
      </c>
      <c r="C356" s="6" t="str">
        <f aca="false">IF(U356&lt;&gt;"","Client",IF(D356&gt;=9,"A",IF(D356&gt;=7,"B","C")))</f>
        <v>C</v>
      </c>
      <c r="D356" s="6" t="n">
        <f aca="false">E356+F356+G356</f>
        <v>6</v>
      </c>
      <c r="E356" s="6" t="n">
        <v>4</v>
      </c>
      <c r="F356" s="6" t="n">
        <v>2</v>
      </c>
      <c r="G356" s="8" t="n">
        <v>0</v>
      </c>
      <c r="H356" s="6" t="s">
        <v>239</v>
      </c>
      <c r="I356" s="6" t="s">
        <v>287</v>
      </c>
      <c r="J356" s="2" t="s">
        <v>2071</v>
      </c>
      <c r="K356" s="2" t="s">
        <v>2072</v>
      </c>
      <c r="L356" s="2" t="s">
        <v>652</v>
      </c>
      <c r="M356" s="2"/>
      <c r="N356" s="2"/>
      <c r="O356" s="2" t="s">
        <v>2073</v>
      </c>
      <c r="P356" s="2" t="s">
        <v>2074</v>
      </c>
      <c r="Q356" s="6" t="s">
        <v>2075</v>
      </c>
      <c r="R356" s="6" t="s">
        <v>106</v>
      </c>
      <c r="S356" s="9" t="s">
        <v>2076</v>
      </c>
      <c r="T356" s="6"/>
      <c r="U356" s="6"/>
      <c r="V356" s="10"/>
      <c r="W356" s="10" t="s">
        <v>88</v>
      </c>
      <c r="X356" s="10"/>
      <c r="Y356" s="10"/>
    </row>
    <row r="357" customFormat="false" ht="15" hidden="false" customHeight="false" outlineLevel="0" collapsed="false">
      <c r="A357" s="6" t="n">
        <v>356</v>
      </c>
      <c r="B357" s="7" t="s">
        <v>2077</v>
      </c>
      <c r="C357" s="6" t="str">
        <f aca="false">IF(U357&lt;&gt;"","Client",IF(D357&gt;=9,"A",IF(D357&gt;=7,"B","C")))</f>
        <v>C</v>
      </c>
      <c r="D357" s="6" t="n">
        <f aca="false">E357+F357+G357</f>
        <v>6</v>
      </c>
      <c r="E357" s="6" t="n">
        <v>4</v>
      </c>
      <c r="F357" s="6" t="n">
        <v>2</v>
      </c>
      <c r="G357" s="8" t="n">
        <v>0</v>
      </c>
      <c r="H357" s="6" t="s">
        <v>239</v>
      </c>
      <c r="I357" s="6" t="s">
        <v>287</v>
      </c>
      <c r="J357" s="2" t="s">
        <v>2077</v>
      </c>
      <c r="K357" s="2" t="s">
        <v>2078</v>
      </c>
      <c r="L357" s="2" t="s">
        <v>127</v>
      </c>
      <c r="M357" s="2"/>
      <c r="N357" s="2"/>
      <c r="O357" s="2" t="s">
        <v>2079</v>
      </c>
      <c r="P357" s="2" t="s">
        <v>2080</v>
      </c>
      <c r="Q357" s="6" t="s">
        <v>517</v>
      </c>
      <c r="R357" s="6" t="s">
        <v>85</v>
      </c>
      <c r="S357" s="9" t="s">
        <v>2081</v>
      </c>
      <c r="T357" s="6"/>
      <c r="U357" s="6"/>
      <c r="V357" s="10"/>
      <c r="W357" s="10" t="s">
        <v>88</v>
      </c>
      <c r="X357" s="10"/>
      <c r="Y357" s="10"/>
    </row>
    <row r="358" customFormat="false" ht="23.85" hidden="false" customHeight="false" outlineLevel="0" collapsed="false">
      <c r="A358" s="6" t="n">
        <v>357</v>
      </c>
      <c r="B358" s="7" t="s">
        <v>2082</v>
      </c>
      <c r="C358" s="6" t="str">
        <f aca="false">IF(U358&lt;&gt;"","Client",IF(D358&gt;=9,"A",IF(D358&gt;=7,"B","C")))</f>
        <v>C</v>
      </c>
      <c r="D358" s="6" t="n">
        <f aca="false">E358+F358+G358</f>
        <v>6</v>
      </c>
      <c r="E358" s="6" t="n">
        <v>4</v>
      </c>
      <c r="F358" s="6" t="n">
        <v>2</v>
      </c>
      <c r="G358" s="8" t="n">
        <v>0</v>
      </c>
      <c r="H358" s="6" t="s">
        <v>76</v>
      </c>
      <c r="I358" s="6" t="s">
        <v>287</v>
      </c>
      <c r="J358" s="2" t="s">
        <v>2082</v>
      </c>
      <c r="K358" s="2" t="s">
        <v>2083</v>
      </c>
      <c r="L358" s="2" t="s">
        <v>127</v>
      </c>
      <c r="M358" s="2"/>
      <c r="N358" s="2" t="s">
        <v>1533</v>
      </c>
      <c r="O358" s="2"/>
      <c r="P358" s="2" t="s">
        <v>2084</v>
      </c>
      <c r="Q358" s="6" t="s">
        <v>97</v>
      </c>
      <c r="R358" s="6" t="s">
        <v>85</v>
      </c>
      <c r="S358" s="9" t="s">
        <v>2085</v>
      </c>
      <c r="T358" s="6"/>
      <c r="U358" s="6"/>
      <c r="V358" s="10"/>
      <c r="W358" s="10" t="s">
        <v>88</v>
      </c>
      <c r="X358" s="10"/>
      <c r="Y358" s="10"/>
    </row>
    <row r="359" customFormat="false" ht="23.85" hidden="false" customHeight="false" outlineLevel="0" collapsed="false">
      <c r="A359" s="6" t="n">
        <v>358</v>
      </c>
      <c r="B359" s="7" t="s">
        <v>2086</v>
      </c>
      <c r="C359" s="6" t="str">
        <f aca="false">IF(U359&lt;&gt;"","Client",IF(D359&gt;=9,"A",IF(D359&gt;=7,"B","C")))</f>
        <v>C</v>
      </c>
      <c r="D359" s="6" t="n">
        <f aca="false">E359+F359+G359</f>
        <v>6</v>
      </c>
      <c r="E359" s="6" t="n">
        <v>4</v>
      </c>
      <c r="F359" s="6" t="n">
        <v>2</v>
      </c>
      <c r="G359" s="8" t="n">
        <v>0</v>
      </c>
      <c r="H359" s="6" t="s">
        <v>239</v>
      </c>
      <c r="I359" s="6" t="s">
        <v>287</v>
      </c>
      <c r="J359" s="2" t="s">
        <v>406</v>
      </c>
      <c r="K359" s="2" t="s">
        <v>2087</v>
      </c>
      <c r="L359" s="2" t="s">
        <v>127</v>
      </c>
      <c r="M359" s="2"/>
      <c r="N359" s="2"/>
      <c r="O359" s="2" t="s">
        <v>2088</v>
      </c>
      <c r="P359" s="2" t="s">
        <v>2089</v>
      </c>
      <c r="Q359" s="6" t="s">
        <v>281</v>
      </c>
      <c r="R359" s="6" t="s">
        <v>106</v>
      </c>
      <c r="S359" s="9" t="s">
        <v>2090</v>
      </c>
      <c r="T359" s="6"/>
      <c r="U359" s="6"/>
      <c r="V359" s="10"/>
      <c r="W359" s="10" t="s">
        <v>88</v>
      </c>
      <c r="X359" s="10"/>
      <c r="Y359" s="10"/>
    </row>
    <row r="360" customFormat="false" ht="23.85" hidden="false" customHeight="false" outlineLevel="0" collapsed="false">
      <c r="A360" s="6" t="n">
        <v>359</v>
      </c>
      <c r="B360" s="7" t="s">
        <v>2091</v>
      </c>
      <c r="C360" s="6" t="str">
        <f aca="false">IF(U360&lt;&gt;"","Client",IF(D360&gt;=9,"A",IF(D360&gt;=7,"B","C")))</f>
        <v>C</v>
      </c>
      <c r="D360" s="6" t="n">
        <f aca="false">E360+F360+G360</f>
        <v>6</v>
      </c>
      <c r="E360" s="6" t="n">
        <v>4</v>
      </c>
      <c r="F360" s="6" t="n">
        <v>2</v>
      </c>
      <c r="G360" s="8" t="n">
        <v>0</v>
      </c>
      <c r="H360" s="6" t="s">
        <v>239</v>
      </c>
      <c r="I360" s="6" t="s">
        <v>287</v>
      </c>
      <c r="J360" s="2" t="s">
        <v>2091</v>
      </c>
      <c r="K360" s="2" t="s">
        <v>2092</v>
      </c>
      <c r="L360" s="2" t="s">
        <v>127</v>
      </c>
      <c r="M360" s="2"/>
      <c r="N360" s="2"/>
      <c r="O360" s="2" t="s">
        <v>2093</v>
      </c>
      <c r="P360" s="2" t="s">
        <v>2094</v>
      </c>
      <c r="Q360" s="6" t="s">
        <v>97</v>
      </c>
      <c r="R360" s="6" t="s">
        <v>98</v>
      </c>
      <c r="S360" s="9" t="s">
        <v>1679</v>
      </c>
      <c r="T360" s="6"/>
      <c r="U360" s="6"/>
      <c r="V360" s="10"/>
      <c r="W360" s="10" t="s">
        <v>88</v>
      </c>
      <c r="X360" s="10"/>
      <c r="Y360" s="10"/>
    </row>
    <row r="361" customFormat="false" ht="23.85" hidden="false" customHeight="false" outlineLevel="0" collapsed="false">
      <c r="A361" s="6" t="n">
        <v>360</v>
      </c>
      <c r="B361" s="7" t="s">
        <v>2095</v>
      </c>
      <c r="C361" s="6" t="str">
        <f aca="false">IF(U361&lt;&gt;"","Client",IF(D361&gt;=9,"A",IF(D361&gt;=7,"B","C")))</f>
        <v>C</v>
      </c>
      <c r="D361" s="6" t="n">
        <f aca="false">E361+F361+G361</f>
        <v>6</v>
      </c>
      <c r="E361" s="6" t="n">
        <v>4</v>
      </c>
      <c r="F361" s="6" t="n">
        <v>2</v>
      </c>
      <c r="G361" s="8" t="n">
        <v>0</v>
      </c>
      <c r="H361" s="6" t="s">
        <v>239</v>
      </c>
      <c r="I361" s="6" t="s">
        <v>287</v>
      </c>
      <c r="J361" s="2" t="s">
        <v>2096</v>
      </c>
      <c r="K361" s="2" t="s">
        <v>2097</v>
      </c>
      <c r="L361" s="2" t="s">
        <v>127</v>
      </c>
      <c r="M361" s="2"/>
      <c r="N361" s="2"/>
      <c r="O361" s="2"/>
      <c r="P361" s="2" t="s">
        <v>2098</v>
      </c>
      <c r="Q361" s="6" t="s">
        <v>97</v>
      </c>
      <c r="R361" s="6" t="s">
        <v>106</v>
      </c>
      <c r="S361" s="9" t="s">
        <v>2099</v>
      </c>
      <c r="T361" s="6"/>
      <c r="U361" s="6"/>
      <c r="V361" s="10"/>
      <c r="W361" s="10" t="s">
        <v>88</v>
      </c>
      <c r="X361" s="10"/>
      <c r="Y361" s="10"/>
    </row>
    <row r="362" customFormat="false" ht="23.85" hidden="false" customHeight="false" outlineLevel="0" collapsed="false">
      <c r="A362" s="6" t="n">
        <v>361</v>
      </c>
      <c r="B362" s="7" t="s">
        <v>2100</v>
      </c>
      <c r="C362" s="6" t="str">
        <f aca="false">IF(U362&lt;&gt;"","Client",IF(D362&gt;=9,"A",IF(D362&gt;=7,"B","C")))</f>
        <v>C</v>
      </c>
      <c r="D362" s="6" t="n">
        <f aca="false">E362+F362+G362</f>
        <v>6</v>
      </c>
      <c r="E362" s="6" t="n">
        <v>4</v>
      </c>
      <c r="F362" s="6" t="n">
        <v>2</v>
      </c>
      <c r="G362" s="8" t="n">
        <v>0</v>
      </c>
      <c r="H362" s="6" t="s">
        <v>76</v>
      </c>
      <c r="I362" s="6" t="s">
        <v>287</v>
      </c>
      <c r="J362" s="2" t="s">
        <v>2100</v>
      </c>
      <c r="K362" s="2" t="s">
        <v>2083</v>
      </c>
      <c r="L362" s="2" t="s">
        <v>127</v>
      </c>
      <c r="M362" s="2"/>
      <c r="N362" s="2" t="s">
        <v>1533</v>
      </c>
      <c r="O362" s="2"/>
      <c r="P362" s="2" t="s">
        <v>2101</v>
      </c>
      <c r="Q362" s="6" t="s">
        <v>97</v>
      </c>
      <c r="R362" s="6" t="s">
        <v>85</v>
      </c>
      <c r="S362" s="9" t="s">
        <v>2085</v>
      </c>
      <c r="T362" s="6"/>
      <c r="U362" s="6"/>
      <c r="V362" s="10"/>
      <c r="W362" s="10" t="s">
        <v>88</v>
      </c>
      <c r="X362" s="10"/>
      <c r="Y362" s="10"/>
    </row>
    <row r="363" customFormat="false" ht="15" hidden="false" customHeight="false" outlineLevel="0" collapsed="false">
      <c r="A363" s="6" t="n">
        <v>362</v>
      </c>
      <c r="B363" s="7" t="s">
        <v>2102</v>
      </c>
      <c r="C363" s="6" t="str">
        <f aca="false">IF(U363&lt;&gt;"","Client",IF(D363&gt;=9,"A",IF(D363&gt;=7,"B","C")))</f>
        <v>C</v>
      </c>
      <c r="D363" s="6" t="n">
        <f aca="false">E363+F363+G363</f>
        <v>6</v>
      </c>
      <c r="E363" s="6" t="n">
        <v>4</v>
      </c>
      <c r="F363" s="6" t="n">
        <v>2</v>
      </c>
      <c r="G363" s="8" t="n">
        <v>0</v>
      </c>
      <c r="H363" s="6" t="s">
        <v>239</v>
      </c>
      <c r="I363" s="6" t="s">
        <v>287</v>
      </c>
      <c r="J363" s="2" t="s">
        <v>2103</v>
      </c>
      <c r="K363" s="2" t="s">
        <v>2104</v>
      </c>
      <c r="L363" s="2" t="s">
        <v>127</v>
      </c>
      <c r="M363" s="2"/>
      <c r="N363" s="2"/>
      <c r="O363" s="2" t="s">
        <v>2105</v>
      </c>
      <c r="P363" s="2" t="s">
        <v>2106</v>
      </c>
      <c r="Q363" s="6" t="s">
        <v>97</v>
      </c>
      <c r="R363" s="6" t="s">
        <v>106</v>
      </c>
      <c r="S363" s="9" t="s">
        <v>2099</v>
      </c>
      <c r="T363" s="6"/>
      <c r="U363" s="6"/>
      <c r="V363" s="10"/>
      <c r="W363" s="10" t="s">
        <v>88</v>
      </c>
      <c r="X363" s="10"/>
      <c r="Y363" s="10"/>
    </row>
    <row r="364" customFormat="false" ht="23.85" hidden="false" customHeight="false" outlineLevel="0" collapsed="false">
      <c r="A364" s="6" t="n">
        <v>363</v>
      </c>
      <c r="B364" s="7" t="s">
        <v>2107</v>
      </c>
      <c r="C364" s="6" t="str">
        <f aca="false">IF(U364&lt;&gt;"","Client",IF(D364&gt;=9,"A",IF(D364&gt;=7,"B","C")))</f>
        <v>C</v>
      </c>
      <c r="D364" s="6" t="n">
        <f aca="false">E364+F364+G364</f>
        <v>6</v>
      </c>
      <c r="E364" s="6" t="n">
        <v>4</v>
      </c>
      <c r="F364" s="6" t="n">
        <v>2</v>
      </c>
      <c r="G364" s="8" t="n">
        <v>0</v>
      </c>
      <c r="H364" s="6" t="s">
        <v>239</v>
      </c>
      <c r="I364" s="6" t="s">
        <v>287</v>
      </c>
      <c r="J364" s="2" t="s">
        <v>336</v>
      </c>
      <c r="K364" s="2" t="s">
        <v>2108</v>
      </c>
      <c r="L364" s="2" t="s">
        <v>127</v>
      </c>
      <c r="M364" s="2"/>
      <c r="N364" s="2"/>
      <c r="O364" s="2" t="s">
        <v>2109</v>
      </c>
      <c r="P364" s="2" t="s">
        <v>2110</v>
      </c>
      <c r="Q364" s="6" t="s">
        <v>1774</v>
      </c>
      <c r="R364" s="6" t="s">
        <v>106</v>
      </c>
      <c r="S364" s="9" t="s">
        <v>2111</v>
      </c>
      <c r="T364" s="6"/>
      <c r="U364" s="6"/>
      <c r="V364" s="10"/>
      <c r="W364" s="10" t="s">
        <v>88</v>
      </c>
      <c r="X364" s="10"/>
      <c r="Y364" s="10"/>
    </row>
    <row r="365" customFormat="false" ht="23.85" hidden="false" customHeight="false" outlineLevel="0" collapsed="false">
      <c r="A365" s="6" t="n">
        <v>364</v>
      </c>
      <c r="B365" s="7" t="s">
        <v>2112</v>
      </c>
      <c r="C365" s="6" t="str">
        <f aca="false">IF(U365&lt;&gt;"","Client",IF(D365&gt;=9,"A",IF(D365&gt;=7,"B","C")))</f>
        <v>C</v>
      </c>
      <c r="D365" s="6" t="n">
        <f aca="false">E365+F365+G365</f>
        <v>6</v>
      </c>
      <c r="E365" s="6" t="n">
        <v>4</v>
      </c>
      <c r="F365" s="6" t="n">
        <v>2</v>
      </c>
      <c r="G365" s="8" t="n">
        <v>0</v>
      </c>
      <c r="H365" s="6" t="s">
        <v>118</v>
      </c>
      <c r="I365" s="6" t="s">
        <v>287</v>
      </c>
      <c r="J365" s="2" t="s">
        <v>2113</v>
      </c>
      <c r="K365" s="2" t="s">
        <v>919</v>
      </c>
      <c r="L365" s="2" t="s">
        <v>127</v>
      </c>
      <c r="M365" s="2"/>
      <c r="N365" s="2"/>
      <c r="O365" s="2"/>
      <c r="P365" s="2" t="s">
        <v>2114</v>
      </c>
      <c r="Q365" s="6" t="s">
        <v>1943</v>
      </c>
      <c r="R365" s="6" t="s">
        <v>85</v>
      </c>
      <c r="S365" s="9" t="s">
        <v>2115</v>
      </c>
      <c r="T365" s="6"/>
      <c r="U365" s="6"/>
      <c r="V365" s="10"/>
      <c r="W365" s="10" t="s">
        <v>88</v>
      </c>
      <c r="X365" s="10"/>
      <c r="Y365" s="10"/>
    </row>
    <row r="366" customFormat="false" ht="23.85" hidden="false" customHeight="false" outlineLevel="0" collapsed="false">
      <c r="A366" s="6" t="n">
        <v>365</v>
      </c>
      <c r="B366" s="7" t="s">
        <v>2116</v>
      </c>
      <c r="C366" s="6" t="str">
        <f aca="false">IF(U366&lt;&gt;"","Client",IF(D366&gt;=9,"A",IF(D366&gt;=7,"B","C")))</f>
        <v>C</v>
      </c>
      <c r="D366" s="6" t="n">
        <f aca="false">E366+F366+G366</f>
        <v>6</v>
      </c>
      <c r="E366" s="6" t="n">
        <v>4</v>
      </c>
      <c r="F366" s="6" t="n">
        <v>2</v>
      </c>
      <c r="G366" s="8" t="n">
        <v>0</v>
      </c>
      <c r="H366" s="6" t="s">
        <v>76</v>
      </c>
      <c r="I366" s="6" t="s">
        <v>287</v>
      </c>
      <c r="J366" s="2" t="s">
        <v>2117</v>
      </c>
      <c r="K366" s="2" t="s">
        <v>2118</v>
      </c>
      <c r="L366" s="2" t="s">
        <v>127</v>
      </c>
      <c r="M366" s="2"/>
      <c r="N366" s="2"/>
      <c r="O366" s="2" t="s">
        <v>2119</v>
      </c>
      <c r="P366" s="2" t="s">
        <v>2120</v>
      </c>
      <c r="Q366" s="6" t="s">
        <v>178</v>
      </c>
      <c r="R366" s="6" t="s">
        <v>85</v>
      </c>
      <c r="S366" s="9" t="s">
        <v>2121</v>
      </c>
      <c r="T366" s="9" t="s">
        <v>2122</v>
      </c>
      <c r="U366" s="6"/>
      <c r="V366" s="10"/>
      <c r="W366" s="10" t="s">
        <v>88</v>
      </c>
      <c r="X366" s="10"/>
      <c r="Y366" s="10"/>
    </row>
    <row r="367" customFormat="false" ht="23.85" hidden="false" customHeight="false" outlineLevel="0" collapsed="false">
      <c r="A367" s="6" t="n">
        <v>366</v>
      </c>
      <c r="B367" s="7" t="s">
        <v>2123</v>
      </c>
      <c r="C367" s="6" t="str">
        <f aca="false">IF(U367&lt;&gt;"","Client",IF(D367&gt;=9,"A",IF(D367&gt;=7,"B","C")))</f>
        <v>C</v>
      </c>
      <c r="D367" s="6" t="n">
        <f aca="false">E367+F367+G367</f>
        <v>6</v>
      </c>
      <c r="E367" s="6" t="n">
        <v>4</v>
      </c>
      <c r="F367" s="6" t="n">
        <v>2</v>
      </c>
      <c r="G367" s="8" t="n">
        <v>0</v>
      </c>
      <c r="H367" s="6" t="s">
        <v>118</v>
      </c>
      <c r="I367" s="6" t="s">
        <v>287</v>
      </c>
      <c r="J367" s="2" t="s">
        <v>2124</v>
      </c>
      <c r="K367" s="2" t="s">
        <v>2125</v>
      </c>
      <c r="L367" s="2" t="s">
        <v>167</v>
      </c>
      <c r="M367" s="2"/>
      <c r="N367" s="2"/>
      <c r="O367" s="2" t="s">
        <v>2126</v>
      </c>
      <c r="P367" s="2" t="s">
        <v>2127</v>
      </c>
      <c r="Q367" s="6" t="s">
        <v>256</v>
      </c>
      <c r="R367" s="6" t="s">
        <v>106</v>
      </c>
      <c r="S367" s="9" t="s">
        <v>2128</v>
      </c>
      <c r="T367" s="6"/>
      <c r="U367" s="6"/>
      <c r="V367" s="10"/>
      <c r="W367" s="10" t="s">
        <v>88</v>
      </c>
      <c r="X367" s="10"/>
      <c r="Y367" s="10"/>
    </row>
    <row r="368" customFormat="false" ht="23.85" hidden="false" customHeight="false" outlineLevel="0" collapsed="false">
      <c r="A368" s="6" t="n">
        <v>367</v>
      </c>
      <c r="B368" s="7" t="s">
        <v>2129</v>
      </c>
      <c r="C368" s="6" t="str">
        <f aca="false">IF(U368&lt;&gt;"","Client",IF(D368&gt;=9,"A",IF(D368&gt;=7,"B","C")))</f>
        <v>C</v>
      </c>
      <c r="D368" s="6" t="n">
        <f aca="false">E368+F368+G368</f>
        <v>6</v>
      </c>
      <c r="E368" s="6" t="n">
        <v>4</v>
      </c>
      <c r="F368" s="6" t="n">
        <v>2</v>
      </c>
      <c r="G368" s="8" t="n">
        <v>0</v>
      </c>
      <c r="H368" s="6" t="s">
        <v>239</v>
      </c>
      <c r="I368" s="6" t="s">
        <v>287</v>
      </c>
      <c r="J368" s="2" t="s">
        <v>2130</v>
      </c>
      <c r="K368" s="2" t="s">
        <v>2131</v>
      </c>
      <c r="L368" s="2" t="s">
        <v>127</v>
      </c>
      <c r="M368" s="2"/>
      <c r="N368" s="2"/>
      <c r="O368" s="2" t="s">
        <v>2132</v>
      </c>
      <c r="P368" s="2" t="s">
        <v>2133</v>
      </c>
      <c r="Q368" s="6" t="s">
        <v>97</v>
      </c>
      <c r="R368" s="6" t="s">
        <v>106</v>
      </c>
      <c r="S368" s="9" t="s">
        <v>2134</v>
      </c>
      <c r="T368" s="6"/>
      <c r="U368" s="6"/>
      <c r="V368" s="10"/>
      <c r="W368" s="10" t="s">
        <v>88</v>
      </c>
      <c r="X368" s="10"/>
      <c r="Y368" s="10"/>
    </row>
    <row r="369" customFormat="false" ht="23.85" hidden="false" customHeight="false" outlineLevel="0" collapsed="false">
      <c r="A369" s="6" t="n">
        <v>368</v>
      </c>
      <c r="B369" s="7" t="s">
        <v>2135</v>
      </c>
      <c r="C369" s="6" t="str">
        <f aca="false">IF(U369&lt;&gt;"","Client",IF(D369&gt;=9,"A",IF(D369&gt;=7,"B","C")))</f>
        <v>C</v>
      </c>
      <c r="D369" s="6" t="n">
        <f aca="false">E369+F369+G369</f>
        <v>6</v>
      </c>
      <c r="E369" s="6" t="n">
        <v>4</v>
      </c>
      <c r="F369" s="6" t="n">
        <v>2</v>
      </c>
      <c r="G369" s="8" t="n">
        <v>0</v>
      </c>
      <c r="H369" s="6" t="s">
        <v>239</v>
      </c>
      <c r="I369" s="6" t="s">
        <v>287</v>
      </c>
      <c r="J369" s="2" t="s">
        <v>2136</v>
      </c>
      <c r="K369" s="2" t="s">
        <v>2137</v>
      </c>
      <c r="L369" s="2" t="s">
        <v>127</v>
      </c>
      <c r="M369" s="2"/>
      <c r="N369" s="2"/>
      <c r="O369" s="2" t="s">
        <v>2138</v>
      </c>
      <c r="P369" s="2" t="s">
        <v>2139</v>
      </c>
      <c r="Q369" s="6" t="s">
        <v>1874</v>
      </c>
      <c r="R369" s="6" t="s">
        <v>106</v>
      </c>
      <c r="S369" s="9" t="s">
        <v>2140</v>
      </c>
      <c r="T369" s="6"/>
      <c r="U369" s="6"/>
      <c r="V369" s="10"/>
      <c r="W369" s="10" t="s">
        <v>88</v>
      </c>
      <c r="X369" s="10"/>
      <c r="Y369" s="10"/>
    </row>
    <row r="370" customFormat="false" ht="15" hidden="false" customHeight="false" outlineLevel="0" collapsed="false">
      <c r="A370" s="6" t="n">
        <v>369</v>
      </c>
      <c r="B370" s="7" t="s">
        <v>2141</v>
      </c>
      <c r="C370" s="6" t="str">
        <f aca="false">IF(U370&lt;&gt;"","Client",IF(D370&gt;=9,"A",IF(D370&gt;=7,"B","C")))</f>
        <v>C</v>
      </c>
      <c r="D370" s="6" t="n">
        <f aca="false">E370+F370+G370</f>
        <v>6</v>
      </c>
      <c r="E370" s="6" t="n">
        <v>4</v>
      </c>
      <c r="F370" s="6" t="n">
        <v>2</v>
      </c>
      <c r="G370" s="8" t="n">
        <v>0</v>
      </c>
      <c r="H370" s="6" t="s">
        <v>118</v>
      </c>
      <c r="I370" s="6" t="s">
        <v>287</v>
      </c>
      <c r="J370" s="2" t="s">
        <v>2142</v>
      </c>
      <c r="K370" s="2" t="s">
        <v>2143</v>
      </c>
      <c r="L370" s="2" t="s">
        <v>127</v>
      </c>
      <c r="M370" s="2"/>
      <c r="N370" s="2"/>
      <c r="O370" s="2"/>
      <c r="P370" s="2" t="s">
        <v>2144</v>
      </c>
      <c r="Q370" s="6" t="s">
        <v>97</v>
      </c>
      <c r="R370" s="6" t="s">
        <v>106</v>
      </c>
      <c r="S370" s="9" t="s">
        <v>2145</v>
      </c>
      <c r="T370" s="6"/>
      <c r="U370" s="6"/>
      <c r="V370" s="10"/>
      <c r="W370" s="10" t="s">
        <v>88</v>
      </c>
      <c r="X370" s="10"/>
      <c r="Y370" s="10"/>
    </row>
    <row r="371" customFormat="false" ht="23.85" hidden="false" customHeight="false" outlineLevel="0" collapsed="false">
      <c r="A371" s="6" t="n">
        <v>370</v>
      </c>
      <c r="B371" s="7" t="s">
        <v>2146</v>
      </c>
      <c r="C371" s="6" t="str">
        <f aca="false">IF(U371&lt;&gt;"","Client",IF(D371&gt;=9,"A",IF(D371&gt;=7,"B","C")))</f>
        <v>C</v>
      </c>
      <c r="D371" s="6" t="n">
        <f aca="false">E371+F371+G371</f>
        <v>6</v>
      </c>
      <c r="E371" s="6" t="n">
        <v>4</v>
      </c>
      <c r="F371" s="6" t="n">
        <v>2</v>
      </c>
      <c r="G371" s="8" t="n">
        <v>0</v>
      </c>
      <c r="H371" s="6" t="s">
        <v>239</v>
      </c>
      <c r="I371" s="6" t="s">
        <v>287</v>
      </c>
      <c r="J371" s="2" t="s">
        <v>1987</v>
      </c>
      <c r="K371" s="2" t="s">
        <v>2147</v>
      </c>
      <c r="L371" s="2" t="s">
        <v>127</v>
      </c>
      <c r="M371" s="2"/>
      <c r="N371" s="2"/>
      <c r="O371" s="2"/>
      <c r="P371" s="2" t="s">
        <v>2148</v>
      </c>
      <c r="Q371" s="6" t="s">
        <v>97</v>
      </c>
      <c r="R371" s="6" t="s">
        <v>106</v>
      </c>
      <c r="S371" s="9" t="s">
        <v>2149</v>
      </c>
      <c r="T371" s="6"/>
      <c r="U371" s="6"/>
      <c r="V371" s="10"/>
      <c r="W371" s="10" t="s">
        <v>88</v>
      </c>
      <c r="X371" s="10"/>
      <c r="Y371" s="10"/>
    </row>
    <row r="372" customFormat="false" ht="23.85" hidden="false" customHeight="false" outlineLevel="0" collapsed="false">
      <c r="A372" s="6" t="n">
        <v>371</v>
      </c>
      <c r="B372" s="7" t="s">
        <v>2150</v>
      </c>
      <c r="C372" s="6" t="str">
        <f aca="false">IF(U372&lt;&gt;"","Client",IF(D372&gt;=9,"A",IF(D372&gt;=7,"B","C")))</f>
        <v>C</v>
      </c>
      <c r="D372" s="6" t="n">
        <f aca="false">E372+F372+G372</f>
        <v>6</v>
      </c>
      <c r="E372" s="6" t="n">
        <v>4</v>
      </c>
      <c r="F372" s="6" t="n">
        <v>2</v>
      </c>
      <c r="G372" s="8" t="n">
        <v>0</v>
      </c>
      <c r="H372" s="6" t="s">
        <v>90</v>
      </c>
      <c r="I372" s="6" t="s">
        <v>287</v>
      </c>
      <c r="J372" s="2" t="s">
        <v>2151</v>
      </c>
      <c r="K372" s="2" t="s">
        <v>2152</v>
      </c>
      <c r="L372" s="2" t="s">
        <v>127</v>
      </c>
      <c r="M372" s="2"/>
      <c r="N372" s="2"/>
      <c r="O372" s="2"/>
      <c r="P372" s="2" t="s">
        <v>2153</v>
      </c>
      <c r="Q372" s="6" t="s">
        <v>97</v>
      </c>
      <c r="R372" s="6" t="s">
        <v>98</v>
      </c>
      <c r="S372" s="9" t="s">
        <v>317</v>
      </c>
      <c r="T372" s="6"/>
      <c r="U372" s="6"/>
      <c r="V372" s="10"/>
      <c r="W372" s="10" t="s">
        <v>88</v>
      </c>
      <c r="X372" s="10"/>
      <c r="Y372" s="10"/>
    </row>
    <row r="373" customFormat="false" ht="15" hidden="false" customHeight="false" outlineLevel="0" collapsed="false">
      <c r="A373" s="6" t="n">
        <v>372</v>
      </c>
      <c r="B373" s="7" t="s">
        <v>2154</v>
      </c>
      <c r="C373" s="6" t="str">
        <f aca="false">IF(U373&lt;&gt;"","Client",IF(D373&gt;=9,"A",IF(D373&gt;=7,"B","C")))</f>
        <v>C</v>
      </c>
      <c r="D373" s="6" t="n">
        <f aca="false">E373+F373+G373</f>
        <v>6</v>
      </c>
      <c r="E373" s="6" t="n">
        <v>4</v>
      </c>
      <c r="F373" s="6" t="n">
        <v>2</v>
      </c>
      <c r="G373" s="8" t="n">
        <v>0</v>
      </c>
      <c r="H373" s="6" t="s">
        <v>239</v>
      </c>
      <c r="I373" s="6" t="s">
        <v>287</v>
      </c>
      <c r="J373" s="2" t="s">
        <v>2155</v>
      </c>
      <c r="K373" s="2" t="s">
        <v>1494</v>
      </c>
      <c r="L373" s="2" t="s">
        <v>127</v>
      </c>
      <c r="M373" s="2"/>
      <c r="N373" s="2"/>
      <c r="O373" s="2"/>
      <c r="P373" s="2" t="s">
        <v>2156</v>
      </c>
      <c r="Q373" s="6" t="s">
        <v>97</v>
      </c>
      <c r="R373" s="6" t="s">
        <v>106</v>
      </c>
      <c r="S373" s="9" t="s">
        <v>1989</v>
      </c>
      <c r="T373" s="6"/>
      <c r="U373" s="6"/>
      <c r="V373" s="10"/>
      <c r="W373" s="10" t="s">
        <v>88</v>
      </c>
      <c r="X373" s="10"/>
      <c r="Y373" s="10"/>
    </row>
    <row r="374" customFormat="false" ht="23.85" hidden="false" customHeight="false" outlineLevel="0" collapsed="false">
      <c r="A374" s="6" t="n">
        <v>373</v>
      </c>
      <c r="B374" s="7" t="s">
        <v>2157</v>
      </c>
      <c r="C374" s="6" t="str">
        <f aca="false">IF(U374&lt;&gt;"","Client",IF(D374&gt;=9,"A",IF(D374&gt;=7,"B","C")))</f>
        <v>C</v>
      </c>
      <c r="D374" s="6" t="n">
        <f aca="false">E374+F374+G374</f>
        <v>6</v>
      </c>
      <c r="E374" s="6" t="n">
        <v>4</v>
      </c>
      <c r="F374" s="6" t="n">
        <v>2</v>
      </c>
      <c r="G374" s="8" t="n">
        <v>0</v>
      </c>
      <c r="H374" s="6" t="s">
        <v>239</v>
      </c>
      <c r="I374" s="6" t="s">
        <v>287</v>
      </c>
      <c r="J374" s="2" t="s">
        <v>2157</v>
      </c>
      <c r="K374" s="2" t="s">
        <v>2158</v>
      </c>
      <c r="L374" s="2" t="s">
        <v>127</v>
      </c>
      <c r="M374" s="2"/>
      <c r="N374" s="2" t="s">
        <v>1043</v>
      </c>
      <c r="O374" s="2" t="s">
        <v>2159</v>
      </c>
      <c r="P374" s="2" t="s">
        <v>2160</v>
      </c>
      <c r="Q374" s="6" t="s">
        <v>281</v>
      </c>
      <c r="R374" s="6" t="s">
        <v>85</v>
      </c>
      <c r="S374" s="9" t="s">
        <v>2161</v>
      </c>
      <c r="T374" s="6"/>
      <c r="U374" s="6"/>
      <c r="V374" s="10"/>
      <c r="W374" s="10" t="s">
        <v>88</v>
      </c>
      <c r="X374" s="10"/>
      <c r="Y374" s="10"/>
    </row>
    <row r="375" customFormat="false" ht="23.85" hidden="false" customHeight="false" outlineLevel="0" collapsed="false">
      <c r="A375" s="6" t="n">
        <v>374</v>
      </c>
      <c r="B375" s="7" t="s">
        <v>2162</v>
      </c>
      <c r="C375" s="6" t="str">
        <f aca="false">IF(U375&lt;&gt;"","Client",IF(D375&gt;=9,"A",IF(D375&gt;=7,"B","C")))</f>
        <v>C</v>
      </c>
      <c r="D375" s="6" t="n">
        <f aca="false">E375+F375+G375</f>
        <v>6</v>
      </c>
      <c r="E375" s="6" t="n">
        <v>4</v>
      </c>
      <c r="F375" s="6" t="n">
        <v>2</v>
      </c>
      <c r="G375" s="8" t="n">
        <v>0</v>
      </c>
      <c r="H375" s="6" t="s">
        <v>239</v>
      </c>
      <c r="I375" s="6" t="s">
        <v>287</v>
      </c>
      <c r="J375" s="2" t="s">
        <v>481</v>
      </c>
      <c r="K375" s="2" t="s">
        <v>2163</v>
      </c>
      <c r="L375" s="2" t="s">
        <v>1539</v>
      </c>
      <c r="M375" s="2"/>
      <c r="N375" s="2"/>
      <c r="O375" s="2" t="s">
        <v>2164</v>
      </c>
      <c r="P375" s="2" t="s">
        <v>2165</v>
      </c>
      <c r="Q375" s="6" t="s">
        <v>2166</v>
      </c>
      <c r="R375" s="6" t="s">
        <v>106</v>
      </c>
      <c r="S375" s="9" t="s">
        <v>2167</v>
      </c>
      <c r="T375" s="6"/>
      <c r="U375" s="6"/>
      <c r="V375" s="10"/>
      <c r="W375" s="10" t="s">
        <v>88</v>
      </c>
      <c r="X375" s="10"/>
      <c r="Y375" s="10"/>
    </row>
    <row r="376" customFormat="false" ht="23.85" hidden="false" customHeight="false" outlineLevel="0" collapsed="false">
      <c r="A376" s="6" t="n">
        <v>375</v>
      </c>
      <c r="B376" s="7" t="s">
        <v>2168</v>
      </c>
      <c r="C376" s="6" t="str">
        <f aca="false">IF(U376&lt;&gt;"","Client",IF(D376&gt;=9,"A",IF(D376&gt;=7,"B","C")))</f>
        <v>C</v>
      </c>
      <c r="D376" s="6" t="n">
        <f aca="false">E376+F376+G376</f>
        <v>6</v>
      </c>
      <c r="E376" s="6" t="n">
        <v>4</v>
      </c>
      <c r="F376" s="6" t="n">
        <v>2</v>
      </c>
      <c r="G376" s="8" t="n">
        <v>0</v>
      </c>
      <c r="H376" s="6" t="s">
        <v>90</v>
      </c>
      <c r="I376" s="6" t="s">
        <v>287</v>
      </c>
      <c r="J376" s="2" t="s">
        <v>2169</v>
      </c>
      <c r="K376" s="2" t="s">
        <v>2170</v>
      </c>
      <c r="L376" s="2" t="s">
        <v>1539</v>
      </c>
      <c r="M376" s="2"/>
      <c r="N376" s="2" t="s">
        <v>1533</v>
      </c>
      <c r="O376" s="2" t="s">
        <v>2171</v>
      </c>
      <c r="P376" s="2" t="s">
        <v>2172</v>
      </c>
      <c r="Q376" s="6" t="s">
        <v>130</v>
      </c>
      <c r="R376" s="6" t="s">
        <v>85</v>
      </c>
      <c r="S376" s="9" t="s">
        <v>2173</v>
      </c>
      <c r="T376" s="6"/>
      <c r="U376" s="6"/>
      <c r="V376" s="10"/>
      <c r="W376" s="10" t="s">
        <v>88</v>
      </c>
      <c r="X376" s="10"/>
      <c r="Y376" s="10"/>
    </row>
    <row r="377" customFormat="false" ht="15" hidden="false" customHeight="false" outlineLevel="0" collapsed="false">
      <c r="A377" s="6" t="n">
        <v>376</v>
      </c>
      <c r="B377" s="7" t="s">
        <v>2174</v>
      </c>
      <c r="C377" s="6" t="str">
        <f aca="false">IF(U377&lt;&gt;"","Client",IF(D377&gt;=9,"A",IF(D377&gt;=7,"B","C")))</f>
        <v>C</v>
      </c>
      <c r="D377" s="6" t="n">
        <f aca="false">E377+F377+G377</f>
        <v>6</v>
      </c>
      <c r="E377" s="6" t="n">
        <v>4</v>
      </c>
      <c r="F377" s="6" t="n">
        <v>2</v>
      </c>
      <c r="G377" s="8" t="n">
        <v>0</v>
      </c>
      <c r="H377" s="6" t="s">
        <v>118</v>
      </c>
      <c r="I377" s="6" t="s">
        <v>287</v>
      </c>
      <c r="J377" s="2" t="s">
        <v>2169</v>
      </c>
      <c r="K377" s="2" t="s">
        <v>2175</v>
      </c>
      <c r="L377" s="2" t="s">
        <v>127</v>
      </c>
      <c r="M377" s="2"/>
      <c r="N377" s="2"/>
      <c r="O377" s="2" t="s">
        <v>936</v>
      </c>
      <c r="P377" s="2" t="s">
        <v>2176</v>
      </c>
      <c r="Q377" s="6" t="s">
        <v>97</v>
      </c>
      <c r="R377" s="6" t="s">
        <v>106</v>
      </c>
      <c r="S377" s="9" t="s">
        <v>2177</v>
      </c>
      <c r="T377" s="6"/>
      <c r="U377" s="6"/>
      <c r="V377" s="10"/>
      <c r="W377" s="10" t="s">
        <v>88</v>
      </c>
      <c r="X377" s="10"/>
      <c r="Y377" s="10"/>
    </row>
    <row r="378" customFormat="false" ht="15" hidden="false" customHeight="false" outlineLevel="0" collapsed="false">
      <c r="A378" s="6" t="n">
        <v>377</v>
      </c>
      <c r="B378" s="7" t="s">
        <v>2178</v>
      </c>
      <c r="C378" s="6" t="str">
        <f aca="false">IF(U378&lt;&gt;"","Client",IF(D378&gt;=9,"A",IF(D378&gt;=7,"B","C")))</f>
        <v>C</v>
      </c>
      <c r="D378" s="6" t="n">
        <f aca="false">E378+F378+G378</f>
        <v>6</v>
      </c>
      <c r="E378" s="6" t="n">
        <v>4</v>
      </c>
      <c r="F378" s="6" t="n">
        <v>2</v>
      </c>
      <c r="G378" s="8" t="n">
        <v>0</v>
      </c>
      <c r="H378" s="6" t="s">
        <v>239</v>
      </c>
      <c r="I378" s="6" t="s">
        <v>287</v>
      </c>
      <c r="J378" s="2" t="s">
        <v>2178</v>
      </c>
      <c r="K378" s="2" t="s">
        <v>2179</v>
      </c>
      <c r="L378" s="2" t="s">
        <v>127</v>
      </c>
      <c r="M378" s="2"/>
      <c r="N378" s="2" t="s">
        <v>1533</v>
      </c>
      <c r="O378" s="2"/>
      <c r="P378" s="2" t="s">
        <v>2180</v>
      </c>
      <c r="Q378" s="6" t="s">
        <v>256</v>
      </c>
      <c r="R378" s="6" t="s">
        <v>85</v>
      </c>
      <c r="S378" s="9" t="s">
        <v>2181</v>
      </c>
      <c r="T378" s="6"/>
      <c r="U378" s="6"/>
      <c r="V378" s="10"/>
      <c r="W378" s="10" t="s">
        <v>88</v>
      </c>
      <c r="X378" s="10"/>
      <c r="Y378" s="10"/>
    </row>
    <row r="379" customFormat="false" ht="15" hidden="false" customHeight="false" outlineLevel="0" collapsed="false">
      <c r="A379" s="6" t="n">
        <v>378</v>
      </c>
      <c r="B379" s="7" t="s">
        <v>2182</v>
      </c>
      <c r="C379" s="6" t="str">
        <f aca="false">IF(U379&lt;&gt;"","Client",IF(D379&gt;=9,"A",IF(D379&gt;=7,"B","C")))</f>
        <v>C</v>
      </c>
      <c r="D379" s="6" t="n">
        <f aca="false">E379+F379+G379</f>
        <v>6</v>
      </c>
      <c r="E379" s="6" t="n">
        <v>4</v>
      </c>
      <c r="F379" s="6" t="n">
        <v>2</v>
      </c>
      <c r="G379" s="8" t="n">
        <v>0</v>
      </c>
      <c r="H379" s="6" t="s">
        <v>90</v>
      </c>
      <c r="I379" s="6" t="s">
        <v>287</v>
      </c>
      <c r="J379" s="2" t="s">
        <v>2183</v>
      </c>
      <c r="K379" s="2" t="s">
        <v>2184</v>
      </c>
      <c r="L379" s="2" t="s">
        <v>127</v>
      </c>
      <c r="M379" s="2"/>
      <c r="N379" s="2"/>
      <c r="O379" s="2" t="s">
        <v>936</v>
      </c>
      <c r="P379" s="2" t="s">
        <v>2185</v>
      </c>
      <c r="Q379" s="6" t="s">
        <v>97</v>
      </c>
      <c r="R379" s="6" t="s">
        <v>106</v>
      </c>
      <c r="S379" s="9" t="s">
        <v>2186</v>
      </c>
      <c r="T379" s="6"/>
      <c r="U379" s="6"/>
      <c r="V379" s="10"/>
      <c r="W379" s="10" t="s">
        <v>88</v>
      </c>
      <c r="X379" s="10"/>
      <c r="Y379" s="10"/>
    </row>
    <row r="380" customFormat="false" ht="15" hidden="false" customHeight="false" outlineLevel="0" collapsed="false">
      <c r="A380" s="6" t="n">
        <v>379</v>
      </c>
      <c r="B380" s="7" t="s">
        <v>2187</v>
      </c>
      <c r="C380" s="6" t="str">
        <f aca="false">IF(U380&lt;&gt;"","Client",IF(D380&gt;=9,"A",IF(D380&gt;=7,"B","C")))</f>
        <v>C</v>
      </c>
      <c r="D380" s="6" t="n">
        <f aca="false">E380+F380+G380</f>
        <v>6</v>
      </c>
      <c r="E380" s="6" t="n">
        <v>4</v>
      </c>
      <c r="F380" s="6" t="n">
        <v>2</v>
      </c>
      <c r="G380" s="8" t="n">
        <v>0</v>
      </c>
      <c r="H380" s="6" t="s">
        <v>76</v>
      </c>
      <c r="I380" s="6" t="s">
        <v>287</v>
      </c>
      <c r="J380" s="2" t="s">
        <v>467</v>
      </c>
      <c r="K380" s="2" t="s">
        <v>2188</v>
      </c>
      <c r="L380" s="2" t="s">
        <v>1215</v>
      </c>
      <c r="M380" s="2"/>
      <c r="N380" s="2"/>
      <c r="O380" s="2" t="s">
        <v>2189</v>
      </c>
      <c r="P380" s="2" t="s">
        <v>2190</v>
      </c>
      <c r="Q380" s="6" t="s">
        <v>226</v>
      </c>
      <c r="R380" s="6" t="s">
        <v>106</v>
      </c>
      <c r="S380" s="9" t="s">
        <v>2191</v>
      </c>
      <c r="T380" s="6"/>
      <c r="U380" s="6"/>
      <c r="V380" s="10"/>
      <c r="W380" s="10" t="s">
        <v>88</v>
      </c>
      <c r="X380" s="10"/>
      <c r="Y380" s="10"/>
    </row>
    <row r="381" customFormat="false" ht="15" hidden="false" customHeight="false" outlineLevel="0" collapsed="false">
      <c r="A381" s="6" t="n">
        <v>380</v>
      </c>
      <c r="B381" s="7" t="s">
        <v>2192</v>
      </c>
      <c r="C381" s="6" t="str">
        <f aca="false">IF(U381&lt;&gt;"","Client",IF(D381&gt;=9,"A",IF(D381&gt;=7,"B","C")))</f>
        <v>C</v>
      </c>
      <c r="D381" s="6" t="n">
        <f aca="false">E381+F381+G381</f>
        <v>6</v>
      </c>
      <c r="E381" s="6" t="n">
        <v>4</v>
      </c>
      <c r="F381" s="6" t="n">
        <v>2</v>
      </c>
      <c r="G381" s="8" t="n">
        <v>0</v>
      </c>
      <c r="H381" s="6" t="s">
        <v>239</v>
      </c>
      <c r="I381" s="6" t="s">
        <v>287</v>
      </c>
      <c r="J381" s="2" t="s">
        <v>2193</v>
      </c>
      <c r="K381" s="2" t="s">
        <v>2175</v>
      </c>
      <c r="L381" s="2" t="s">
        <v>127</v>
      </c>
      <c r="M381" s="2"/>
      <c r="N381" s="2"/>
      <c r="O381" s="2" t="s">
        <v>936</v>
      </c>
      <c r="P381" s="2" t="s">
        <v>2194</v>
      </c>
      <c r="Q381" s="6" t="s">
        <v>97</v>
      </c>
      <c r="R381" s="6" t="s">
        <v>106</v>
      </c>
      <c r="S381" s="9" t="s">
        <v>2177</v>
      </c>
      <c r="T381" s="6"/>
      <c r="U381" s="6"/>
      <c r="V381" s="10"/>
      <c r="W381" s="10" t="s">
        <v>88</v>
      </c>
      <c r="X381" s="10"/>
      <c r="Y381" s="10"/>
    </row>
    <row r="382" customFormat="false" ht="23.85" hidden="false" customHeight="false" outlineLevel="0" collapsed="false">
      <c r="A382" s="6" t="n">
        <v>381</v>
      </c>
      <c r="B382" s="7" t="s">
        <v>2195</v>
      </c>
      <c r="C382" s="6" t="str">
        <f aca="false">IF(U382&lt;&gt;"","Client",IF(D382&gt;=9,"A",IF(D382&gt;=7,"B","C")))</f>
        <v>C</v>
      </c>
      <c r="D382" s="6" t="n">
        <f aca="false">E382+F382+G382</f>
        <v>6</v>
      </c>
      <c r="E382" s="6" t="n">
        <v>4</v>
      </c>
      <c r="F382" s="6" t="n">
        <v>2</v>
      </c>
      <c r="G382" s="8" t="n">
        <v>0</v>
      </c>
      <c r="H382" s="6" t="s">
        <v>239</v>
      </c>
      <c r="I382" s="6" t="s">
        <v>287</v>
      </c>
      <c r="J382" s="2" t="s">
        <v>2195</v>
      </c>
      <c r="K382" s="2" t="s">
        <v>2196</v>
      </c>
      <c r="L382" s="2" t="s">
        <v>127</v>
      </c>
      <c r="M382" s="2"/>
      <c r="N382" s="2"/>
      <c r="O382" s="2"/>
      <c r="P382" s="2" t="s">
        <v>2197</v>
      </c>
      <c r="Q382" s="6" t="s">
        <v>461</v>
      </c>
      <c r="R382" s="6" t="s">
        <v>106</v>
      </c>
      <c r="S382" s="9" t="s">
        <v>2198</v>
      </c>
      <c r="T382" s="6"/>
      <c r="U382" s="6"/>
      <c r="V382" s="10"/>
      <c r="W382" s="10" t="s">
        <v>88</v>
      </c>
      <c r="X382" s="10"/>
      <c r="Y382" s="10"/>
    </row>
    <row r="383" customFormat="false" ht="23.85" hidden="false" customHeight="false" outlineLevel="0" collapsed="false">
      <c r="A383" s="6" t="n">
        <v>382</v>
      </c>
      <c r="B383" s="7" t="s">
        <v>2199</v>
      </c>
      <c r="C383" s="6" t="str">
        <f aca="false">IF(U383&lt;&gt;"","Client",IF(D383&gt;=9,"A",IF(D383&gt;=7,"B","C")))</f>
        <v>C</v>
      </c>
      <c r="D383" s="6" t="n">
        <f aca="false">E383+F383+G383</f>
        <v>6</v>
      </c>
      <c r="E383" s="6" t="n">
        <v>4</v>
      </c>
      <c r="F383" s="6" t="n">
        <v>2</v>
      </c>
      <c r="G383" s="8" t="n">
        <v>0</v>
      </c>
      <c r="H383" s="6" t="s">
        <v>239</v>
      </c>
      <c r="I383" s="6" t="s">
        <v>287</v>
      </c>
      <c r="J383" s="2" t="s">
        <v>2200</v>
      </c>
      <c r="K383" s="2" t="s">
        <v>2201</v>
      </c>
      <c r="L383" s="2" t="s">
        <v>127</v>
      </c>
      <c r="M383" s="2"/>
      <c r="N383" s="2"/>
      <c r="O383" s="2" t="s">
        <v>2202</v>
      </c>
      <c r="P383" s="2" t="s">
        <v>2203</v>
      </c>
      <c r="Q383" s="6" t="s">
        <v>308</v>
      </c>
      <c r="R383" s="6" t="s">
        <v>106</v>
      </c>
      <c r="S383" s="9" t="s">
        <v>2204</v>
      </c>
      <c r="T383" s="6"/>
      <c r="U383" s="6"/>
      <c r="V383" s="10"/>
      <c r="W383" s="10" t="s">
        <v>88</v>
      </c>
      <c r="X383" s="10"/>
      <c r="Y383" s="10"/>
    </row>
    <row r="384" customFormat="false" ht="23.85" hidden="false" customHeight="false" outlineLevel="0" collapsed="false">
      <c r="A384" s="6" t="n">
        <v>383</v>
      </c>
      <c r="B384" s="7" t="s">
        <v>2205</v>
      </c>
      <c r="C384" s="6" t="str">
        <f aca="false">IF(U384&lt;&gt;"","Client",IF(D384&gt;=9,"A",IF(D384&gt;=7,"B","C")))</f>
        <v>C</v>
      </c>
      <c r="D384" s="6" t="n">
        <f aca="false">E384+F384+G384</f>
        <v>6</v>
      </c>
      <c r="E384" s="6" t="n">
        <v>4</v>
      </c>
      <c r="F384" s="6" t="n">
        <v>2</v>
      </c>
      <c r="G384" s="8" t="n">
        <v>0</v>
      </c>
      <c r="H384" s="6" t="s">
        <v>239</v>
      </c>
      <c r="I384" s="6" t="s">
        <v>287</v>
      </c>
      <c r="J384" s="2" t="s">
        <v>2206</v>
      </c>
      <c r="K384" s="2" t="s">
        <v>2207</v>
      </c>
      <c r="L384" s="2" t="s">
        <v>127</v>
      </c>
      <c r="M384" s="2"/>
      <c r="N384" s="2"/>
      <c r="O384" s="2"/>
      <c r="P384" s="2" t="s">
        <v>2208</v>
      </c>
      <c r="Q384" s="6" t="s">
        <v>97</v>
      </c>
      <c r="R384" s="6" t="s">
        <v>106</v>
      </c>
      <c r="S384" s="9" t="s">
        <v>2209</v>
      </c>
      <c r="T384" s="6"/>
      <c r="U384" s="6"/>
      <c r="V384" s="10"/>
      <c r="W384" s="10" t="s">
        <v>88</v>
      </c>
      <c r="X384" s="10"/>
      <c r="Y384" s="10"/>
    </row>
    <row r="385" customFormat="false" ht="23.85" hidden="false" customHeight="false" outlineLevel="0" collapsed="false">
      <c r="A385" s="6" t="n">
        <v>384</v>
      </c>
      <c r="B385" s="7" t="s">
        <v>2210</v>
      </c>
      <c r="C385" s="6" t="str">
        <f aca="false">IF(U385&lt;&gt;"","Client",IF(D385&gt;=9,"A",IF(D385&gt;=7,"B","C")))</f>
        <v>C</v>
      </c>
      <c r="D385" s="6" t="n">
        <f aca="false">E385+F385+G385</f>
        <v>6</v>
      </c>
      <c r="E385" s="6" t="n">
        <v>4</v>
      </c>
      <c r="F385" s="6" t="n">
        <v>2</v>
      </c>
      <c r="G385" s="8" t="n">
        <v>0</v>
      </c>
      <c r="H385" s="6" t="s">
        <v>239</v>
      </c>
      <c r="I385" s="6" t="s">
        <v>287</v>
      </c>
      <c r="J385" s="2" t="s">
        <v>811</v>
      </c>
      <c r="K385" s="2" t="s">
        <v>2211</v>
      </c>
      <c r="L385" s="2" t="s">
        <v>127</v>
      </c>
      <c r="M385" s="2"/>
      <c r="N385" s="2"/>
      <c r="O385" s="2" t="s">
        <v>2212</v>
      </c>
      <c r="P385" s="2" t="s">
        <v>2213</v>
      </c>
      <c r="Q385" s="6" t="s">
        <v>2214</v>
      </c>
      <c r="R385" s="6" t="s">
        <v>106</v>
      </c>
      <c r="S385" s="9" t="s">
        <v>2215</v>
      </c>
      <c r="T385" s="6"/>
      <c r="U385" s="6"/>
      <c r="V385" s="10"/>
      <c r="W385" s="10" t="s">
        <v>88</v>
      </c>
      <c r="X385" s="10"/>
      <c r="Y385" s="10"/>
    </row>
    <row r="386" customFormat="false" ht="15" hidden="false" customHeight="false" outlineLevel="0" collapsed="false">
      <c r="A386" s="6" t="n">
        <v>385</v>
      </c>
      <c r="B386" s="7" t="s">
        <v>2216</v>
      </c>
      <c r="C386" s="6" t="str">
        <f aca="false">IF(U386&lt;&gt;"","Client",IF(D386&gt;=9,"A",IF(D386&gt;=7,"B","C")))</f>
        <v>C</v>
      </c>
      <c r="D386" s="6" t="n">
        <f aca="false">E386+F386+G386</f>
        <v>6</v>
      </c>
      <c r="E386" s="6" t="n">
        <v>4</v>
      </c>
      <c r="F386" s="6" t="n">
        <v>2</v>
      </c>
      <c r="G386" s="8" t="n">
        <v>0</v>
      </c>
      <c r="H386" s="6" t="s">
        <v>239</v>
      </c>
      <c r="I386" s="6" t="s">
        <v>287</v>
      </c>
      <c r="J386" s="2" t="s">
        <v>2217</v>
      </c>
      <c r="K386" s="2" t="s">
        <v>2218</v>
      </c>
      <c r="L386" s="2" t="s">
        <v>127</v>
      </c>
      <c r="M386" s="2"/>
      <c r="N386" s="2" t="s">
        <v>1533</v>
      </c>
      <c r="O386" s="2" t="s">
        <v>2219</v>
      </c>
      <c r="P386" s="2" t="s">
        <v>2220</v>
      </c>
      <c r="Q386" s="6" t="s">
        <v>281</v>
      </c>
      <c r="R386" s="6" t="s">
        <v>85</v>
      </c>
      <c r="S386" s="9" t="s">
        <v>2221</v>
      </c>
      <c r="T386" s="6"/>
      <c r="U386" s="6"/>
      <c r="V386" s="10"/>
      <c r="W386" s="10" t="s">
        <v>88</v>
      </c>
      <c r="X386" s="10"/>
      <c r="Y386" s="10"/>
    </row>
    <row r="387" customFormat="false" ht="35.05" hidden="false" customHeight="false" outlineLevel="0" collapsed="false">
      <c r="A387" s="6" t="n">
        <v>386</v>
      </c>
      <c r="B387" s="7" t="s">
        <v>2222</v>
      </c>
      <c r="C387" s="6" t="str">
        <f aca="false">IF(U387&lt;&gt;"","Client",IF(D387&gt;=9,"A",IF(D387&gt;=7,"B","C")))</f>
        <v>C</v>
      </c>
      <c r="D387" s="6" t="n">
        <f aca="false">E387+F387+G387</f>
        <v>6</v>
      </c>
      <c r="E387" s="6" t="n">
        <v>3</v>
      </c>
      <c r="F387" s="6" t="n">
        <v>0</v>
      </c>
      <c r="G387" s="8" t="n">
        <v>3</v>
      </c>
      <c r="H387" s="6" t="s">
        <v>153</v>
      </c>
      <c r="I387" s="6" t="s">
        <v>1445</v>
      </c>
      <c r="J387" s="2" t="s">
        <v>2223</v>
      </c>
      <c r="K387" s="2" t="s">
        <v>2224</v>
      </c>
      <c r="L387" s="2" t="s">
        <v>394</v>
      </c>
      <c r="M387" s="2"/>
      <c r="N387" s="2" t="s">
        <v>338</v>
      </c>
      <c r="O387" s="2" t="s">
        <v>2225</v>
      </c>
      <c r="P387" s="2" t="s">
        <v>2226</v>
      </c>
      <c r="Q387" s="6" t="s">
        <v>97</v>
      </c>
      <c r="R387" s="6" t="s">
        <v>85</v>
      </c>
      <c r="S387" s="9" t="s">
        <v>2227</v>
      </c>
      <c r="T387" s="9" t="s">
        <v>2228</v>
      </c>
      <c r="U387" s="6"/>
      <c r="V387" s="10"/>
      <c r="W387" s="10" t="s">
        <v>88</v>
      </c>
      <c r="X387" s="10"/>
      <c r="Y387" s="10"/>
    </row>
    <row r="388" customFormat="false" ht="35.05" hidden="false" customHeight="false" outlineLevel="0" collapsed="false">
      <c r="A388" s="6" t="n">
        <v>387</v>
      </c>
      <c r="B388" s="7" t="s">
        <v>2229</v>
      </c>
      <c r="C388" s="6" t="str">
        <f aca="false">IF(U388&lt;&gt;"","Client",IF(D388&gt;=9,"A",IF(D388&gt;=7,"B","C")))</f>
        <v>C</v>
      </c>
      <c r="D388" s="6" t="n">
        <f aca="false">E388+F388+G388</f>
        <v>6</v>
      </c>
      <c r="E388" s="6" t="n">
        <v>3</v>
      </c>
      <c r="F388" s="6" t="n">
        <v>0</v>
      </c>
      <c r="G388" s="8" t="n">
        <v>3</v>
      </c>
      <c r="H388" s="6" t="s">
        <v>164</v>
      </c>
      <c r="I388" s="6" t="s">
        <v>1445</v>
      </c>
      <c r="J388" s="2" t="s">
        <v>729</v>
      </c>
      <c r="K388" s="2" t="s">
        <v>730</v>
      </c>
      <c r="L388" s="2" t="s">
        <v>102</v>
      </c>
      <c r="M388" s="2"/>
      <c r="N388" s="2" t="s">
        <v>2230</v>
      </c>
      <c r="O388" s="2" t="s">
        <v>2231</v>
      </c>
      <c r="P388" s="2" t="s">
        <v>2232</v>
      </c>
      <c r="Q388" s="6" t="s">
        <v>1162</v>
      </c>
      <c r="R388" s="6" t="s">
        <v>106</v>
      </c>
      <c r="S388" s="9" t="s">
        <v>733</v>
      </c>
      <c r="T388" s="6"/>
      <c r="U388" s="6"/>
      <c r="V388" s="10"/>
      <c r="W388" s="10" t="s">
        <v>88</v>
      </c>
      <c r="X388" s="10"/>
      <c r="Y388" s="10"/>
    </row>
    <row r="389" customFormat="false" ht="23.85" hidden="false" customHeight="false" outlineLevel="0" collapsed="false">
      <c r="A389" s="6" t="n">
        <v>388</v>
      </c>
      <c r="B389" s="7" t="s">
        <v>2233</v>
      </c>
      <c r="C389" s="6" t="str">
        <f aca="false">IF(U389&lt;&gt;"","Client",IF(D389&gt;=9,"A",IF(D389&gt;=7,"B","C")))</f>
        <v>C</v>
      </c>
      <c r="D389" s="6" t="n">
        <f aca="false">E389+F389+G389</f>
        <v>6</v>
      </c>
      <c r="E389" s="6" t="n">
        <v>3</v>
      </c>
      <c r="F389" s="6" t="n">
        <v>0</v>
      </c>
      <c r="G389" s="8" t="n">
        <v>3</v>
      </c>
      <c r="H389" s="6" t="s">
        <v>182</v>
      </c>
      <c r="I389" s="6" t="s">
        <v>1445</v>
      </c>
      <c r="J389" s="2" t="s">
        <v>2234</v>
      </c>
      <c r="K389" s="2" t="s">
        <v>92</v>
      </c>
      <c r="L389" s="2" t="s">
        <v>93</v>
      </c>
      <c r="M389" s="2"/>
      <c r="N389" s="2" t="s">
        <v>482</v>
      </c>
      <c r="O389" s="2" t="s">
        <v>2235</v>
      </c>
      <c r="P389" s="2" t="s">
        <v>2236</v>
      </c>
      <c r="Q389" s="6" t="s">
        <v>97</v>
      </c>
      <c r="R389" s="6" t="s">
        <v>98</v>
      </c>
      <c r="S389" s="6"/>
      <c r="T389" s="6"/>
      <c r="U389" s="6"/>
      <c r="V389" s="10"/>
      <c r="W389" s="10" t="s">
        <v>88</v>
      </c>
      <c r="X389" s="10"/>
      <c r="Y389" s="10"/>
    </row>
    <row r="390" customFormat="false" ht="23.85" hidden="false" customHeight="false" outlineLevel="0" collapsed="false">
      <c r="A390" s="6" t="n">
        <v>389</v>
      </c>
      <c r="B390" s="7" t="s">
        <v>2237</v>
      </c>
      <c r="C390" s="6" t="str">
        <f aca="false">IF(U390&lt;&gt;"","Client",IF(D390&gt;=9,"A",IF(D390&gt;=7,"B","C")))</f>
        <v>C</v>
      </c>
      <c r="D390" s="6" t="n">
        <f aca="false">E390+F390+G390</f>
        <v>6</v>
      </c>
      <c r="E390" s="6" t="n">
        <v>3</v>
      </c>
      <c r="F390" s="6" t="n">
        <v>0</v>
      </c>
      <c r="G390" s="8" t="n">
        <v>3</v>
      </c>
      <c r="H390" s="6" t="s">
        <v>153</v>
      </c>
      <c r="I390" s="6" t="s">
        <v>1445</v>
      </c>
      <c r="J390" s="2" t="s">
        <v>2238</v>
      </c>
      <c r="K390" s="2" t="s">
        <v>2239</v>
      </c>
      <c r="L390" s="2" t="s">
        <v>102</v>
      </c>
      <c r="M390" s="2"/>
      <c r="N390" s="2" t="s">
        <v>1618</v>
      </c>
      <c r="O390" s="2" t="s">
        <v>2240</v>
      </c>
      <c r="P390" s="2" t="s">
        <v>2241</v>
      </c>
      <c r="Q390" s="6" t="s">
        <v>1943</v>
      </c>
      <c r="R390" s="6" t="s">
        <v>85</v>
      </c>
      <c r="S390" s="9" t="s">
        <v>2242</v>
      </c>
      <c r="T390" s="6"/>
      <c r="U390" s="6"/>
      <c r="V390" s="10"/>
      <c r="W390" s="10" t="s">
        <v>88</v>
      </c>
      <c r="X390" s="10"/>
      <c r="Y390" s="10"/>
    </row>
    <row r="391" customFormat="false" ht="23.85" hidden="false" customHeight="false" outlineLevel="0" collapsed="false">
      <c r="A391" s="6" t="n">
        <v>390</v>
      </c>
      <c r="B391" s="7" t="s">
        <v>2243</v>
      </c>
      <c r="C391" s="6" t="str">
        <f aca="false">IF(U391&lt;&gt;"","Client",IF(D391&gt;=9,"A",IF(D391&gt;=7,"B","C")))</f>
        <v>C</v>
      </c>
      <c r="D391" s="6" t="n">
        <f aca="false">E391+F391+G391</f>
        <v>6</v>
      </c>
      <c r="E391" s="6" t="n">
        <v>3</v>
      </c>
      <c r="F391" s="6" t="n">
        <v>0</v>
      </c>
      <c r="G391" s="8" t="n">
        <v>3</v>
      </c>
      <c r="H391" s="6" t="s">
        <v>182</v>
      </c>
      <c r="I391" s="6" t="s">
        <v>1445</v>
      </c>
      <c r="J391" s="2" t="s">
        <v>669</v>
      </c>
      <c r="K391" s="2" t="s">
        <v>2244</v>
      </c>
      <c r="L391" s="2" t="s">
        <v>1683</v>
      </c>
      <c r="M391" s="2"/>
      <c r="N391" s="2" t="s">
        <v>103</v>
      </c>
      <c r="O391" s="2" t="s">
        <v>670</v>
      </c>
      <c r="P391" s="2" t="s">
        <v>2245</v>
      </c>
      <c r="Q391" s="6" t="s">
        <v>281</v>
      </c>
      <c r="R391" s="6" t="s">
        <v>106</v>
      </c>
      <c r="S391" s="9" t="s">
        <v>672</v>
      </c>
      <c r="T391" s="9" t="s">
        <v>2246</v>
      </c>
      <c r="U391" s="6"/>
      <c r="V391" s="10"/>
      <c r="W391" s="10" t="s">
        <v>88</v>
      </c>
      <c r="X391" s="10"/>
      <c r="Y391" s="10"/>
    </row>
    <row r="392" customFormat="false" ht="23.85" hidden="false" customHeight="false" outlineLevel="0" collapsed="false">
      <c r="A392" s="6" t="n">
        <v>391</v>
      </c>
      <c r="B392" s="7" t="s">
        <v>2247</v>
      </c>
      <c r="C392" s="6" t="str">
        <f aca="false">IF(U392&lt;&gt;"","Client",IF(D392&gt;=9,"A",IF(D392&gt;=7,"B","C")))</f>
        <v>C</v>
      </c>
      <c r="D392" s="6" t="n">
        <f aca="false">E392+F392+G392</f>
        <v>6</v>
      </c>
      <c r="E392" s="6" t="n">
        <v>4</v>
      </c>
      <c r="F392" s="6" t="n">
        <v>0</v>
      </c>
      <c r="G392" s="8" t="n">
        <v>2</v>
      </c>
      <c r="H392" s="6" t="s">
        <v>239</v>
      </c>
      <c r="I392" s="6" t="s">
        <v>1445</v>
      </c>
      <c r="J392" s="2" t="s">
        <v>2248</v>
      </c>
      <c r="K392" s="2" t="s">
        <v>1100</v>
      </c>
      <c r="L392" s="2" t="s">
        <v>102</v>
      </c>
      <c r="M392" s="2"/>
      <c r="N392" s="2" t="s">
        <v>247</v>
      </c>
      <c r="O392" s="2" t="s">
        <v>1767</v>
      </c>
      <c r="P392" s="2" t="s">
        <v>2249</v>
      </c>
      <c r="Q392" s="6" t="s">
        <v>411</v>
      </c>
      <c r="R392" s="6" t="s">
        <v>106</v>
      </c>
      <c r="S392" s="9" t="s">
        <v>2250</v>
      </c>
      <c r="T392" s="6"/>
      <c r="U392" s="6"/>
      <c r="V392" s="10"/>
      <c r="W392" s="10" t="s">
        <v>88</v>
      </c>
      <c r="X392" s="10"/>
      <c r="Y392" s="10"/>
    </row>
    <row r="393" customFormat="false" ht="23.85" hidden="false" customHeight="false" outlineLevel="0" collapsed="false">
      <c r="A393" s="6" t="n">
        <v>392</v>
      </c>
      <c r="B393" s="7" t="s">
        <v>2251</v>
      </c>
      <c r="C393" s="6" t="str">
        <f aca="false">IF(U393&lt;&gt;"","Client",IF(D393&gt;=9,"A",IF(D393&gt;=7,"B","C")))</f>
        <v>C</v>
      </c>
      <c r="D393" s="6" t="n">
        <f aca="false">E393+F393+G393</f>
        <v>6</v>
      </c>
      <c r="E393" s="6" t="n">
        <v>4</v>
      </c>
      <c r="F393" s="6" t="n">
        <v>0</v>
      </c>
      <c r="G393" s="8" t="n">
        <v>2</v>
      </c>
      <c r="H393" s="6" t="s">
        <v>239</v>
      </c>
      <c r="I393" s="6" t="s">
        <v>1445</v>
      </c>
      <c r="J393" s="2" t="s">
        <v>2252</v>
      </c>
      <c r="K393" s="2" t="s">
        <v>2253</v>
      </c>
      <c r="L393" s="2" t="s">
        <v>652</v>
      </c>
      <c r="M393" s="2"/>
      <c r="N393" s="2" t="s">
        <v>802</v>
      </c>
      <c r="O393" s="2" t="s">
        <v>2254</v>
      </c>
      <c r="P393" s="2" t="s">
        <v>2255</v>
      </c>
      <c r="Q393" s="6" t="s">
        <v>504</v>
      </c>
      <c r="R393" s="6" t="s">
        <v>106</v>
      </c>
      <c r="S393" s="9" t="s">
        <v>2256</v>
      </c>
      <c r="T393" s="6"/>
      <c r="U393" s="6"/>
      <c r="V393" s="10"/>
      <c r="W393" s="10" t="s">
        <v>88</v>
      </c>
      <c r="X393" s="10"/>
      <c r="Y393" s="10"/>
    </row>
    <row r="394" customFormat="false" ht="23.85" hidden="false" customHeight="false" outlineLevel="0" collapsed="false">
      <c r="A394" s="6" t="n">
        <v>393</v>
      </c>
      <c r="B394" s="7" t="s">
        <v>2257</v>
      </c>
      <c r="C394" s="6" t="str">
        <f aca="false">IF(U394&lt;&gt;"","Client",IF(D394&gt;=9,"A",IF(D394&gt;=7,"B","C")))</f>
        <v>C</v>
      </c>
      <c r="D394" s="6" t="n">
        <f aca="false">E394+F394+G394</f>
        <v>6</v>
      </c>
      <c r="E394" s="6" t="n">
        <v>4</v>
      </c>
      <c r="F394" s="6" t="n">
        <v>0</v>
      </c>
      <c r="G394" s="8" t="n">
        <v>2</v>
      </c>
      <c r="H394" s="6" t="s">
        <v>90</v>
      </c>
      <c r="I394" s="6" t="s">
        <v>1445</v>
      </c>
      <c r="J394" s="2" t="s">
        <v>598</v>
      </c>
      <c r="K394" s="2" t="s">
        <v>92</v>
      </c>
      <c r="L394" s="2" t="s">
        <v>93</v>
      </c>
      <c r="M394" s="2"/>
      <c r="N394" s="2" t="s">
        <v>219</v>
      </c>
      <c r="O394" s="2" t="s">
        <v>2258</v>
      </c>
      <c r="P394" s="2" t="s">
        <v>2259</v>
      </c>
      <c r="Q394" s="6" t="s">
        <v>1943</v>
      </c>
      <c r="R394" s="6" t="s">
        <v>98</v>
      </c>
      <c r="S394" s="9" t="s">
        <v>2260</v>
      </c>
      <c r="T394" s="6"/>
      <c r="U394" s="6"/>
      <c r="V394" s="10"/>
      <c r="W394" s="10" t="s">
        <v>88</v>
      </c>
      <c r="X394" s="10"/>
      <c r="Y394" s="10"/>
    </row>
    <row r="395" customFormat="false" ht="15" hidden="false" customHeight="false" outlineLevel="0" collapsed="false">
      <c r="A395" s="6" t="n">
        <v>394</v>
      </c>
      <c r="B395" s="7" t="s">
        <v>2261</v>
      </c>
      <c r="C395" s="6" t="str">
        <f aca="false">IF(U395&lt;&gt;"","Client",IF(D395&gt;=9,"A",IF(D395&gt;=7,"B","C")))</f>
        <v>C</v>
      </c>
      <c r="D395" s="6" t="n">
        <f aca="false">E395+F395+G395</f>
        <v>6</v>
      </c>
      <c r="E395" s="6" t="n">
        <v>4</v>
      </c>
      <c r="F395" s="6" t="n">
        <v>0</v>
      </c>
      <c r="G395" s="8" t="n">
        <v>2</v>
      </c>
      <c r="H395" s="6" t="s">
        <v>239</v>
      </c>
      <c r="I395" s="6" t="s">
        <v>1445</v>
      </c>
      <c r="J395" s="2" t="s">
        <v>2261</v>
      </c>
      <c r="K395" s="2" t="s">
        <v>2262</v>
      </c>
      <c r="L395" s="2" t="s">
        <v>127</v>
      </c>
      <c r="M395" s="2"/>
      <c r="N395" s="2" t="s">
        <v>247</v>
      </c>
      <c r="O395" s="2" t="s">
        <v>2263</v>
      </c>
      <c r="P395" s="2" t="s">
        <v>2264</v>
      </c>
      <c r="Q395" s="6" t="s">
        <v>2265</v>
      </c>
      <c r="R395" s="6" t="s">
        <v>98</v>
      </c>
      <c r="S395" s="9" t="s">
        <v>2266</v>
      </c>
      <c r="T395" s="6"/>
      <c r="U395" s="6"/>
      <c r="V395" s="10"/>
      <c r="W395" s="10" t="s">
        <v>88</v>
      </c>
      <c r="X395" s="10"/>
      <c r="Y395" s="10"/>
    </row>
    <row r="396" customFormat="false" ht="15" hidden="false" customHeight="false" outlineLevel="0" collapsed="false">
      <c r="A396" s="6" t="n">
        <v>395</v>
      </c>
      <c r="B396" s="7" t="s">
        <v>2267</v>
      </c>
      <c r="C396" s="6" t="str">
        <f aca="false">IF(U396&lt;&gt;"","Client",IF(D396&gt;=9,"A",IF(D396&gt;=7,"B","C")))</f>
        <v>C</v>
      </c>
      <c r="D396" s="6" t="n">
        <f aca="false">E396+F396+G396</f>
        <v>6</v>
      </c>
      <c r="E396" s="6" t="n">
        <v>4</v>
      </c>
      <c r="F396" s="6" t="n">
        <v>0</v>
      </c>
      <c r="G396" s="8" t="n">
        <v>2</v>
      </c>
      <c r="H396" s="6" t="s">
        <v>239</v>
      </c>
      <c r="I396" s="6" t="s">
        <v>1445</v>
      </c>
      <c r="J396" s="2" t="s">
        <v>263</v>
      </c>
      <c r="K396" s="2" t="s">
        <v>2268</v>
      </c>
      <c r="L396" s="2" t="s">
        <v>102</v>
      </c>
      <c r="M396" s="2"/>
      <c r="N396" s="2" t="s">
        <v>247</v>
      </c>
      <c r="O396" s="2" t="s">
        <v>2269</v>
      </c>
      <c r="P396" s="2" t="s">
        <v>2270</v>
      </c>
      <c r="Q396" s="6" t="s">
        <v>2022</v>
      </c>
      <c r="R396" s="6" t="s">
        <v>106</v>
      </c>
      <c r="S396" s="9" t="s">
        <v>2271</v>
      </c>
      <c r="T396" s="6"/>
      <c r="U396" s="6"/>
      <c r="V396" s="10"/>
      <c r="W396" s="10" t="s">
        <v>88</v>
      </c>
      <c r="X396" s="10"/>
      <c r="Y396" s="10"/>
    </row>
    <row r="397" customFormat="false" ht="23.85" hidden="false" customHeight="false" outlineLevel="0" collapsed="false">
      <c r="A397" s="6" t="n">
        <v>396</v>
      </c>
      <c r="B397" s="7" t="s">
        <v>2272</v>
      </c>
      <c r="C397" s="6" t="str">
        <f aca="false">IF(U397&lt;&gt;"","Client",IF(D397&gt;=9,"A",IF(D397&gt;=7,"B","C")))</f>
        <v>C</v>
      </c>
      <c r="D397" s="6" t="n">
        <f aca="false">E397+F397+G397</f>
        <v>5</v>
      </c>
      <c r="E397" s="6" t="n">
        <v>1</v>
      </c>
      <c r="F397" s="6" t="n">
        <v>3</v>
      </c>
      <c r="G397" s="8" t="n">
        <v>1</v>
      </c>
      <c r="H397" s="6" t="s">
        <v>1215</v>
      </c>
      <c r="I397" s="6" t="s">
        <v>77</v>
      </c>
      <c r="J397" s="2" t="s">
        <v>2273</v>
      </c>
      <c r="K397" s="2" t="s">
        <v>1031</v>
      </c>
      <c r="L397" s="2" t="s">
        <v>127</v>
      </c>
      <c r="M397" s="2"/>
      <c r="N397" s="2" t="s">
        <v>530</v>
      </c>
      <c r="O397" s="2" t="s">
        <v>2274</v>
      </c>
      <c r="P397" s="2" t="s">
        <v>2275</v>
      </c>
      <c r="Q397" s="6" t="s">
        <v>97</v>
      </c>
      <c r="R397" s="6" t="s">
        <v>106</v>
      </c>
      <c r="S397" s="9" t="s">
        <v>562</v>
      </c>
      <c r="T397" s="6"/>
      <c r="U397" s="6"/>
      <c r="V397" s="10"/>
      <c r="W397" s="10" t="s">
        <v>88</v>
      </c>
      <c r="X397" s="10"/>
      <c r="Y397" s="10"/>
    </row>
    <row r="398" customFormat="false" ht="23.85" hidden="false" customHeight="false" outlineLevel="0" collapsed="false">
      <c r="A398" s="6" t="n">
        <v>397</v>
      </c>
      <c r="B398" s="7" t="s">
        <v>2276</v>
      </c>
      <c r="C398" s="6" t="str">
        <f aca="false">IF(U398&lt;&gt;"","Client",IF(D398&gt;=9,"A",IF(D398&gt;=7,"B","C")))</f>
        <v>C</v>
      </c>
      <c r="D398" s="6" t="n">
        <f aca="false">E398+F398+G398</f>
        <v>5</v>
      </c>
      <c r="E398" s="6" t="n">
        <v>2</v>
      </c>
      <c r="F398" s="6" t="n">
        <v>3</v>
      </c>
      <c r="G398" s="8" t="n">
        <v>0</v>
      </c>
      <c r="H398" s="6" t="s">
        <v>1127</v>
      </c>
      <c r="I398" s="6" t="s">
        <v>77</v>
      </c>
      <c r="J398" s="2" t="s">
        <v>2277</v>
      </c>
      <c r="K398" s="2" t="s">
        <v>2278</v>
      </c>
      <c r="L398" s="2" t="s">
        <v>127</v>
      </c>
      <c r="M398" s="2"/>
      <c r="N398" s="2"/>
      <c r="O398" s="2" t="s">
        <v>2279</v>
      </c>
      <c r="P398" s="2" t="s">
        <v>2280</v>
      </c>
      <c r="Q398" s="6" t="s">
        <v>2281</v>
      </c>
      <c r="R398" s="6" t="s">
        <v>106</v>
      </c>
      <c r="S398" s="9" t="s">
        <v>2282</v>
      </c>
      <c r="T398" s="6"/>
      <c r="U398" s="6"/>
      <c r="V398" s="10"/>
      <c r="W398" s="10" t="s">
        <v>88</v>
      </c>
      <c r="X398" s="10"/>
      <c r="Y398" s="10"/>
    </row>
    <row r="399" customFormat="false" ht="23.85" hidden="false" customHeight="false" outlineLevel="0" collapsed="false">
      <c r="A399" s="6" t="n">
        <v>398</v>
      </c>
      <c r="B399" s="7" t="s">
        <v>2283</v>
      </c>
      <c r="C399" s="6" t="str">
        <f aca="false">IF(U399&lt;&gt;"","Client",IF(D399&gt;=9,"A",IF(D399&gt;=7,"B","C")))</f>
        <v>C</v>
      </c>
      <c r="D399" s="6" t="n">
        <f aca="false">E399+F399+G399</f>
        <v>5</v>
      </c>
      <c r="E399" s="6" t="n">
        <v>0</v>
      </c>
      <c r="F399" s="6" t="n">
        <v>2</v>
      </c>
      <c r="G399" s="8" t="n">
        <v>3</v>
      </c>
      <c r="H399" s="6" t="s">
        <v>2284</v>
      </c>
      <c r="I399" s="6" t="s">
        <v>287</v>
      </c>
      <c r="J399" s="2" t="s">
        <v>2283</v>
      </c>
      <c r="K399" s="2" t="s">
        <v>693</v>
      </c>
      <c r="L399" s="2" t="s">
        <v>374</v>
      </c>
      <c r="M399" s="2"/>
      <c r="N399" s="2" t="s">
        <v>103</v>
      </c>
      <c r="O399" s="2" t="s">
        <v>381</v>
      </c>
      <c r="P399" s="2" t="s">
        <v>2285</v>
      </c>
      <c r="Q399" s="6" t="s">
        <v>1162</v>
      </c>
      <c r="R399" s="6" t="s">
        <v>85</v>
      </c>
      <c r="S399" s="9" t="s">
        <v>2286</v>
      </c>
      <c r="T399" s="6"/>
      <c r="U399" s="6"/>
      <c r="V399" s="10"/>
      <c r="W399" s="10" t="s">
        <v>88</v>
      </c>
      <c r="X399" s="10"/>
      <c r="Y399" s="10"/>
    </row>
    <row r="400" customFormat="false" ht="23.85" hidden="false" customHeight="false" outlineLevel="0" collapsed="false">
      <c r="A400" s="6" t="n">
        <v>399</v>
      </c>
      <c r="B400" s="7" t="s">
        <v>2287</v>
      </c>
      <c r="C400" s="6" t="str">
        <f aca="false">IF(U400&lt;&gt;"","Client",IF(D400&gt;=9,"A",IF(D400&gt;=7,"B","C")))</f>
        <v>C</v>
      </c>
      <c r="D400" s="6" t="n">
        <f aca="false">E400+F400+G400</f>
        <v>5</v>
      </c>
      <c r="E400" s="6" t="n">
        <v>1</v>
      </c>
      <c r="F400" s="6" t="n">
        <v>2</v>
      </c>
      <c r="G400" s="8" t="n">
        <v>2</v>
      </c>
      <c r="H400" s="6" t="s">
        <v>1583</v>
      </c>
      <c r="I400" s="6" t="s">
        <v>287</v>
      </c>
      <c r="J400" s="2" t="s">
        <v>2288</v>
      </c>
      <c r="K400" s="2" t="s">
        <v>2289</v>
      </c>
      <c r="L400" s="2" t="s">
        <v>102</v>
      </c>
      <c r="M400" s="2"/>
      <c r="N400" s="2" t="s">
        <v>269</v>
      </c>
      <c r="O400" s="2" t="s">
        <v>2290</v>
      </c>
      <c r="P400" s="2" t="s">
        <v>2291</v>
      </c>
      <c r="Q400" s="6" t="s">
        <v>97</v>
      </c>
      <c r="R400" s="6" t="s">
        <v>85</v>
      </c>
      <c r="S400" s="9" t="s">
        <v>2292</v>
      </c>
      <c r="T400" s="6"/>
      <c r="U400" s="6"/>
      <c r="V400" s="10"/>
      <c r="W400" s="10" t="s">
        <v>88</v>
      </c>
      <c r="X400" s="10"/>
      <c r="Y400" s="10"/>
    </row>
    <row r="401" customFormat="false" ht="35.05" hidden="false" customHeight="false" outlineLevel="0" collapsed="false">
      <c r="A401" s="6" t="n">
        <v>400</v>
      </c>
      <c r="B401" s="7" t="s">
        <v>2293</v>
      </c>
      <c r="C401" s="6" t="str">
        <f aca="false">IF(U401&lt;&gt;"","Client",IF(D401&gt;=9,"A",IF(D401&gt;=7,"B","C")))</f>
        <v>C</v>
      </c>
      <c r="D401" s="6" t="n">
        <f aca="false">E401+F401+G401</f>
        <v>5</v>
      </c>
      <c r="E401" s="6" t="n">
        <v>1</v>
      </c>
      <c r="F401" s="6" t="n">
        <v>2</v>
      </c>
      <c r="G401" s="8" t="n">
        <v>2</v>
      </c>
      <c r="H401" s="6" t="s">
        <v>1215</v>
      </c>
      <c r="I401" s="6" t="s">
        <v>287</v>
      </c>
      <c r="J401" s="2" t="s">
        <v>2294</v>
      </c>
      <c r="K401" s="2" t="s">
        <v>2295</v>
      </c>
      <c r="L401" s="2" t="s">
        <v>290</v>
      </c>
      <c r="M401" s="2"/>
      <c r="N401" s="2" t="s">
        <v>247</v>
      </c>
      <c r="O401" s="2" t="s">
        <v>2296</v>
      </c>
      <c r="P401" s="2" t="s">
        <v>2297</v>
      </c>
      <c r="Q401" s="6" t="s">
        <v>308</v>
      </c>
      <c r="R401" s="6" t="s">
        <v>85</v>
      </c>
      <c r="S401" s="9" t="s">
        <v>2298</v>
      </c>
      <c r="T401" s="9" t="s">
        <v>2299</v>
      </c>
      <c r="U401" s="6"/>
      <c r="V401" s="10"/>
      <c r="W401" s="10" t="s">
        <v>88</v>
      </c>
      <c r="X401" s="10"/>
      <c r="Y401" s="10"/>
    </row>
    <row r="402" customFormat="false" ht="15" hidden="false" customHeight="false" outlineLevel="0" collapsed="false">
      <c r="A402" s="6" t="n">
        <v>401</v>
      </c>
      <c r="B402" s="7" t="s">
        <v>2300</v>
      </c>
      <c r="C402" s="6" t="str">
        <f aca="false">IF(U402&lt;&gt;"","Client",IF(D402&gt;=9,"A",IF(D402&gt;=7,"B","C")))</f>
        <v>C</v>
      </c>
      <c r="D402" s="6" t="n">
        <f aca="false">E402+F402+G402</f>
        <v>5</v>
      </c>
      <c r="E402" s="6" t="n">
        <v>1</v>
      </c>
      <c r="F402" s="6" t="n">
        <v>2</v>
      </c>
      <c r="G402" s="8" t="n">
        <v>2</v>
      </c>
      <c r="H402" s="6" t="s">
        <v>1215</v>
      </c>
      <c r="I402" s="6" t="s">
        <v>287</v>
      </c>
      <c r="J402" s="2" t="s">
        <v>2301</v>
      </c>
      <c r="K402" s="2" t="s">
        <v>2302</v>
      </c>
      <c r="L402" s="2" t="s">
        <v>102</v>
      </c>
      <c r="M402" s="2"/>
      <c r="N402" s="2" t="s">
        <v>247</v>
      </c>
      <c r="O402" s="2" t="s">
        <v>2303</v>
      </c>
      <c r="P402" s="2" t="s">
        <v>2304</v>
      </c>
      <c r="Q402" s="6" t="s">
        <v>517</v>
      </c>
      <c r="R402" s="6" t="s">
        <v>106</v>
      </c>
      <c r="S402" s="9" t="s">
        <v>2305</v>
      </c>
      <c r="T402" s="6"/>
      <c r="U402" s="6"/>
      <c r="V402" s="10"/>
      <c r="W402" s="10" t="s">
        <v>88</v>
      </c>
      <c r="X402" s="10"/>
      <c r="Y402" s="10"/>
    </row>
    <row r="403" customFormat="false" ht="23.85" hidden="false" customHeight="false" outlineLevel="0" collapsed="false">
      <c r="A403" s="6" t="n">
        <v>402</v>
      </c>
      <c r="B403" s="7" t="s">
        <v>2306</v>
      </c>
      <c r="C403" s="6" t="str">
        <f aca="false">IF(U403&lt;&gt;"","Client",IF(D403&gt;=9,"A",IF(D403&gt;=7,"B","C")))</f>
        <v>C</v>
      </c>
      <c r="D403" s="6" t="n">
        <f aca="false">E403+F403+G403</f>
        <v>5</v>
      </c>
      <c r="E403" s="6" t="n">
        <v>1</v>
      </c>
      <c r="F403" s="6" t="n">
        <v>2</v>
      </c>
      <c r="G403" s="8" t="n">
        <v>2</v>
      </c>
      <c r="H403" s="6" t="s">
        <v>1598</v>
      </c>
      <c r="I403" s="6" t="s">
        <v>287</v>
      </c>
      <c r="J403" s="2" t="s">
        <v>2307</v>
      </c>
      <c r="K403" s="2" t="s">
        <v>1159</v>
      </c>
      <c r="L403" s="2" t="s">
        <v>167</v>
      </c>
      <c r="M403" s="2"/>
      <c r="N403" s="2" t="s">
        <v>247</v>
      </c>
      <c r="O403" s="2" t="s">
        <v>2308</v>
      </c>
      <c r="P403" s="2" t="s">
        <v>2309</v>
      </c>
      <c r="Q403" s="6" t="s">
        <v>461</v>
      </c>
      <c r="R403" s="6" t="s">
        <v>85</v>
      </c>
      <c r="S403" s="9" t="s">
        <v>2310</v>
      </c>
      <c r="T403" s="6"/>
      <c r="U403" s="6"/>
      <c r="V403" s="10"/>
      <c r="W403" s="10" t="s">
        <v>88</v>
      </c>
      <c r="X403" s="10"/>
      <c r="Y403" s="10"/>
    </row>
    <row r="404" customFormat="false" ht="23.85" hidden="false" customHeight="false" outlineLevel="0" collapsed="false">
      <c r="A404" s="6" t="n">
        <v>403</v>
      </c>
      <c r="B404" s="7" t="s">
        <v>2311</v>
      </c>
      <c r="C404" s="6" t="str">
        <f aca="false">IF(U404&lt;&gt;"","Client",IF(D404&gt;=9,"A",IF(D404&gt;=7,"B","C")))</f>
        <v>C</v>
      </c>
      <c r="D404" s="6" t="n">
        <f aca="false">E404+F404+G404</f>
        <v>5</v>
      </c>
      <c r="E404" s="6" t="n">
        <v>1</v>
      </c>
      <c r="F404" s="6" t="n">
        <v>2</v>
      </c>
      <c r="G404" s="8" t="n">
        <v>2</v>
      </c>
      <c r="H404" s="6" t="s">
        <v>2312</v>
      </c>
      <c r="I404" s="6" t="s">
        <v>287</v>
      </c>
      <c r="J404" s="2" t="s">
        <v>2313</v>
      </c>
      <c r="K404" s="2" t="s">
        <v>1100</v>
      </c>
      <c r="L404" s="2" t="s">
        <v>102</v>
      </c>
      <c r="M404" s="2"/>
      <c r="N404" s="2" t="s">
        <v>247</v>
      </c>
      <c r="O404" s="2" t="s">
        <v>1767</v>
      </c>
      <c r="P404" s="2" t="s">
        <v>2314</v>
      </c>
      <c r="Q404" s="6" t="s">
        <v>883</v>
      </c>
      <c r="R404" s="6" t="s">
        <v>106</v>
      </c>
      <c r="S404" s="9" t="s">
        <v>2315</v>
      </c>
      <c r="T404" s="6"/>
      <c r="U404" s="6"/>
      <c r="V404" s="10"/>
      <c r="W404" s="10" t="s">
        <v>88</v>
      </c>
      <c r="X404" s="10"/>
      <c r="Y404" s="10"/>
    </row>
    <row r="405" customFormat="false" ht="23.85" hidden="false" customHeight="false" outlineLevel="0" collapsed="false">
      <c r="A405" s="6" t="n">
        <v>404</v>
      </c>
      <c r="B405" s="7" t="s">
        <v>2316</v>
      </c>
      <c r="C405" s="6" t="str">
        <f aca="false">IF(U405&lt;&gt;"","Client",IF(D405&gt;=9,"A",IF(D405&gt;=7,"B","C")))</f>
        <v>C</v>
      </c>
      <c r="D405" s="6" t="n">
        <f aca="false">E405+F405+G405</f>
        <v>5</v>
      </c>
      <c r="E405" s="6" t="n">
        <v>1</v>
      </c>
      <c r="F405" s="6" t="n">
        <v>2</v>
      </c>
      <c r="G405" s="8" t="n">
        <v>2</v>
      </c>
      <c r="H405" s="6" t="s">
        <v>1598</v>
      </c>
      <c r="I405" s="6" t="s">
        <v>287</v>
      </c>
      <c r="J405" s="2" t="s">
        <v>2317</v>
      </c>
      <c r="K405" s="2" t="s">
        <v>2318</v>
      </c>
      <c r="L405" s="2" t="s">
        <v>167</v>
      </c>
      <c r="M405" s="2"/>
      <c r="N405" s="2" t="s">
        <v>247</v>
      </c>
      <c r="O405" s="2" t="s">
        <v>2319</v>
      </c>
      <c r="P405" s="2" t="s">
        <v>2320</v>
      </c>
      <c r="Q405" s="6" t="s">
        <v>504</v>
      </c>
      <c r="R405" s="6" t="s">
        <v>85</v>
      </c>
      <c r="S405" s="9" t="s">
        <v>2321</v>
      </c>
      <c r="T405" s="9" t="s">
        <v>2322</v>
      </c>
      <c r="U405" s="6"/>
      <c r="V405" s="10"/>
      <c r="W405" s="10" t="s">
        <v>88</v>
      </c>
      <c r="X405" s="10"/>
      <c r="Y405" s="10"/>
    </row>
    <row r="406" customFormat="false" ht="23.85" hidden="false" customHeight="false" outlineLevel="0" collapsed="false">
      <c r="A406" s="6" t="n">
        <v>405</v>
      </c>
      <c r="B406" s="7" t="s">
        <v>2323</v>
      </c>
      <c r="C406" s="6" t="str">
        <f aca="false">IF(U406&lt;&gt;"","Client",IF(D406&gt;=9,"A",IF(D406&gt;=7,"B","C")))</f>
        <v>C</v>
      </c>
      <c r="D406" s="6" t="n">
        <f aca="false">E406+F406+G406</f>
        <v>5</v>
      </c>
      <c r="E406" s="6" t="n">
        <v>1</v>
      </c>
      <c r="F406" s="6" t="n">
        <v>2</v>
      </c>
      <c r="G406" s="8" t="n">
        <v>2</v>
      </c>
      <c r="H406" s="6" t="s">
        <v>1215</v>
      </c>
      <c r="I406" s="6" t="s">
        <v>287</v>
      </c>
      <c r="J406" s="2" t="s">
        <v>2324</v>
      </c>
      <c r="K406" s="2" t="s">
        <v>664</v>
      </c>
      <c r="L406" s="2" t="s">
        <v>102</v>
      </c>
      <c r="M406" s="2"/>
      <c r="N406" s="2" t="s">
        <v>247</v>
      </c>
      <c r="O406" s="2" t="s">
        <v>2325</v>
      </c>
      <c r="P406" s="2" t="s">
        <v>2326</v>
      </c>
      <c r="Q406" s="6" t="s">
        <v>655</v>
      </c>
      <c r="R406" s="6" t="s">
        <v>106</v>
      </c>
      <c r="S406" s="9" t="s">
        <v>2327</v>
      </c>
      <c r="T406" s="6"/>
      <c r="U406" s="6"/>
      <c r="V406" s="10"/>
      <c r="W406" s="10" t="s">
        <v>88</v>
      </c>
      <c r="X406" s="10"/>
      <c r="Y406" s="10"/>
    </row>
    <row r="407" customFormat="false" ht="23.85" hidden="false" customHeight="false" outlineLevel="0" collapsed="false">
      <c r="A407" s="6" t="n">
        <v>406</v>
      </c>
      <c r="B407" s="7" t="s">
        <v>2328</v>
      </c>
      <c r="C407" s="6" t="str">
        <f aca="false">IF(U407&lt;&gt;"","Client",IF(D407&gt;=9,"A",IF(D407&gt;=7,"B","C")))</f>
        <v>C</v>
      </c>
      <c r="D407" s="6" t="n">
        <f aca="false">E407+F407+G407</f>
        <v>5</v>
      </c>
      <c r="E407" s="6" t="n">
        <v>1</v>
      </c>
      <c r="F407" s="6" t="n">
        <v>2</v>
      </c>
      <c r="G407" s="8" t="n">
        <v>2</v>
      </c>
      <c r="H407" s="6" t="s">
        <v>1215</v>
      </c>
      <c r="I407" s="6" t="s">
        <v>287</v>
      </c>
      <c r="J407" s="2" t="s">
        <v>2329</v>
      </c>
      <c r="K407" s="2" t="s">
        <v>2330</v>
      </c>
      <c r="L407" s="2" t="s">
        <v>652</v>
      </c>
      <c r="M407" s="2"/>
      <c r="N407" s="2" t="s">
        <v>802</v>
      </c>
      <c r="O407" s="2" t="s">
        <v>2331</v>
      </c>
      <c r="P407" s="2" t="s">
        <v>2332</v>
      </c>
      <c r="Q407" s="6" t="s">
        <v>461</v>
      </c>
      <c r="R407" s="6" t="s">
        <v>106</v>
      </c>
      <c r="S407" s="9" t="s">
        <v>2333</v>
      </c>
      <c r="T407" s="6"/>
      <c r="U407" s="6"/>
      <c r="V407" s="10"/>
      <c r="W407" s="10" t="s">
        <v>88</v>
      </c>
      <c r="X407" s="10"/>
      <c r="Y407" s="10"/>
    </row>
    <row r="408" customFormat="false" ht="15" hidden="false" customHeight="false" outlineLevel="0" collapsed="false">
      <c r="A408" s="6" t="n">
        <v>407</v>
      </c>
      <c r="B408" s="7" t="s">
        <v>2334</v>
      </c>
      <c r="C408" s="6" t="str">
        <f aca="false">IF(U408&lt;&gt;"","Client",IF(D408&gt;=9,"A",IF(D408&gt;=7,"B","C")))</f>
        <v>C</v>
      </c>
      <c r="D408" s="6" t="n">
        <f aca="false">E408+F408+G408</f>
        <v>5</v>
      </c>
      <c r="E408" s="6" t="n">
        <v>1</v>
      </c>
      <c r="F408" s="6" t="n">
        <v>2</v>
      </c>
      <c r="G408" s="8" t="n">
        <v>2</v>
      </c>
      <c r="H408" s="6" t="s">
        <v>1215</v>
      </c>
      <c r="I408" s="6" t="s">
        <v>287</v>
      </c>
      <c r="J408" s="2" t="s">
        <v>2335</v>
      </c>
      <c r="K408" s="2" t="s">
        <v>2336</v>
      </c>
      <c r="L408" s="2" t="s">
        <v>167</v>
      </c>
      <c r="M408" s="2"/>
      <c r="N408" s="2" t="s">
        <v>247</v>
      </c>
      <c r="O408" s="2" t="s">
        <v>2337</v>
      </c>
      <c r="P408" s="2" t="s">
        <v>2338</v>
      </c>
      <c r="Q408" s="6" t="s">
        <v>1636</v>
      </c>
      <c r="R408" s="6" t="s">
        <v>106</v>
      </c>
      <c r="S408" s="9" t="s">
        <v>2339</v>
      </c>
      <c r="T408" s="6"/>
      <c r="U408" s="6"/>
      <c r="V408" s="10"/>
      <c r="W408" s="10" t="s">
        <v>88</v>
      </c>
      <c r="X408" s="10"/>
      <c r="Y408" s="10"/>
    </row>
    <row r="409" customFormat="false" ht="15" hidden="false" customHeight="false" outlineLevel="0" collapsed="false">
      <c r="A409" s="6" t="n">
        <v>408</v>
      </c>
      <c r="B409" s="7" t="s">
        <v>2340</v>
      </c>
      <c r="C409" s="6" t="str">
        <f aca="false">IF(U409&lt;&gt;"","Client",IF(D409&gt;=9,"A",IF(D409&gt;=7,"B","C")))</f>
        <v>C</v>
      </c>
      <c r="D409" s="6" t="n">
        <f aca="false">E409+F409+G409</f>
        <v>5</v>
      </c>
      <c r="E409" s="6" t="n">
        <v>1</v>
      </c>
      <c r="F409" s="6" t="n">
        <v>2</v>
      </c>
      <c r="G409" s="8" t="n">
        <v>2</v>
      </c>
      <c r="H409" s="6" t="s">
        <v>2312</v>
      </c>
      <c r="I409" s="6" t="s">
        <v>287</v>
      </c>
      <c r="J409" s="2" t="s">
        <v>2341</v>
      </c>
      <c r="K409" s="2" t="s">
        <v>664</v>
      </c>
      <c r="L409" s="2" t="s">
        <v>102</v>
      </c>
      <c r="M409" s="2"/>
      <c r="N409" s="2" t="s">
        <v>247</v>
      </c>
      <c r="O409" s="2" t="s">
        <v>2269</v>
      </c>
      <c r="P409" s="2" t="s">
        <v>2342</v>
      </c>
      <c r="Q409" s="6" t="s">
        <v>1636</v>
      </c>
      <c r="R409" s="6" t="s">
        <v>106</v>
      </c>
      <c r="S409" s="9" t="s">
        <v>2343</v>
      </c>
      <c r="T409" s="6"/>
      <c r="U409" s="6"/>
      <c r="V409" s="10"/>
      <c r="W409" s="10" t="s">
        <v>88</v>
      </c>
      <c r="X409" s="10"/>
      <c r="Y409" s="10"/>
    </row>
    <row r="410" customFormat="false" ht="23.85" hidden="false" customHeight="false" outlineLevel="0" collapsed="false">
      <c r="A410" s="6" t="n">
        <v>409</v>
      </c>
      <c r="B410" s="7" t="s">
        <v>2344</v>
      </c>
      <c r="C410" s="6" t="str">
        <f aca="false">IF(U410&lt;&gt;"","Client",IF(D410&gt;=9,"A",IF(D410&gt;=7,"B","C")))</f>
        <v>C</v>
      </c>
      <c r="D410" s="6" t="n">
        <f aca="false">E410+F410+G410</f>
        <v>5</v>
      </c>
      <c r="E410" s="6" t="n">
        <v>1</v>
      </c>
      <c r="F410" s="6" t="n">
        <v>2</v>
      </c>
      <c r="G410" s="8" t="n">
        <v>2</v>
      </c>
      <c r="H410" s="6" t="s">
        <v>2312</v>
      </c>
      <c r="I410" s="6" t="s">
        <v>287</v>
      </c>
      <c r="J410" s="2" t="s">
        <v>2345</v>
      </c>
      <c r="K410" s="2" t="s">
        <v>1255</v>
      </c>
      <c r="L410" s="2" t="s">
        <v>127</v>
      </c>
      <c r="M410" s="2"/>
      <c r="N410" s="2" t="s">
        <v>802</v>
      </c>
      <c r="O410" s="2" t="s">
        <v>1256</v>
      </c>
      <c r="P410" s="2" t="s">
        <v>2346</v>
      </c>
      <c r="Q410" s="6" t="s">
        <v>97</v>
      </c>
      <c r="R410" s="6" t="s">
        <v>106</v>
      </c>
      <c r="S410" s="9" t="s">
        <v>1258</v>
      </c>
      <c r="T410" s="6"/>
      <c r="U410" s="6"/>
      <c r="V410" s="10"/>
      <c r="W410" s="10" t="s">
        <v>88</v>
      </c>
      <c r="X410" s="10"/>
      <c r="Y410" s="10"/>
    </row>
    <row r="411" customFormat="false" ht="23.85" hidden="false" customHeight="false" outlineLevel="0" collapsed="false">
      <c r="A411" s="6" t="n">
        <v>410</v>
      </c>
      <c r="B411" s="7" t="s">
        <v>2347</v>
      </c>
      <c r="C411" s="6" t="str">
        <f aca="false">IF(U411&lt;&gt;"","Client",IF(D411&gt;=9,"A",IF(D411&gt;=7,"B","C")))</f>
        <v>C</v>
      </c>
      <c r="D411" s="6" t="n">
        <f aca="false">E411+F411+G411</f>
        <v>5</v>
      </c>
      <c r="E411" s="6" t="n">
        <v>1</v>
      </c>
      <c r="F411" s="6" t="n">
        <v>2</v>
      </c>
      <c r="G411" s="8" t="n">
        <v>2</v>
      </c>
      <c r="H411" s="6" t="s">
        <v>1215</v>
      </c>
      <c r="I411" s="6" t="s">
        <v>287</v>
      </c>
      <c r="J411" s="2" t="s">
        <v>2348</v>
      </c>
      <c r="K411" s="2" t="s">
        <v>1941</v>
      </c>
      <c r="L411" s="2" t="s">
        <v>127</v>
      </c>
      <c r="M411" s="2"/>
      <c r="N411" s="2" t="s">
        <v>802</v>
      </c>
      <c r="O411" s="2" t="s">
        <v>1256</v>
      </c>
      <c r="P411" s="2" t="s">
        <v>2349</v>
      </c>
      <c r="Q411" s="6" t="s">
        <v>84</v>
      </c>
      <c r="R411" s="6" t="s">
        <v>85</v>
      </c>
      <c r="S411" s="9" t="s">
        <v>2350</v>
      </c>
      <c r="T411" s="6"/>
      <c r="U411" s="6"/>
      <c r="V411" s="10"/>
      <c r="W411" s="10" t="s">
        <v>88</v>
      </c>
      <c r="X411" s="10"/>
      <c r="Y411" s="10"/>
    </row>
    <row r="412" customFormat="false" ht="23.85" hidden="false" customHeight="false" outlineLevel="0" collapsed="false">
      <c r="A412" s="6" t="n">
        <v>411</v>
      </c>
      <c r="B412" s="7" t="s">
        <v>2351</v>
      </c>
      <c r="C412" s="6" t="str">
        <f aca="false">IF(U412&lt;&gt;"","Client",IF(D412&gt;=9,"A",IF(D412&gt;=7,"B","C")))</f>
        <v>C</v>
      </c>
      <c r="D412" s="6" t="n">
        <f aca="false">E412+F412+G412</f>
        <v>5</v>
      </c>
      <c r="E412" s="6" t="n">
        <v>1</v>
      </c>
      <c r="F412" s="6" t="n">
        <v>2</v>
      </c>
      <c r="G412" s="8" t="n">
        <v>2</v>
      </c>
      <c r="H412" s="6" t="s">
        <v>1598</v>
      </c>
      <c r="I412" s="6" t="s">
        <v>287</v>
      </c>
      <c r="J412" s="2" t="s">
        <v>2317</v>
      </c>
      <c r="K412" s="2" t="s">
        <v>2318</v>
      </c>
      <c r="L412" s="2" t="s">
        <v>167</v>
      </c>
      <c r="M412" s="2"/>
      <c r="N412" s="2" t="s">
        <v>247</v>
      </c>
      <c r="O412" s="2" t="s">
        <v>2352</v>
      </c>
      <c r="P412" s="2" t="s">
        <v>2353</v>
      </c>
      <c r="Q412" s="6" t="s">
        <v>84</v>
      </c>
      <c r="R412" s="6" t="s">
        <v>85</v>
      </c>
      <c r="S412" s="9" t="s">
        <v>2321</v>
      </c>
      <c r="T412" s="6"/>
      <c r="U412" s="6"/>
      <c r="V412" s="10"/>
      <c r="W412" s="10" t="s">
        <v>88</v>
      </c>
      <c r="X412" s="10"/>
      <c r="Y412" s="10"/>
    </row>
    <row r="413" customFormat="false" ht="23.85" hidden="false" customHeight="false" outlineLevel="0" collapsed="false">
      <c r="A413" s="6" t="n">
        <v>412</v>
      </c>
      <c r="B413" s="7" t="s">
        <v>2354</v>
      </c>
      <c r="C413" s="6" t="str">
        <f aca="false">IF(U413&lt;&gt;"","Client",IF(D413&gt;=9,"A",IF(D413&gt;=7,"B","C")))</f>
        <v>C</v>
      </c>
      <c r="D413" s="6" t="n">
        <f aca="false">E413+F413+G413</f>
        <v>5</v>
      </c>
      <c r="E413" s="6" t="n">
        <v>1</v>
      </c>
      <c r="F413" s="6" t="n">
        <v>2</v>
      </c>
      <c r="G413" s="8" t="n">
        <v>2</v>
      </c>
      <c r="H413" s="6" t="s">
        <v>1644</v>
      </c>
      <c r="I413" s="6" t="s">
        <v>287</v>
      </c>
      <c r="J413" s="2" t="s">
        <v>2169</v>
      </c>
      <c r="K413" s="2" t="s">
        <v>1190</v>
      </c>
      <c r="L413" s="2" t="s">
        <v>127</v>
      </c>
      <c r="M413" s="2"/>
      <c r="N413" s="2" t="s">
        <v>802</v>
      </c>
      <c r="O413" s="2" t="s">
        <v>1191</v>
      </c>
      <c r="P413" s="2" t="s">
        <v>2355</v>
      </c>
      <c r="Q413" s="6" t="s">
        <v>332</v>
      </c>
      <c r="R413" s="6" t="s">
        <v>85</v>
      </c>
      <c r="S413" s="9" t="s">
        <v>1193</v>
      </c>
      <c r="T413" s="6"/>
      <c r="U413" s="6"/>
      <c r="V413" s="10"/>
      <c r="W413" s="10" t="s">
        <v>88</v>
      </c>
      <c r="X413" s="10"/>
      <c r="Y413" s="10"/>
    </row>
    <row r="414" customFormat="false" ht="23.85" hidden="false" customHeight="false" outlineLevel="0" collapsed="false">
      <c r="A414" s="6" t="n">
        <v>413</v>
      </c>
      <c r="B414" s="7" t="s">
        <v>2356</v>
      </c>
      <c r="C414" s="6" t="str">
        <f aca="false">IF(U414&lt;&gt;"","Client",IF(D414&gt;=9,"A",IF(D414&gt;=7,"B","C")))</f>
        <v>C</v>
      </c>
      <c r="D414" s="6" t="n">
        <f aca="false">E414+F414+G414</f>
        <v>5</v>
      </c>
      <c r="E414" s="6" t="n">
        <v>1</v>
      </c>
      <c r="F414" s="6" t="n">
        <v>2</v>
      </c>
      <c r="G414" s="8" t="n">
        <v>2</v>
      </c>
      <c r="H414" s="6" t="s">
        <v>1644</v>
      </c>
      <c r="I414" s="6" t="s">
        <v>287</v>
      </c>
      <c r="J414" s="2" t="s">
        <v>2169</v>
      </c>
      <c r="K414" s="2" t="s">
        <v>2357</v>
      </c>
      <c r="L414" s="2" t="s">
        <v>127</v>
      </c>
      <c r="M414" s="2"/>
      <c r="N414" s="2" t="s">
        <v>247</v>
      </c>
      <c r="O414" s="2" t="s">
        <v>2358</v>
      </c>
      <c r="P414" s="2" t="s">
        <v>2359</v>
      </c>
      <c r="Q414" s="6" t="s">
        <v>256</v>
      </c>
      <c r="R414" s="6" t="s">
        <v>106</v>
      </c>
      <c r="S414" s="9" t="s">
        <v>2360</v>
      </c>
      <c r="T414" s="6"/>
      <c r="U414" s="6"/>
      <c r="V414" s="10"/>
      <c r="W414" s="10" t="s">
        <v>88</v>
      </c>
      <c r="X414" s="10"/>
      <c r="Y414" s="10"/>
    </row>
    <row r="415" customFormat="false" ht="23.85" hidden="false" customHeight="false" outlineLevel="0" collapsed="false">
      <c r="A415" s="6" t="n">
        <v>414</v>
      </c>
      <c r="B415" s="7" t="s">
        <v>2361</v>
      </c>
      <c r="C415" s="6" t="str">
        <f aca="false">IF(U415&lt;&gt;"","Client",IF(D415&gt;=9,"A",IF(D415&gt;=7,"B","C")))</f>
        <v>C</v>
      </c>
      <c r="D415" s="6" t="n">
        <f aca="false">E415+F415+G415</f>
        <v>5</v>
      </c>
      <c r="E415" s="6" t="n">
        <v>2</v>
      </c>
      <c r="F415" s="6" t="n">
        <v>2</v>
      </c>
      <c r="G415" s="8" t="n">
        <v>1</v>
      </c>
      <c r="H415" s="6" t="s">
        <v>507</v>
      </c>
      <c r="I415" s="6" t="s">
        <v>287</v>
      </c>
      <c r="J415" s="2" t="s">
        <v>988</v>
      </c>
      <c r="K415" s="2" t="s">
        <v>2362</v>
      </c>
      <c r="L415" s="2" t="s">
        <v>1539</v>
      </c>
      <c r="M415" s="2"/>
      <c r="N415" s="2" t="s">
        <v>530</v>
      </c>
      <c r="O415" s="2" t="s">
        <v>2363</v>
      </c>
      <c r="P415" s="2" t="s">
        <v>2364</v>
      </c>
      <c r="Q415" s="6" t="s">
        <v>1874</v>
      </c>
      <c r="R415" s="6" t="s">
        <v>106</v>
      </c>
      <c r="S415" s="9" t="s">
        <v>2365</v>
      </c>
      <c r="T415" s="6"/>
      <c r="U415" s="6"/>
      <c r="V415" s="10"/>
      <c r="W415" s="10" t="s">
        <v>88</v>
      </c>
      <c r="X415" s="10"/>
      <c r="Y415" s="10"/>
    </row>
    <row r="416" customFormat="false" ht="23.85" hidden="false" customHeight="false" outlineLevel="0" collapsed="false">
      <c r="A416" s="6" t="n">
        <v>415</v>
      </c>
      <c r="B416" s="7" t="s">
        <v>2366</v>
      </c>
      <c r="C416" s="6" t="str">
        <f aca="false">IF(U416&lt;&gt;"","Client",IF(D416&gt;=9,"A",IF(D416&gt;=7,"B","C")))</f>
        <v>C</v>
      </c>
      <c r="D416" s="6" t="n">
        <f aca="false">E416+F416+G416</f>
        <v>5</v>
      </c>
      <c r="E416" s="6" t="n">
        <v>2</v>
      </c>
      <c r="F416" s="6" t="n">
        <v>2</v>
      </c>
      <c r="G416" s="8" t="n">
        <v>1</v>
      </c>
      <c r="H416" s="6" t="s">
        <v>507</v>
      </c>
      <c r="I416" s="6" t="s">
        <v>287</v>
      </c>
      <c r="J416" s="2" t="s">
        <v>2367</v>
      </c>
      <c r="K416" s="2" t="s">
        <v>92</v>
      </c>
      <c r="L416" s="2" t="s">
        <v>93</v>
      </c>
      <c r="M416" s="2"/>
      <c r="N416" s="2" t="s">
        <v>521</v>
      </c>
      <c r="O416" s="2" t="s">
        <v>2368</v>
      </c>
      <c r="P416" s="2" t="s">
        <v>2369</v>
      </c>
      <c r="Q416" s="6" t="s">
        <v>504</v>
      </c>
      <c r="R416" s="6" t="s">
        <v>98</v>
      </c>
      <c r="S416" s="9" t="s">
        <v>2370</v>
      </c>
      <c r="T416" s="6"/>
      <c r="U416" s="6"/>
      <c r="V416" s="10"/>
      <c r="W416" s="10" t="s">
        <v>88</v>
      </c>
      <c r="X416" s="10"/>
      <c r="Y416" s="10"/>
    </row>
    <row r="417" customFormat="false" ht="15" hidden="false" customHeight="false" outlineLevel="0" collapsed="false">
      <c r="A417" s="6" t="n">
        <v>416</v>
      </c>
      <c r="B417" s="7" t="s">
        <v>2371</v>
      </c>
      <c r="C417" s="6" t="str">
        <f aca="false">IF(U417&lt;&gt;"","Client",IF(D417&gt;=9,"A",IF(D417&gt;=7,"B","C")))</f>
        <v>C</v>
      </c>
      <c r="D417" s="6" t="n">
        <f aca="false">E417+F417+G417</f>
        <v>5</v>
      </c>
      <c r="E417" s="6" t="n">
        <v>2</v>
      </c>
      <c r="F417" s="6" t="n">
        <v>2</v>
      </c>
      <c r="G417" s="8" t="n">
        <v>1</v>
      </c>
      <c r="H417" s="6" t="s">
        <v>1127</v>
      </c>
      <c r="I417" s="6" t="s">
        <v>287</v>
      </c>
      <c r="J417" s="2" t="s">
        <v>2372</v>
      </c>
      <c r="K417" s="2" t="s">
        <v>92</v>
      </c>
      <c r="L417" s="2" t="s">
        <v>93</v>
      </c>
      <c r="M417" s="2"/>
      <c r="N417" s="2" t="s">
        <v>521</v>
      </c>
      <c r="O417" s="2" t="s">
        <v>2373</v>
      </c>
      <c r="P417" s="2" t="s">
        <v>2374</v>
      </c>
      <c r="Q417" s="6" t="s">
        <v>97</v>
      </c>
      <c r="R417" s="6" t="s">
        <v>98</v>
      </c>
      <c r="S417" s="6"/>
      <c r="T417" s="6"/>
      <c r="U417" s="6"/>
      <c r="V417" s="10"/>
      <c r="W417" s="10" t="s">
        <v>88</v>
      </c>
      <c r="X417" s="10"/>
      <c r="Y417" s="10"/>
    </row>
    <row r="418" customFormat="false" ht="23.85" hidden="false" customHeight="false" outlineLevel="0" collapsed="false">
      <c r="A418" s="6" t="n">
        <v>417</v>
      </c>
      <c r="B418" s="7" t="s">
        <v>2375</v>
      </c>
      <c r="C418" s="6" t="str">
        <f aca="false">IF(U418&lt;&gt;"","Client",IF(D418&gt;=9,"A",IF(D418&gt;=7,"B","C")))</f>
        <v>C</v>
      </c>
      <c r="D418" s="6" t="n">
        <f aca="false">E418+F418+G418</f>
        <v>5</v>
      </c>
      <c r="E418" s="6" t="n">
        <v>2</v>
      </c>
      <c r="F418" s="6" t="n">
        <v>2</v>
      </c>
      <c r="G418" s="8" t="n">
        <v>1</v>
      </c>
      <c r="H418" s="6" t="s">
        <v>507</v>
      </c>
      <c r="I418" s="6" t="s">
        <v>287</v>
      </c>
      <c r="J418" s="2" t="s">
        <v>2376</v>
      </c>
      <c r="K418" s="2" t="s">
        <v>92</v>
      </c>
      <c r="L418" s="2" t="s">
        <v>93</v>
      </c>
      <c r="M418" s="2"/>
      <c r="N418" s="2" t="s">
        <v>521</v>
      </c>
      <c r="O418" s="2" t="s">
        <v>2377</v>
      </c>
      <c r="P418" s="2" t="s">
        <v>2378</v>
      </c>
      <c r="Q418" s="6" t="s">
        <v>440</v>
      </c>
      <c r="R418" s="6" t="s">
        <v>98</v>
      </c>
      <c r="S418" s="9" t="s">
        <v>2379</v>
      </c>
      <c r="T418" s="6"/>
      <c r="U418" s="6"/>
      <c r="V418" s="10"/>
      <c r="W418" s="10" t="s">
        <v>88</v>
      </c>
      <c r="X418" s="10"/>
      <c r="Y418" s="10"/>
    </row>
    <row r="419" customFormat="false" ht="15" hidden="false" customHeight="false" outlineLevel="0" collapsed="false">
      <c r="A419" s="6" t="n">
        <v>418</v>
      </c>
      <c r="B419" s="7" t="s">
        <v>2380</v>
      </c>
      <c r="C419" s="6" t="str">
        <f aca="false">IF(U419&lt;&gt;"","Client",IF(D419&gt;=9,"A",IF(D419&gt;=7,"B","C")))</f>
        <v>C</v>
      </c>
      <c r="D419" s="6" t="n">
        <f aca="false">E419+F419+G419</f>
        <v>5</v>
      </c>
      <c r="E419" s="6" t="n">
        <v>2</v>
      </c>
      <c r="F419" s="6" t="n">
        <v>2</v>
      </c>
      <c r="G419" s="8" t="n">
        <v>1</v>
      </c>
      <c r="H419" s="6" t="s">
        <v>507</v>
      </c>
      <c r="I419" s="6" t="s">
        <v>287</v>
      </c>
      <c r="J419" s="2" t="s">
        <v>2381</v>
      </c>
      <c r="K419" s="2" t="s">
        <v>2382</v>
      </c>
      <c r="L419" s="2" t="s">
        <v>102</v>
      </c>
      <c r="M419" s="2"/>
      <c r="N419" s="2" t="s">
        <v>538</v>
      </c>
      <c r="O419" s="2" t="s">
        <v>2383</v>
      </c>
      <c r="P419" s="2" t="s">
        <v>2384</v>
      </c>
      <c r="Q419" s="6" t="s">
        <v>440</v>
      </c>
      <c r="R419" s="6" t="s">
        <v>85</v>
      </c>
      <c r="S419" s="9" t="s">
        <v>2385</v>
      </c>
      <c r="T419" s="6"/>
      <c r="U419" s="6"/>
      <c r="V419" s="10"/>
      <c r="W419" s="10" t="s">
        <v>88</v>
      </c>
      <c r="X419" s="10"/>
      <c r="Y419" s="10"/>
    </row>
    <row r="420" customFormat="false" ht="23.85" hidden="false" customHeight="false" outlineLevel="0" collapsed="false">
      <c r="A420" s="6" t="n">
        <v>419</v>
      </c>
      <c r="B420" s="7" t="s">
        <v>2386</v>
      </c>
      <c r="C420" s="6" t="str">
        <f aca="false">IF(U420&lt;&gt;"","Client",IF(D420&gt;=9,"A",IF(D420&gt;=7,"B","C")))</f>
        <v>C</v>
      </c>
      <c r="D420" s="6" t="n">
        <f aca="false">E420+F420+G420</f>
        <v>5</v>
      </c>
      <c r="E420" s="6" t="n">
        <v>2</v>
      </c>
      <c r="F420" s="6" t="n">
        <v>2</v>
      </c>
      <c r="G420" s="8" t="n">
        <v>1</v>
      </c>
      <c r="H420" s="6" t="s">
        <v>507</v>
      </c>
      <c r="I420" s="6" t="s">
        <v>287</v>
      </c>
      <c r="J420" s="2" t="s">
        <v>2387</v>
      </c>
      <c r="K420" s="2" t="s">
        <v>2388</v>
      </c>
      <c r="L420" s="2" t="s">
        <v>1501</v>
      </c>
      <c r="M420" s="2"/>
      <c r="N420" s="2" t="s">
        <v>1275</v>
      </c>
      <c r="O420" s="2" t="s">
        <v>2389</v>
      </c>
      <c r="P420" s="2" t="s">
        <v>2390</v>
      </c>
      <c r="Q420" s="6" t="s">
        <v>226</v>
      </c>
      <c r="R420" s="6" t="s">
        <v>85</v>
      </c>
      <c r="S420" s="9" t="s">
        <v>2391</v>
      </c>
      <c r="T420" s="9" t="s">
        <v>2392</v>
      </c>
      <c r="U420" s="6"/>
      <c r="V420" s="10"/>
      <c r="W420" s="10" t="s">
        <v>88</v>
      </c>
      <c r="X420" s="10"/>
      <c r="Y420" s="10"/>
    </row>
    <row r="421" customFormat="false" ht="15" hidden="false" customHeight="false" outlineLevel="0" collapsed="false">
      <c r="A421" s="6" t="n">
        <v>420</v>
      </c>
      <c r="B421" s="7" t="s">
        <v>2393</v>
      </c>
      <c r="C421" s="6" t="str">
        <f aca="false">IF(U421&lt;&gt;"","Client",IF(D421&gt;=9,"A",IF(D421&gt;=7,"B","C")))</f>
        <v>C</v>
      </c>
      <c r="D421" s="6" t="n">
        <f aca="false">E421+F421+G421</f>
        <v>5</v>
      </c>
      <c r="E421" s="6" t="n">
        <v>2</v>
      </c>
      <c r="F421" s="6" t="n">
        <v>2</v>
      </c>
      <c r="G421" s="8" t="n">
        <v>1</v>
      </c>
      <c r="H421" s="6" t="s">
        <v>507</v>
      </c>
      <c r="I421" s="6" t="s">
        <v>287</v>
      </c>
      <c r="J421" s="2" t="s">
        <v>2394</v>
      </c>
      <c r="K421" s="2" t="s">
        <v>92</v>
      </c>
      <c r="L421" s="2" t="s">
        <v>93</v>
      </c>
      <c r="M421" s="2"/>
      <c r="N421" s="2" t="s">
        <v>521</v>
      </c>
      <c r="O421" s="2" t="s">
        <v>2395</v>
      </c>
      <c r="P421" s="2" t="s">
        <v>285</v>
      </c>
      <c r="Q421" s="6" t="s">
        <v>97</v>
      </c>
      <c r="R421" s="6" t="s">
        <v>98</v>
      </c>
      <c r="S421" s="6"/>
      <c r="T421" s="6"/>
      <c r="U421" s="6"/>
      <c r="V421" s="10"/>
      <c r="W421" s="10" t="s">
        <v>88</v>
      </c>
      <c r="X421" s="10"/>
      <c r="Y421" s="10"/>
    </row>
    <row r="422" customFormat="false" ht="15" hidden="false" customHeight="false" outlineLevel="0" collapsed="false">
      <c r="A422" s="6" t="n">
        <v>421</v>
      </c>
      <c r="B422" s="7" t="s">
        <v>2396</v>
      </c>
      <c r="C422" s="6" t="str">
        <f aca="false">IF(U422&lt;&gt;"","Client",IF(D422&gt;=9,"A",IF(D422&gt;=7,"B","C")))</f>
        <v>C</v>
      </c>
      <c r="D422" s="6" t="n">
        <f aca="false">E422+F422+G422</f>
        <v>5</v>
      </c>
      <c r="E422" s="6" t="n">
        <v>2</v>
      </c>
      <c r="F422" s="6" t="n">
        <v>2</v>
      </c>
      <c r="G422" s="8" t="n">
        <v>1</v>
      </c>
      <c r="H422" s="6" t="s">
        <v>1127</v>
      </c>
      <c r="I422" s="6" t="s">
        <v>287</v>
      </c>
      <c r="J422" s="2" t="s">
        <v>2396</v>
      </c>
      <c r="K422" s="2" t="s">
        <v>92</v>
      </c>
      <c r="L422" s="2" t="s">
        <v>93</v>
      </c>
      <c r="M422" s="2"/>
      <c r="N422" s="2" t="s">
        <v>521</v>
      </c>
      <c r="O422" s="2"/>
      <c r="P422" s="2" t="s">
        <v>2397</v>
      </c>
      <c r="Q422" s="6" t="s">
        <v>97</v>
      </c>
      <c r="R422" s="6" t="s">
        <v>98</v>
      </c>
      <c r="S422" s="6"/>
      <c r="T422" s="6"/>
      <c r="U422" s="6"/>
      <c r="V422" s="10"/>
      <c r="W422" s="10" t="s">
        <v>88</v>
      </c>
      <c r="X422" s="10"/>
      <c r="Y422" s="10"/>
    </row>
    <row r="423" customFormat="false" ht="23.85" hidden="false" customHeight="false" outlineLevel="0" collapsed="false">
      <c r="A423" s="6" t="n">
        <v>422</v>
      </c>
      <c r="B423" s="7" t="s">
        <v>2398</v>
      </c>
      <c r="C423" s="6" t="str">
        <f aca="false">IF(U423&lt;&gt;"","Client",IF(D423&gt;=9,"A",IF(D423&gt;=7,"B","C")))</f>
        <v>C</v>
      </c>
      <c r="D423" s="6" t="n">
        <f aca="false">E423+F423+G423</f>
        <v>5</v>
      </c>
      <c r="E423" s="6" t="n">
        <v>2</v>
      </c>
      <c r="F423" s="6" t="n">
        <v>2</v>
      </c>
      <c r="G423" s="8" t="n">
        <v>1</v>
      </c>
      <c r="H423" s="6" t="s">
        <v>507</v>
      </c>
      <c r="I423" s="6" t="s">
        <v>287</v>
      </c>
      <c r="J423" s="2" t="s">
        <v>2169</v>
      </c>
      <c r="K423" s="2" t="s">
        <v>2399</v>
      </c>
      <c r="L423" s="2" t="s">
        <v>127</v>
      </c>
      <c r="M423" s="2"/>
      <c r="N423" s="2" t="s">
        <v>530</v>
      </c>
      <c r="O423" s="2" t="s">
        <v>2400</v>
      </c>
      <c r="P423" s="2" t="s">
        <v>2401</v>
      </c>
      <c r="Q423" s="6" t="s">
        <v>97</v>
      </c>
      <c r="R423" s="6" t="s">
        <v>106</v>
      </c>
      <c r="S423" s="9" t="s">
        <v>2402</v>
      </c>
      <c r="T423" s="6"/>
      <c r="U423" s="6"/>
      <c r="V423" s="10"/>
      <c r="W423" s="10" t="s">
        <v>88</v>
      </c>
      <c r="X423" s="10"/>
      <c r="Y423" s="10"/>
    </row>
    <row r="424" customFormat="false" ht="15" hidden="false" customHeight="false" outlineLevel="0" collapsed="false">
      <c r="A424" s="6" t="n">
        <v>423</v>
      </c>
      <c r="B424" s="7" t="s">
        <v>2403</v>
      </c>
      <c r="C424" s="6" t="str">
        <f aca="false">IF(U424&lt;&gt;"","Client",IF(D424&gt;=9,"A",IF(D424&gt;=7,"B","C")))</f>
        <v>C</v>
      </c>
      <c r="D424" s="6" t="n">
        <f aca="false">E424+F424+G424</f>
        <v>5</v>
      </c>
      <c r="E424" s="6" t="n">
        <v>2</v>
      </c>
      <c r="F424" s="6" t="n">
        <v>2</v>
      </c>
      <c r="G424" s="8" t="n">
        <v>1</v>
      </c>
      <c r="H424" s="6" t="s">
        <v>1127</v>
      </c>
      <c r="I424" s="6" t="s">
        <v>287</v>
      </c>
      <c r="J424" s="2" t="s">
        <v>2403</v>
      </c>
      <c r="K424" s="2" t="s">
        <v>92</v>
      </c>
      <c r="L424" s="2" t="s">
        <v>93</v>
      </c>
      <c r="M424" s="2"/>
      <c r="N424" s="2" t="s">
        <v>521</v>
      </c>
      <c r="O424" s="2" t="s">
        <v>2404</v>
      </c>
      <c r="P424" s="2" t="s">
        <v>2405</v>
      </c>
      <c r="Q424" s="6" t="s">
        <v>236</v>
      </c>
      <c r="R424" s="6" t="s">
        <v>98</v>
      </c>
      <c r="S424" s="9" t="s">
        <v>2406</v>
      </c>
      <c r="T424" s="6"/>
      <c r="U424" s="6"/>
      <c r="V424" s="10"/>
      <c r="W424" s="10" t="s">
        <v>88</v>
      </c>
      <c r="X424" s="10"/>
      <c r="Y424" s="10"/>
    </row>
    <row r="425" customFormat="false" ht="23.85" hidden="false" customHeight="false" outlineLevel="0" collapsed="false">
      <c r="A425" s="6" t="n">
        <v>424</v>
      </c>
      <c r="B425" s="7" t="s">
        <v>2407</v>
      </c>
      <c r="C425" s="6" t="str">
        <f aca="false">IF(U425&lt;&gt;"","Client",IF(D425&gt;=9,"A",IF(D425&gt;=7,"B","C")))</f>
        <v>C</v>
      </c>
      <c r="D425" s="6" t="n">
        <f aca="false">E425+F425+G425</f>
        <v>5</v>
      </c>
      <c r="E425" s="6" t="n">
        <v>2</v>
      </c>
      <c r="F425" s="6" t="n">
        <v>2</v>
      </c>
      <c r="G425" s="8" t="n">
        <v>1</v>
      </c>
      <c r="H425" s="6" t="s">
        <v>507</v>
      </c>
      <c r="I425" s="6" t="s">
        <v>287</v>
      </c>
      <c r="J425" s="2" t="s">
        <v>2408</v>
      </c>
      <c r="K425" s="2" t="s">
        <v>92</v>
      </c>
      <c r="L425" s="2" t="s">
        <v>93</v>
      </c>
      <c r="M425" s="2"/>
      <c r="N425" s="2" t="s">
        <v>521</v>
      </c>
      <c r="O425" s="2" t="s">
        <v>2409</v>
      </c>
      <c r="P425" s="2" t="s">
        <v>2410</v>
      </c>
      <c r="Q425" s="6" t="s">
        <v>308</v>
      </c>
      <c r="R425" s="6" t="s">
        <v>98</v>
      </c>
      <c r="S425" s="9" t="s">
        <v>2411</v>
      </c>
      <c r="T425" s="6"/>
      <c r="U425" s="6"/>
      <c r="V425" s="10"/>
      <c r="W425" s="10" t="s">
        <v>88</v>
      </c>
      <c r="X425" s="10"/>
      <c r="Y425" s="10"/>
    </row>
    <row r="426" customFormat="false" ht="23.85" hidden="false" customHeight="false" outlineLevel="0" collapsed="false">
      <c r="A426" s="6" t="n">
        <v>425</v>
      </c>
      <c r="B426" s="7" t="s">
        <v>2412</v>
      </c>
      <c r="C426" s="6" t="str">
        <f aca="false">IF(U426&lt;&gt;"","Client",IF(D426&gt;=9,"A",IF(D426&gt;=7,"B","C")))</f>
        <v>C</v>
      </c>
      <c r="D426" s="6" t="n">
        <f aca="false">E426+F426+G426</f>
        <v>5</v>
      </c>
      <c r="E426" s="6" t="n">
        <v>3</v>
      </c>
      <c r="F426" s="6" t="n">
        <v>2</v>
      </c>
      <c r="G426" s="8" t="n">
        <v>0</v>
      </c>
      <c r="H426" s="6" t="s">
        <v>626</v>
      </c>
      <c r="I426" s="6" t="s">
        <v>287</v>
      </c>
      <c r="J426" s="2" t="s">
        <v>2413</v>
      </c>
      <c r="K426" s="2" t="s">
        <v>2414</v>
      </c>
      <c r="L426" s="2" t="s">
        <v>127</v>
      </c>
      <c r="M426" s="2"/>
      <c r="N426" s="2"/>
      <c r="O426" s="2"/>
      <c r="P426" s="2" t="s">
        <v>2415</v>
      </c>
      <c r="Q426" s="6" t="s">
        <v>517</v>
      </c>
      <c r="R426" s="6" t="s">
        <v>85</v>
      </c>
      <c r="S426" s="9" t="s">
        <v>2416</v>
      </c>
      <c r="T426" s="9" t="s">
        <v>2417</v>
      </c>
      <c r="U426" s="6"/>
      <c r="V426" s="10"/>
      <c r="W426" s="10" t="s">
        <v>88</v>
      </c>
      <c r="X426" s="10"/>
      <c r="Y426" s="10"/>
    </row>
    <row r="427" customFormat="false" ht="15" hidden="false" customHeight="false" outlineLevel="0" collapsed="false">
      <c r="A427" s="6" t="n">
        <v>426</v>
      </c>
      <c r="B427" s="7" t="s">
        <v>2418</v>
      </c>
      <c r="C427" s="6" t="str">
        <f aca="false">IF(U427&lt;&gt;"","Client",IF(D427&gt;=9,"A",IF(D427&gt;=7,"B","C")))</f>
        <v>C</v>
      </c>
      <c r="D427" s="6" t="n">
        <f aca="false">E427+F427+G427</f>
        <v>5</v>
      </c>
      <c r="E427" s="6" t="n">
        <v>3</v>
      </c>
      <c r="F427" s="6" t="n">
        <v>2</v>
      </c>
      <c r="G427" s="8" t="n">
        <v>0</v>
      </c>
      <c r="H427" s="6" t="s">
        <v>153</v>
      </c>
      <c r="I427" s="6" t="s">
        <v>287</v>
      </c>
      <c r="J427" s="2" t="s">
        <v>2419</v>
      </c>
      <c r="K427" s="2" t="s">
        <v>2196</v>
      </c>
      <c r="L427" s="2" t="s">
        <v>127</v>
      </c>
      <c r="M427" s="2"/>
      <c r="N427" s="2"/>
      <c r="O427" s="2"/>
      <c r="P427" s="2" t="s">
        <v>2420</v>
      </c>
      <c r="Q427" s="6" t="s">
        <v>84</v>
      </c>
      <c r="R427" s="6" t="s">
        <v>85</v>
      </c>
      <c r="S427" s="9" t="s">
        <v>1650</v>
      </c>
      <c r="T427" s="6"/>
      <c r="U427" s="6"/>
      <c r="V427" s="10"/>
      <c r="W427" s="10" t="s">
        <v>88</v>
      </c>
      <c r="X427" s="10"/>
      <c r="Y427" s="10"/>
    </row>
    <row r="428" customFormat="false" ht="23.85" hidden="false" customHeight="false" outlineLevel="0" collapsed="false">
      <c r="A428" s="6" t="n">
        <v>427</v>
      </c>
      <c r="B428" s="7" t="s">
        <v>2421</v>
      </c>
      <c r="C428" s="6" t="str">
        <f aca="false">IF(U428&lt;&gt;"","Client",IF(D428&gt;=9,"A",IF(D428&gt;=7,"B","C")))</f>
        <v>C</v>
      </c>
      <c r="D428" s="6" t="n">
        <f aca="false">E428+F428+G428</f>
        <v>5</v>
      </c>
      <c r="E428" s="6" t="n">
        <v>3</v>
      </c>
      <c r="F428" s="6" t="n">
        <v>2</v>
      </c>
      <c r="G428" s="8" t="n">
        <v>0</v>
      </c>
      <c r="H428" s="6" t="s">
        <v>182</v>
      </c>
      <c r="I428" s="6" t="s">
        <v>287</v>
      </c>
      <c r="J428" s="2" t="s">
        <v>2421</v>
      </c>
      <c r="K428" s="2" t="s">
        <v>2422</v>
      </c>
      <c r="L428" s="2" t="s">
        <v>127</v>
      </c>
      <c r="M428" s="2"/>
      <c r="N428" s="2"/>
      <c r="O428" s="2" t="s">
        <v>2423</v>
      </c>
      <c r="P428" s="2" t="s">
        <v>2424</v>
      </c>
      <c r="Q428" s="6" t="s">
        <v>461</v>
      </c>
      <c r="R428" s="6" t="s">
        <v>85</v>
      </c>
      <c r="S428" s="9" t="s">
        <v>2425</v>
      </c>
      <c r="T428" s="6"/>
      <c r="U428" s="6"/>
      <c r="V428" s="10"/>
      <c r="W428" s="10" t="s">
        <v>88</v>
      </c>
      <c r="X428" s="10"/>
      <c r="Y428" s="10"/>
    </row>
    <row r="429" customFormat="false" ht="15" hidden="false" customHeight="false" outlineLevel="0" collapsed="false">
      <c r="A429" s="6" t="n">
        <v>428</v>
      </c>
      <c r="B429" s="7" t="s">
        <v>2426</v>
      </c>
      <c r="C429" s="6" t="str">
        <f aca="false">IF(U429&lt;&gt;"","Client",IF(D429&gt;=9,"A",IF(D429&gt;=7,"B","C")))</f>
        <v>C</v>
      </c>
      <c r="D429" s="6" t="n">
        <f aca="false">E429+F429+G429</f>
        <v>5</v>
      </c>
      <c r="E429" s="6" t="n">
        <v>3</v>
      </c>
      <c r="F429" s="6" t="n">
        <v>2</v>
      </c>
      <c r="G429" s="8" t="n">
        <v>0</v>
      </c>
      <c r="H429" s="6" t="s">
        <v>182</v>
      </c>
      <c r="I429" s="6" t="s">
        <v>287</v>
      </c>
      <c r="J429" s="2" t="s">
        <v>2426</v>
      </c>
      <c r="K429" s="2" t="s">
        <v>2427</v>
      </c>
      <c r="L429" s="2" t="s">
        <v>127</v>
      </c>
      <c r="M429" s="2"/>
      <c r="N429" s="2" t="s">
        <v>1533</v>
      </c>
      <c r="O429" s="2"/>
      <c r="P429" s="2" t="s">
        <v>2428</v>
      </c>
      <c r="Q429" s="6" t="s">
        <v>308</v>
      </c>
      <c r="R429" s="6" t="s">
        <v>85</v>
      </c>
      <c r="S429" s="9" t="s">
        <v>2429</v>
      </c>
      <c r="T429" s="6"/>
      <c r="U429" s="6"/>
      <c r="V429" s="10"/>
      <c r="W429" s="10" t="s">
        <v>88</v>
      </c>
      <c r="X429" s="10"/>
      <c r="Y429" s="10"/>
    </row>
    <row r="430" customFormat="false" ht="15" hidden="false" customHeight="false" outlineLevel="0" collapsed="false">
      <c r="A430" s="6" t="n">
        <v>429</v>
      </c>
      <c r="B430" s="7" t="s">
        <v>2430</v>
      </c>
      <c r="C430" s="6" t="str">
        <f aca="false">IF(U430&lt;&gt;"","Client",IF(D430&gt;=9,"A",IF(D430&gt;=7,"B","C")))</f>
        <v>C</v>
      </c>
      <c r="D430" s="6" t="n">
        <f aca="false">E430+F430+G430</f>
        <v>5</v>
      </c>
      <c r="E430" s="6" t="n">
        <v>3</v>
      </c>
      <c r="F430" s="6" t="n">
        <v>2</v>
      </c>
      <c r="G430" s="8" t="n">
        <v>0</v>
      </c>
      <c r="H430" s="6" t="s">
        <v>164</v>
      </c>
      <c r="I430" s="6" t="s">
        <v>287</v>
      </c>
      <c r="J430" s="2" t="s">
        <v>2431</v>
      </c>
      <c r="K430" s="2" t="s">
        <v>544</v>
      </c>
      <c r="L430" s="2" t="s">
        <v>127</v>
      </c>
      <c r="M430" s="2"/>
      <c r="N430" s="2"/>
      <c r="O430" s="2" t="s">
        <v>936</v>
      </c>
      <c r="P430" s="2" t="s">
        <v>2432</v>
      </c>
      <c r="Q430" s="6" t="s">
        <v>97</v>
      </c>
      <c r="R430" s="6" t="s">
        <v>106</v>
      </c>
      <c r="S430" s="9" t="s">
        <v>547</v>
      </c>
      <c r="T430" s="6"/>
      <c r="U430" s="6"/>
      <c r="V430" s="10"/>
      <c r="W430" s="10" t="s">
        <v>88</v>
      </c>
      <c r="X430" s="10"/>
      <c r="Y430" s="10"/>
    </row>
    <row r="431" customFormat="false" ht="23.85" hidden="false" customHeight="false" outlineLevel="0" collapsed="false">
      <c r="A431" s="6" t="n">
        <v>430</v>
      </c>
      <c r="B431" s="7" t="s">
        <v>2433</v>
      </c>
      <c r="C431" s="6" t="str">
        <f aca="false">IF(U431&lt;&gt;"","Client",IF(D431&gt;=9,"A",IF(D431&gt;=7,"B","C")))</f>
        <v>C</v>
      </c>
      <c r="D431" s="6" t="n">
        <f aca="false">E431+F431+G431</f>
        <v>5</v>
      </c>
      <c r="E431" s="6" t="n">
        <v>3</v>
      </c>
      <c r="F431" s="6" t="n">
        <v>2</v>
      </c>
      <c r="G431" s="8" t="n">
        <v>0</v>
      </c>
      <c r="H431" s="6" t="s">
        <v>626</v>
      </c>
      <c r="I431" s="6" t="s">
        <v>287</v>
      </c>
      <c r="J431" s="2" t="s">
        <v>1805</v>
      </c>
      <c r="K431" s="2" t="s">
        <v>2434</v>
      </c>
      <c r="L431" s="2" t="s">
        <v>167</v>
      </c>
      <c r="M431" s="2"/>
      <c r="N431" s="2"/>
      <c r="O431" s="2" t="s">
        <v>2435</v>
      </c>
      <c r="P431" s="2" t="s">
        <v>2436</v>
      </c>
      <c r="Q431" s="6" t="s">
        <v>2000</v>
      </c>
      <c r="R431" s="6" t="s">
        <v>106</v>
      </c>
      <c r="S431" s="9" t="s">
        <v>2437</v>
      </c>
      <c r="T431" s="6"/>
      <c r="U431" s="6"/>
      <c r="V431" s="10"/>
      <c r="W431" s="10" t="s">
        <v>88</v>
      </c>
      <c r="X431" s="10"/>
      <c r="Y431" s="10"/>
    </row>
    <row r="432" customFormat="false" ht="15" hidden="false" customHeight="false" outlineLevel="0" collapsed="false">
      <c r="A432" s="6" t="n">
        <v>431</v>
      </c>
      <c r="B432" s="7" t="s">
        <v>2438</v>
      </c>
      <c r="C432" s="6" t="str">
        <f aca="false">IF(U432&lt;&gt;"","Client",IF(D432&gt;=9,"A",IF(D432&gt;=7,"B","C")))</f>
        <v>C</v>
      </c>
      <c r="D432" s="6" t="n">
        <f aca="false">E432+F432+G432</f>
        <v>5</v>
      </c>
      <c r="E432" s="6" t="n">
        <v>3</v>
      </c>
      <c r="F432" s="6" t="n">
        <v>2</v>
      </c>
      <c r="G432" s="8" t="n">
        <v>0</v>
      </c>
      <c r="H432" s="6" t="s">
        <v>164</v>
      </c>
      <c r="I432" s="6" t="s">
        <v>287</v>
      </c>
      <c r="J432" s="2" t="s">
        <v>729</v>
      </c>
      <c r="K432" s="2" t="s">
        <v>2439</v>
      </c>
      <c r="L432" s="2" t="s">
        <v>167</v>
      </c>
      <c r="M432" s="2"/>
      <c r="N432" s="2"/>
      <c r="O432" s="2" t="s">
        <v>2440</v>
      </c>
      <c r="P432" s="2" t="s">
        <v>2441</v>
      </c>
      <c r="Q432" s="6" t="s">
        <v>171</v>
      </c>
      <c r="R432" s="6" t="s">
        <v>98</v>
      </c>
      <c r="S432" s="9" t="s">
        <v>2442</v>
      </c>
      <c r="T432" s="6"/>
      <c r="U432" s="6"/>
      <c r="V432" s="10"/>
      <c r="W432" s="10" t="s">
        <v>88</v>
      </c>
      <c r="X432" s="10"/>
      <c r="Y432" s="10"/>
    </row>
    <row r="433" customFormat="false" ht="23.85" hidden="false" customHeight="false" outlineLevel="0" collapsed="false">
      <c r="A433" s="6" t="n">
        <v>432</v>
      </c>
      <c r="B433" s="7" t="s">
        <v>2443</v>
      </c>
      <c r="C433" s="6" t="str">
        <f aca="false">IF(U433&lt;&gt;"","Client",IF(D433&gt;=9,"A",IF(D433&gt;=7,"B","C")))</f>
        <v>C</v>
      </c>
      <c r="D433" s="6" t="n">
        <f aca="false">E433+F433+G433</f>
        <v>5</v>
      </c>
      <c r="E433" s="6" t="n">
        <v>3</v>
      </c>
      <c r="F433" s="6" t="n">
        <v>2</v>
      </c>
      <c r="G433" s="8" t="n">
        <v>0</v>
      </c>
      <c r="H433" s="6" t="s">
        <v>182</v>
      </c>
      <c r="I433" s="6" t="s">
        <v>287</v>
      </c>
      <c r="J433" s="2" t="s">
        <v>2444</v>
      </c>
      <c r="K433" s="2" t="s">
        <v>2445</v>
      </c>
      <c r="L433" s="2" t="s">
        <v>127</v>
      </c>
      <c r="M433" s="2"/>
      <c r="N433" s="2"/>
      <c r="O433" s="2" t="s">
        <v>2060</v>
      </c>
      <c r="P433" s="2" t="s">
        <v>2446</v>
      </c>
      <c r="Q433" s="6" t="s">
        <v>1162</v>
      </c>
      <c r="R433" s="6" t="s">
        <v>85</v>
      </c>
      <c r="S433" s="9" t="s">
        <v>2447</v>
      </c>
      <c r="T433" s="6"/>
      <c r="U433" s="6"/>
      <c r="V433" s="10"/>
      <c r="W433" s="10" t="s">
        <v>88</v>
      </c>
      <c r="X433" s="10"/>
      <c r="Y433" s="10"/>
    </row>
    <row r="434" customFormat="false" ht="35.05" hidden="false" customHeight="false" outlineLevel="0" collapsed="false">
      <c r="A434" s="6" t="n">
        <v>433</v>
      </c>
      <c r="B434" s="7" t="s">
        <v>2448</v>
      </c>
      <c r="C434" s="6" t="str">
        <f aca="false">IF(U434&lt;&gt;"","Client",IF(D434&gt;=9,"A",IF(D434&gt;=7,"B","C")))</f>
        <v>C</v>
      </c>
      <c r="D434" s="6" t="n">
        <f aca="false">E434+F434+G434</f>
        <v>5</v>
      </c>
      <c r="E434" s="6" t="n">
        <v>3</v>
      </c>
      <c r="F434" s="6" t="n">
        <v>2</v>
      </c>
      <c r="G434" s="8" t="n">
        <v>0</v>
      </c>
      <c r="H434" s="6" t="s">
        <v>182</v>
      </c>
      <c r="I434" s="6" t="s">
        <v>287</v>
      </c>
      <c r="J434" s="2" t="s">
        <v>2449</v>
      </c>
      <c r="K434" s="2" t="s">
        <v>2450</v>
      </c>
      <c r="L434" s="2" t="s">
        <v>127</v>
      </c>
      <c r="M434" s="2"/>
      <c r="N434" s="2" t="s">
        <v>1533</v>
      </c>
      <c r="O434" s="2" t="s">
        <v>2451</v>
      </c>
      <c r="P434" s="2" t="s">
        <v>2452</v>
      </c>
      <c r="Q434" s="6" t="s">
        <v>160</v>
      </c>
      <c r="R434" s="6" t="s">
        <v>85</v>
      </c>
      <c r="S434" s="9" t="s">
        <v>2453</v>
      </c>
      <c r="T434" s="9" t="s">
        <v>2454</v>
      </c>
      <c r="U434" s="6"/>
      <c r="V434" s="10"/>
      <c r="W434" s="10" t="s">
        <v>88</v>
      </c>
      <c r="X434" s="10"/>
      <c r="Y434" s="10"/>
    </row>
    <row r="435" customFormat="false" ht="23.85" hidden="false" customHeight="false" outlineLevel="0" collapsed="false">
      <c r="A435" s="6" t="n">
        <v>434</v>
      </c>
      <c r="B435" s="7" t="s">
        <v>2455</v>
      </c>
      <c r="C435" s="6" t="str">
        <f aca="false">IF(U435&lt;&gt;"","Client",IF(D435&gt;=9,"A",IF(D435&gt;=7,"B","C")))</f>
        <v>C</v>
      </c>
      <c r="D435" s="6" t="n">
        <f aca="false">E435+F435+G435</f>
        <v>5</v>
      </c>
      <c r="E435" s="6" t="n">
        <v>3</v>
      </c>
      <c r="F435" s="6" t="n">
        <v>2</v>
      </c>
      <c r="G435" s="8" t="n">
        <v>0</v>
      </c>
      <c r="H435" s="6" t="s">
        <v>182</v>
      </c>
      <c r="I435" s="6" t="s">
        <v>287</v>
      </c>
      <c r="J435" s="2" t="s">
        <v>2456</v>
      </c>
      <c r="K435" s="2" t="s">
        <v>2457</v>
      </c>
      <c r="L435" s="2" t="s">
        <v>1539</v>
      </c>
      <c r="M435" s="2"/>
      <c r="N435" s="2"/>
      <c r="O435" s="2" t="s">
        <v>2458</v>
      </c>
      <c r="P435" s="2" t="s">
        <v>2459</v>
      </c>
      <c r="Q435" s="6" t="s">
        <v>448</v>
      </c>
      <c r="R435" s="6" t="s">
        <v>85</v>
      </c>
      <c r="S435" s="9" t="s">
        <v>2460</v>
      </c>
      <c r="T435" s="6"/>
      <c r="U435" s="6"/>
      <c r="V435" s="10"/>
      <c r="W435" s="10" t="s">
        <v>88</v>
      </c>
      <c r="X435" s="10"/>
      <c r="Y435" s="10"/>
    </row>
    <row r="436" customFormat="false" ht="23.85" hidden="false" customHeight="false" outlineLevel="0" collapsed="false">
      <c r="A436" s="6" t="n">
        <v>435</v>
      </c>
      <c r="B436" s="7" t="s">
        <v>2461</v>
      </c>
      <c r="C436" s="6" t="str">
        <f aca="false">IF(U436&lt;&gt;"","Client",IF(D436&gt;=9,"A",IF(D436&gt;=7,"B","C")))</f>
        <v>C</v>
      </c>
      <c r="D436" s="6" t="n">
        <f aca="false">E436+F436+G436</f>
        <v>5</v>
      </c>
      <c r="E436" s="6" t="n">
        <v>3</v>
      </c>
      <c r="F436" s="6" t="n">
        <v>2</v>
      </c>
      <c r="G436" s="8" t="n">
        <v>0</v>
      </c>
      <c r="H436" s="6" t="s">
        <v>153</v>
      </c>
      <c r="I436" s="6" t="s">
        <v>287</v>
      </c>
      <c r="J436" s="2" t="s">
        <v>2462</v>
      </c>
      <c r="K436" s="2" t="s">
        <v>544</v>
      </c>
      <c r="L436" s="2" t="s">
        <v>127</v>
      </c>
      <c r="M436" s="2"/>
      <c r="N436" s="2"/>
      <c r="O436" s="2" t="s">
        <v>2463</v>
      </c>
      <c r="P436" s="2" t="s">
        <v>2464</v>
      </c>
      <c r="Q436" s="6" t="s">
        <v>97</v>
      </c>
      <c r="R436" s="6" t="s">
        <v>106</v>
      </c>
      <c r="S436" s="9" t="s">
        <v>547</v>
      </c>
      <c r="T436" s="9" t="s">
        <v>2465</v>
      </c>
      <c r="U436" s="6"/>
      <c r="V436" s="10"/>
      <c r="W436" s="10" t="s">
        <v>88</v>
      </c>
      <c r="X436" s="10"/>
      <c r="Y436" s="10"/>
    </row>
    <row r="437" customFormat="false" ht="23.85" hidden="false" customHeight="false" outlineLevel="0" collapsed="false">
      <c r="A437" s="6" t="n">
        <v>436</v>
      </c>
      <c r="B437" s="7" t="s">
        <v>2466</v>
      </c>
      <c r="C437" s="6" t="str">
        <f aca="false">IF(U437&lt;&gt;"","Client",IF(D437&gt;=9,"A",IF(D437&gt;=7,"B","C")))</f>
        <v>C</v>
      </c>
      <c r="D437" s="6" t="n">
        <f aca="false">E437+F437+G437</f>
        <v>5</v>
      </c>
      <c r="E437" s="6" t="n">
        <v>3</v>
      </c>
      <c r="F437" s="6" t="n">
        <v>2</v>
      </c>
      <c r="G437" s="8" t="n">
        <v>0</v>
      </c>
      <c r="H437" s="6" t="s">
        <v>626</v>
      </c>
      <c r="I437" s="6" t="s">
        <v>287</v>
      </c>
      <c r="J437" s="2" t="s">
        <v>2467</v>
      </c>
      <c r="K437" s="2" t="s">
        <v>2468</v>
      </c>
      <c r="L437" s="2" t="s">
        <v>127</v>
      </c>
      <c r="M437" s="2"/>
      <c r="N437" s="2" t="s">
        <v>1533</v>
      </c>
      <c r="O437" s="2"/>
      <c r="P437" s="2" t="s">
        <v>2469</v>
      </c>
      <c r="Q437" s="6" t="s">
        <v>97</v>
      </c>
      <c r="R437" s="6" t="s">
        <v>85</v>
      </c>
      <c r="S437" s="9" t="s">
        <v>2470</v>
      </c>
      <c r="T437" s="6"/>
      <c r="U437" s="6"/>
      <c r="V437" s="10"/>
      <c r="W437" s="10" t="s">
        <v>88</v>
      </c>
      <c r="X437" s="10"/>
      <c r="Y437" s="10"/>
    </row>
    <row r="438" customFormat="false" ht="15" hidden="false" customHeight="false" outlineLevel="0" collapsed="false">
      <c r="A438" s="6" t="n">
        <v>437</v>
      </c>
      <c r="B438" s="7" t="s">
        <v>2471</v>
      </c>
      <c r="C438" s="6" t="str">
        <f aca="false">IF(U438&lt;&gt;"","Client",IF(D438&gt;=9,"A",IF(D438&gt;=7,"B","C")))</f>
        <v>C</v>
      </c>
      <c r="D438" s="6" t="n">
        <f aca="false">E438+F438+G438</f>
        <v>5</v>
      </c>
      <c r="E438" s="6" t="n">
        <v>3</v>
      </c>
      <c r="F438" s="6" t="n">
        <v>2</v>
      </c>
      <c r="G438" s="8" t="n">
        <v>0</v>
      </c>
      <c r="H438" s="6" t="s">
        <v>153</v>
      </c>
      <c r="I438" s="6" t="s">
        <v>287</v>
      </c>
      <c r="J438" s="2" t="s">
        <v>1824</v>
      </c>
      <c r="K438" s="2" t="s">
        <v>2201</v>
      </c>
      <c r="L438" s="2" t="s">
        <v>127</v>
      </c>
      <c r="M438" s="2"/>
      <c r="N438" s="2"/>
      <c r="O438" s="2"/>
      <c r="P438" s="2" t="s">
        <v>2472</v>
      </c>
      <c r="Q438" s="6" t="s">
        <v>308</v>
      </c>
      <c r="R438" s="6" t="s">
        <v>85</v>
      </c>
      <c r="S438" s="9" t="s">
        <v>2473</v>
      </c>
      <c r="T438" s="6"/>
      <c r="U438" s="6"/>
      <c r="V438" s="10"/>
      <c r="W438" s="10" t="s">
        <v>88</v>
      </c>
      <c r="X438" s="10"/>
      <c r="Y438" s="10"/>
    </row>
    <row r="439" customFormat="false" ht="68.65" hidden="false" customHeight="false" outlineLevel="0" collapsed="false">
      <c r="A439" s="6" t="n">
        <v>438</v>
      </c>
      <c r="B439" s="7" t="s">
        <v>2474</v>
      </c>
      <c r="C439" s="6" t="str">
        <f aca="false">IF(U439&lt;&gt;"","Client",IF(D439&gt;=9,"A",IF(D439&gt;=7,"B","C")))</f>
        <v>C</v>
      </c>
      <c r="D439" s="6" t="n">
        <f aca="false">E439+F439+G439</f>
        <v>5</v>
      </c>
      <c r="E439" s="6" t="n">
        <v>3</v>
      </c>
      <c r="F439" s="6" t="n">
        <v>2</v>
      </c>
      <c r="G439" s="8" t="n">
        <v>0</v>
      </c>
      <c r="H439" s="6" t="s">
        <v>164</v>
      </c>
      <c r="I439" s="6" t="s">
        <v>287</v>
      </c>
      <c r="J439" s="2" t="s">
        <v>2475</v>
      </c>
      <c r="K439" s="2" t="s">
        <v>2476</v>
      </c>
      <c r="L439" s="2" t="s">
        <v>102</v>
      </c>
      <c r="M439" s="2" t="s">
        <v>2477</v>
      </c>
      <c r="N439" s="2" t="s">
        <v>1526</v>
      </c>
      <c r="O439" s="2" t="s">
        <v>2478</v>
      </c>
      <c r="P439" s="2" t="s">
        <v>2479</v>
      </c>
      <c r="Q439" s="6" t="s">
        <v>308</v>
      </c>
      <c r="R439" s="6" t="s">
        <v>85</v>
      </c>
      <c r="S439" s="9" t="s">
        <v>2480</v>
      </c>
      <c r="T439" s="9" t="s">
        <v>2481</v>
      </c>
      <c r="U439" s="6"/>
      <c r="V439" s="10"/>
      <c r="W439" s="10" t="s">
        <v>88</v>
      </c>
      <c r="X439" s="10"/>
      <c r="Y439" s="10"/>
    </row>
    <row r="440" customFormat="false" ht="23.85" hidden="false" customHeight="false" outlineLevel="0" collapsed="false">
      <c r="A440" s="6" t="n">
        <v>439</v>
      </c>
      <c r="B440" s="7" t="s">
        <v>2482</v>
      </c>
      <c r="C440" s="6" t="str">
        <f aca="false">IF(U440&lt;&gt;"","Client",IF(D440&gt;=9,"A",IF(D440&gt;=7,"B","C")))</f>
        <v>C</v>
      </c>
      <c r="D440" s="6" t="n">
        <f aca="false">E440+F440+G440</f>
        <v>5</v>
      </c>
      <c r="E440" s="6" t="n">
        <v>3</v>
      </c>
      <c r="F440" s="6" t="n">
        <v>2</v>
      </c>
      <c r="G440" s="8" t="n">
        <v>0</v>
      </c>
      <c r="H440" s="6" t="s">
        <v>153</v>
      </c>
      <c r="I440" s="6" t="s">
        <v>287</v>
      </c>
      <c r="J440" s="2" t="s">
        <v>2483</v>
      </c>
      <c r="K440" s="2" t="s">
        <v>1214</v>
      </c>
      <c r="L440" s="2" t="s">
        <v>1215</v>
      </c>
      <c r="M440" s="2"/>
      <c r="N440" s="2"/>
      <c r="O440" s="2" t="s">
        <v>2484</v>
      </c>
      <c r="P440" s="2" t="s">
        <v>2485</v>
      </c>
      <c r="Q440" s="6" t="s">
        <v>461</v>
      </c>
      <c r="R440" s="6" t="s">
        <v>85</v>
      </c>
      <c r="S440" s="9" t="s">
        <v>2486</v>
      </c>
      <c r="T440" s="6"/>
      <c r="U440" s="6"/>
      <c r="V440" s="10"/>
      <c r="W440" s="10" t="s">
        <v>88</v>
      </c>
      <c r="X440" s="10"/>
      <c r="Y440" s="10"/>
    </row>
    <row r="441" customFormat="false" ht="23.85" hidden="false" customHeight="false" outlineLevel="0" collapsed="false">
      <c r="A441" s="6" t="n">
        <v>440</v>
      </c>
      <c r="B441" s="7" t="s">
        <v>2487</v>
      </c>
      <c r="C441" s="6" t="str">
        <f aca="false">IF(U441&lt;&gt;"","Client",IF(D441&gt;=9,"A",IF(D441&gt;=7,"B","C")))</f>
        <v>C</v>
      </c>
      <c r="D441" s="6" t="n">
        <f aca="false">E441+F441+G441</f>
        <v>5</v>
      </c>
      <c r="E441" s="6" t="n">
        <v>3</v>
      </c>
      <c r="F441" s="6" t="n">
        <v>2</v>
      </c>
      <c r="G441" s="8" t="n">
        <v>0</v>
      </c>
      <c r="H441" s="6" t="s">
        <v>182</v>
      </c>
      <c r="I441" s="6" t="s">
        <v>287</v>
      </c>
      <c r="J441" s="2" t="s">
        <v>2488</v>
      </c>
      <c r="K441" s="2" t="s">
        <v>2489</v>
      </c>
      <c r="L441" s="2" t="s">
        <v>127</v>
      </c>
      <c r="M441" s="2"/>
      <c r="N441" s="2"/>
      <c r="O441" s="2" t="s">
        <v>2490</v>
      </c>
      <c r="P441" s="2" t="s">
        <v>2491</v>
      </c>
      <c r="Q441" s="6" t="s">
        <v>97</v>
      </c>
      <c r="R441" s="6" t="s">
        <v>106</v>
      </c>
      <c r="S441" s="9" t="s">
        <v>2492</v>
      </c>
      <c r="T441" s="6"/>
      <c r="U441" s="6"/>
      <c r="V441" s="10"/>
      <c r="W441" s="10" t="s">
        <v>88</v>
      </c>
      <c r="X441" s="10"/>
      <c r="Y441" s="10"/>
    </row>
    <row r="442" customFormat="false" ht="23.85" hidden="false" customHeight="false" outlineLevel="0" collapsed="false">
      <c r="A442" s="6" t="n">
        <v>441</v>
      </c>
      <c r="B442" s="7" t="s">
        <v>2493</v>
      </c>
      <c r="C442" s="6" t="str">
        <f aca="false">IF(U442&lt;&gt;"","Client",IF(D442&gt;=9,"A",IF(D442&gt;=7,"B","C")))</f>
        <v>C</v>
      </c>
      <c r="D442" s="6" t="n">
        <f aca="false">E442+F442+G442</f>
        <v>5</v>
      </c>
      <c r="E442" s="6" t="n">
        <v>3</v>
      </c>
      <c r="F442" s="6" t="n">
        <v>2</v>
      </c>
      <c r="G442" s="8" t="n">
        <v>0</v>
      </c>
      <c r="H442" s="6" t="s">
        <v>182</v>
      </c>
      <c r="I442" s="6" t="s">
        <v>287</v>
      </c>
      <c r="J442" s="2" t="s">
        <v>708</v>
      </c>
      <c r="K442" s="2" t="s">
        <v>1159</v>
      </c>
      <c r="L442" s="2" t="s">
        <v>167</v>
      </c>
      <c r="M442" s="2"/>
      <c r="N442" s="2"/>
      <c r="O442" s="2" t="s">
        <v>2494</v>
      </c>
      <c r="P442" s="2" t="s">
        <v>2495</v>
      </c>
      <c r="Q442" s="6" t="s">
        <v>281</v>
      </c>
      <c r="R442" s="6" t="s">
        <v>106</v>
      </c>
      <c r="S442" s="9" t="s">
        <v>2496</v>
      </c>
      <c r="T442" s="6"/>
      <c r="U442" s="6"/>
      <c r="V442" s="10"/>
      <c r="W442" s="10" t="s">
        <v>88</v>
      </c>
      <c r="X442" s="10"/>
      <c r="Y442" s="10"/>
    </row>
    <row r="443" customFormat="false" ht="23.85" hidden="false" customHeight="false" outlineLevel="0" collapsed="false">
      <c r="A443" s="6" t="n">
        <v>442</v>
      </c>
      <c r="B443" s="7" t="s">
        <v>2497</v>
      </c>
      <c r="C443" s="6" t="str">
        <f aca="false">IF(U443&lt;&gt;"","Client",IF(D443&gt;=9,"A",IF(D443&gt;=7,"B","C")))</f>
        <v>C</v>
      </c>
      <c r="D443" s="6" t="n">
        <f aca="false">E443+F443+G443</f>
        <v>5</v>
      </c>
      <c r="E443" s="6" t="n">
        <v>3</v>
      </c>
      <c r="F443" s="6" t="n">
        <v>2</v>
      </c>
      <c r="G443" s="8" t="n">
        <v>0</v>
      </c>
      <c r="H443" s="6" t="s">
        <v>182</v>
      </c>
      <c r="I443" s="6" t="s">
        <v>287</v>
      </c>
      <c r="J443" s="2" t="s">
        <v>2498</v>
      </c>
      <c r="K443" s="2" t="s">
        <v>2499</v>
      </c>
      <c r="L443" s="2" t="s">
        <v>127</v>
      </c>
      <c r="M443" s="2"/>
      <c r="N443" s="2"/>
      <c r="O443" s="2" t="s">
        <v>2500</v>
      </c>
      <c r="P443" s="2" t="s">
        <v>2501</v>
      </c>
      <c r="Q443" s="6" t="s">
        <v>84</v>
      </c>
      <c r="R443" s="6" t="s">
        <v>85</v>
      </c>
      <c r="S443" s="9" t="s">
        <v>2502</v>
      </c>
      <c r="T443" s="6"/>
      <c r="U443" s="6"/>
      <c r="V443" s="10"/>
      <c r="W443" s="10" t="s">
        <v>88</v>
      </c>
      <c r="X443" s="10"/>
      <c r="Y443" s="10"/>
    </row>
    <row r="444" customFormat="false" ht="23.85" hidden="false" customHeight="false" outlineLevel="0" collapsed="false">
      <c r="A444" s="6" t="n">
        <v>443</v>
      </c>
      <c r="B444" s="7" t="s">
        <v>2503</v>
      </c>
      <c r="C444" s="6" t="str">
        <f aca="false">IF(U444&lt;&gt;"","Client",IF(D444&gt;=9,"A",IF(D444&gt;=7,"B","C")))</f>
        <v>C</v>
      </c>
      <c r="D444" s="6" t="n">
        <f aca="false">E444+F444+G444</f>
        <v>5</v>
      </c>
      <c r="E444" s="6" t="n">
        <v>3</v>
      </c>
      <c r="F444" s="6" t="n">
        <v>2</v>
      </c>
      <c r="G444" s="8" t="n">
        <v>0</v>
      </c>
      <c r="H444" s="6" t="s">
        <v>626</v>
      </c>
      <c r="I444" s="6" t="s">
        <v>287</v>
      </c>
      <c r="J444" s="2" t="s">
        <v>2503</v>
      </c>
      <c r="K444" s="2" t="s">
        <v>2504</v>
      </c>
      <c r="L444" s="2" t="s">
        <v>127</v>
      </c>
      <c r="M444" s="2"/>
      <c r="N444" s="2"/>
      <c r="O444" s="2"/>
      <c r="P444" s="2" t="s">
        <v>2505</v>
      </c>
      <c r="Q444" s="6" t="s">
        <v>332</v>
      </c>
      <c r="R444" s="6" t="s">
        <v>85</v>
      </c>
      <c r="S444" s="9" t="s">
        <v>2506</v>
      </c>
      <c r="T444" s="6"/>
      <c r="U444" s="6"/>
      <c r="V444" s="10"/>
      <c r="W444" s="10" t="s">
        <v>88</v>
      </c>
      <c r="X444" s="10"/>
      <c r="Y444" s="10"/>
    </row>
    <row r="445" customFormat="false" ht="23.85" hidden="false" customHeight="false" outlineLevel="0" collapsed="false">
      <c r="A445" s="6" t="n">
        <v>444</v>
      </c>
      <c r="B445" s="7" t="s">
        <v>2507</v>
      </c>
      <c r="C445" s="6" t="str">
        <f aca="false">IF(U445&lt;&gt;"","Client",IF(D445&gt;=9,"A",IF(D445&gt;=7,"B","C")))</f>
        <v>C</v>
      </c>
      <c r="D445" s="6" t="n">
        <f aca="false">E445+F445+G445</f>
        <v>5</v>
      </c>
      <c r="E445" s="6" t="n">
        <v>3</v>
      </c>
      <c r="F445" s="6" t="n">
        <v>2</v>
      </c>
      <c r="G445" s="8" t="n">
        <v>0</v>
      </c>
      <c r="H445" s="6" t="s">
        <v>153</v>
      </c>
      <c r="I445" s="6" t="s">
        <v>287</v>
      </c>
      <c r="J445" s="2" t="s">
        <v>2508</v>
      </c>
      <c r="K445" s="2" t="s">
        <v>2509</v>
      </c>
      <c r="L445" s="2" t="s">
        <v>652</v>
      </c>
      <c r="M445" s="2"/>
      <c r="N445" s="2"/>
      <c r="O445" s="2"/>
      <c r="P445" s="2" t="s">
        <v>2510</v>
      </c>
      <c r="Q445" s="6" t="s">
        <v>1561</v>
      </c>
      <c r="R445" s="6" t="s">
        <v>106</v>
      </c>
      <c r="S445" s="9" t="s">
        <v>2511</v>
      </c>
      <c r="T445" s="6"/>
      <c r="U445" s="6"/>
      <c r="V445" s="10"/>
      <c r="W445" s="10" t="s">
        <v>88</v>
      </c>
      <c r="X445" s="10"/>
      <c r="Y445" s="10"/>
    </row>
    <row r="446" customFormat="false" ht="15" hidden="false" customHeight="false" outlineLevel="0" collapsed="false">
      <c r="A446" s="6" t="n">
        <v>445</v>
      </c>
      <c r="B446" s="7" t="s">
        <v>2512</v>
      </c>
      <c r="C446" s="6" t="str">
        <f aca="false">IF(U446&lt;&gt;"","Client",IF(D446&gt;=9,"A",IF(D446&gt;=7,"B","C")))</f>
        <v>C</v>
      </c>
      <c r="D446" s="6" t="n">
        <f aca="false">E446+F446+G446</f>
        <v>5</v>
      </c>
      <c r="E446" s="6" t="n">
        <v>3</v>
      </c>
      <c r="F446" s="6" t="n">
        <v>2</v>
      </c>
      <c r="G446" s="8" t="n">
        <v>0</v>
      </c>
      <c r="H446" s="6" t="s">
        <v>164</v>
      </c>
      <c r="I446" s="6" t="s">
        <v>287</v>
      </c>
      <c r="J446" s="2" t="s">
        <v>2513</v>
      </c>
      <c r="K446" s="2" t="s">
        <v>2514</v>
      </c>
      <c r="L446" s="2" t="s">
        <v>127</v>
      </c>
      <c r="M446" s="2"/>
      <c r="N446" s="2" t="s">
        <v>1043</v>
      </c>
      <c r="O446" s="2" t="s">
        <v>2515</v>
      </c>
      <c r="P446" s="2" t="s">
        <v>2516</v>
      </c>
      <c r="Q446" s="6" t="s">
        <v>178</v>
      </c>
      <c r="R446" s="6" t="s">
        <v>85</v>
      </c>
      <c r="S446" s="9" t="s">
        <v>2517</v>
      </c>
      <c r="T446" s="6"/>
      <c r="U446" s="6"/>
      <c r="V446" s="10"/>
      <c r="W446" s="10" t="s">
        <v>88</v>
      </c>
      <c r="X446" s="10"/>
      <c r="Y446" s="10"/>
    </row>
    <row r="447" customFormat="false" ht="15" hidden="false" customHeight="false" outlineLevel="0" collapsed="false">
      <c r="A447" s="6" t="n">
        <v>446</v>
      </c>
      <c r="B447" s="7" t="s">
        <v>2518</v>
      </c>
      <c r="C447" s="6" t="str">
        <f aca="false">IF(U447&lt;&gt;"","Client",IF(D447&gt;=9,"A",IF(D447&gt;=7,"B","C")))</f>
        <v>C</v>
      </c>
      <c r="D447" s="6" t="n">
        <f aca="false">E447+F447+G447</f>
        <v>5</v>
      </c>
      <c r="E447" s="6" t="n">
        <v>3</v>
      </c>
      <c r="F447" s="6" t="n">
        <v>2</v>
      </c>
      <c r="G447" s="8" t="n">
        <v>0</v>
      </c>
      <c r="H447" s="6" t="s">
        <v>182</v>
      </c>
      <c r="I447" s="6" t="s">
        <v>287</v>
      </c>
      <c r="J447" s="2" t="s">
        <v>2518</v>
      </c>
      <c r="K447" s="2" t="s">
        <v>970</v>
      </c>
      <c r="L447" s="2" t="s">
        <v>127</v>
      </c>
      <c r="M447" s="2"/>
      <c r="N447" s="2"/>
      <c r="O447" s="2" t="s">
        <v>971</v>
      </c>
      <c r="P447" s="2" t="s">
        <v>2519</v>
      </c>
      <c r="Q447" s="6" t="s">
        <v>97</v>
      </c>
      <c r="R447" s="6" t="s">
        <v>106</v>
      </c>
      <c r="S447" s="9" t="s">
        <v>973</v>
      </c>
      <c r="T447" s="6"/>
      <c r="U447" s="6"/>
      <c r="V447" s="10"/>
      <c r="W447" s="10" t="s">
        <v>88</v>
      </c>
      <c r="X447" s="10"/>
      <c r="Y447" s="10"/>
    </row>
    <row r="448" customFormat="false" ht="23.85" hidden="false" customHeight="false" outlineLevel="0" collapsed="false">
      <c r="A448" s="6" t="n">
        <v>447</v>
      </c>
      <c r="B448" s="7" t="s">
        <v>2520</v>
      </c>
      <c r="C448" s="6" t="str">
        <f aca="false">IF(U448&lt;&gt;"","Client",IF(D448&gt;=9,"A",IF(D448&gt;=7,"B","C")))</f>
        <v>C</v>
      </c>
      <c r="D448" s="6" t="n">
        <f aca="false">E448+F448+G448</f>
        <v>5</v>
      </c>
      <c r="E448" s="6" t="n">
        <v>3</v>
      </c>
      <c r="F448" s="6" t="n">
        <v>2</v>
      </c>
      <c r="G448" s="8" t="n">
        <v>0</v>
      </c>
      <c r="H448" s="6" t="s">
        <v>626</v>
      </c>
      <c r="I448" s="6" t="s">
        <v>287</v>
      </c>
      <c r="J448" s="2" t="s">
        <v>723</v>
      </c>
      <c r="K448" s="2" t="s">
        <v>2521</v>
      </c>
      <c r="L448" s="2" t="s">
        <v>102</v>
      </c>
      <c r="M448" s="2" t="s">
        <v>724</v>
      </c>
      <c r="N448" s="2" t="s">
        <v>1043</v>
      </c>
      <c r="O448" s="2" t="s">
        <v>2522</v>
      </c>
      <c r="P448" s="2" t="s">
        <v>2523</v>
      </c>
      <c r="Q448" s="6" t="s">
        <v>281</v>
      </c>
      <c r="R448" s="6" t="s">
        <v>85</v>
      </c>
      <c r="S448" s="9" t="s">
        <v>2524</v>
      </c>
      <c r="T448" s="6"/>
      <c r="U448" s="6"/>
      <c r="V448" s="10"/>
      <c r="W448" s="10" t="s">
        <v>88</v>
      </c>
      <c r="X448" s="10"/>
      <c r="Y448" s="10"/>
    </row>
    <row r="449" customFormat="false" ht="15" hidden="false" customHeight="false" outlineLevel="0" collapsed="false">
      <c r="A449" s="6" t="n">
        <v>448</v>
      </c>
      <c r="B449" s="7" t="s">
        <v>2525</v>
      </c>
      <c r="C449" s="6" t="str">
        <f aca="false">IF(U449&lt;&gt;"","Client",IF(D449&gt;=9,"A",IF(D449&gt;=7,"B","C")))</f>
        <v>C</v>
      </c>
      <c r="D449" s="6" t="n">
        <f aca="false">E449+F449+G449</f>
        <v>5</v>
      </c>
      <c r="E449" s="6" t="n">
        <v>3</v>
      </c>
      <c r="F449" s="6" t="n">
        <v>2</v>
      </c>
      <c r="G449" s="8" t="n">
        <v>0</v>
      </c>
      <c r="H449" s="6" t="s">
        <v>182</v>
      </c>
      <c r="I449" s="6" t="s">
        <v>287</v>
      </c>
      <c r="J449" s="2" t="s">
        <v>2526</v>
      </c>
      <c r="K449" s="2" t="s">
        <v>2527</v>
      </c>
      <c r="L449" s="2" t="s">
        <v>127</v>
      </c>
      <c r="M449" s="2"/>
      <c r="N449" s="2"/>
      <c r="O449" s="2"/>
      <c r="P449" s="2" t="s">
        <v>2528</v>
      </c>
      <c r="Q449" s="6" t="s">
        <v>178</v>
      </c>
      <c r="R449" s="6" t="s">
        <v>85</v>
      </c>
      <c r="S449" s="9" t="s">
        <v>2529</v>
      </c>
      <c r="T449" s="6"/>
      <c r="U449" s="6"/>
      <c r="V449" s="10"/>
      <c r="W449" s="10" t="s">
        <v>88</v>
      </c>
      <c r="X449" s="10"/>
      <c r="Y449" s="10"/>
    </row>
    <row r="450" customFormat="false" ht="15" hidden="false" customHeight="false" outlineLevel="0" collapsed="false">
      <c r="A450" s="6" t="n">
        <v>449</v>
      </c>
      <c r="B450" s="7" t="s">
        <v>2530</v>
      </c>
      <c r="C450" s="6" t="str">
        <f aca="false">IF(U450&lt;&gt;"","Client",IF(D450&gt;=9,"A",IF(D450&gt;=7,"B","C")))</f>
        <v>C</v>
      </c>
      <c r="D450" s="6" t="n">
        <f aca="false">E450+F450+G450</f>
        <v>5</v>
      </c>
      <c r="E450" s="6" t="n">
        <v>3</v>
      </c>
      <c r="F450" s="6" t="n">
        <v>2</v>
      </c>
      <c r="G450" s="8" t="n">
        <v>0</v>
      </c>
      <c r="H450" s="6" t="s">
        <v>182</v>
      </c>
      <c r="I450" s="6" t="s">
        <v>287</v>
      </c>
      <c r="J450" s="2" t="s">
        <v>2531</v>
      </c>
      <c r="K450" s="2" t="s">
        <v>2489</v>
      </c>
      <c r="L450" s="2" t="s">
        <v>127</v>
      </c>
      <c r="M450" s="2"/>
      <c r="N450" s="2"/>
      <c r="O450" s="2" t="s">
        <v>2532</v>
      </c>
      <c r="P450" s="2" t="s">
        <v>2533</v>
      </c>
      <c r="Q450" s="6" t="s">
        <v>97</v>
      </c>
      <c r="R450" s="6" t="s">
        <v>106</v>
      </c>
      <c r="S450" s="9" t="s">
        <v>2534</v>
      </c>
      <c r="T450" s="6"/>
      <c r="U450" s="6"/>
      <c r="V450" s="10"/>
      <c r="W450" s="10" t="s">
        <v>88</v>
      </c>
      <c r="X450" s="10"/>
      <c r="Y450" s="10"/>
    </row>
    <row r="451" customFormat="false" ht="23.85" hidden="false" customHeight="false" outlineLevel="0" collapsed="false">
      <c r="A451" s="6" t="n">
        <v>450</v>
      </c>
      <c r="B451" s="7" t="s">
        <v>2535</v>
      </c>
      <c r="C451" s="6" t="str">
        <f aca="false">IF(U451&lt;&gt;"","Client",IF(D451&gt;=9,"A",IF(D451&gt;=7,"B","C")))</f>
        <v>C</v>
      </c>
      <c r="D451" s="6" t="n">
        <f aca="false">E451+F451+G451</f>
        <v>5</v>
      </c>
      <c r="E451" s="6" t="n">
        <v>3</v>
      </c>
      <c r="F451" s="6" t="n">
        <v>2</v>
      </c>
      <c r="G451" s="8" t="n">
        <v>0</v>
      </c>
      <c r="H451" s="6" t="s">
        <v>164</v>
      </c>
      <c r="I451" s="6" t="s">
        <v>287</v>
      </c>
      <c r="J451" s="2" t="s">
        <v>1802</v>
      </c>
      <c r="K451" s="2" t="s">
        <v>1981</v>
      </c>
      <c r="L451" s="2" t="s">
        <v>652</v>
      </c>
      <c r="M451" s="2"/>
      <c r="N451" s="2"/>
      <c r="O451" s="2" t="s">
        <v>2536</v>
      </c>
      <c r="P451" s="2" t="s">
        <v>2537</v>
      </c>
      <c r="Q451" s="6" t="s">
        <v>642</v>
      </c>
      <c r="R451" s="6" t="s">
        <v>106</v>
      </c>
      <c r="S451" s="9" t="s">
        <v>2538</v>
      </c>
      <c r="T451" s="6"/>
      <c r="U451" s="6"/>
      <c r="V451" s="10"/>
      <c r="W451" s="10" t="s">
        <v>88</v>
      </c>
      <c r="X451" s="10"/>
      <c r="Y451" s="10"/>
    </row>
    <row r="452" customFormat="false" ht="15" hidden="false" customHeight="false" outlineLevel="0" collapsed="false">
      <c r="A452" s="6" t="n">
        <v>451</v>
      </c>
      <c r="B452" s="7" t="s">
        <v>2539</v>
      </c>
      <c r="C452" s="6" t="str">
        <f aca="false">IF(U452&lt;&gt;"","Client",IF(D452&gt;=9,"A",IF(D452&gt;=7,"B","C")))</f>
        <v>C</v>
      </c>
      <c r="D452" s="6" t="n">
        <f aca="false">E452+F452+G452</f>
        <v>5</v>
      </c>
      <c r="E452" s="6" t="n">
        <v>3</v>
      </c>
      <c r="F452" s="6" t="n">
        <v>2</v>
      </c>
      <c r="G452" s="8" t="n">
        <v>0</v>
      </c>
      <c r="H452" s="6" t="s">
        <v>182</v>
      </c>
      <c r="I452" s="6" t="s">
        <v>287</v>
      </c>
      <c r="J452" s="2" t="s">
        <v>2540</v>
      </c>
      <c r="K452" s="2" t="s">
        <v>2541</v>
      </c>
      <c r="L452" s="2" t="s">
        <v>127</v>
      </c>
      <c r="M452" s="2"/>
      <c r="N452" s="2"/>
      <c r="O452" s="2" t="s">
        <v>2542</v>
      </c>
      <c r="P452" s="2" t="s">
        <v>2543</v>
      </c>
      <c r="Q452" s="6" t="s">
        <v>511</v>
      </c>
      <c r="R452" s="6" t="s">
        <v>85</v>
      </c>
      <c r="S452" s="9" t="s">
        <v>2544</v>
      </c>
      <c r="T452" s="6"/>
      <c r="U452" s="6"/>
      <c r="V452" s="10"/>
      <c r="W452" s="10" t="s">
        <v>88</v>
      </c>
      <c r="X452" s="10"/>
      <c r="Y452" s="10"/>
    </row>
    <row r="453" customFormat="false" ht="23.85" hidden="false" customHeight="false" outlineLevel="0" collapsed="false">
      <c r="A453" s="6" t="n">
        <v>452</v>
      </c>
      <c r="B453" s="7" t="s">
        <v>2545</v>
      </c>
      <c r="C453" s="6" t="str">
        <f aca="false">IF(U453&lt;&gt;"","Client",IF(D453&gt;=9,"A",IF(D453&gt;=7,"B","C")))</f>
        <v>C</v>
      </c>
      <c r="D453" s="6" t="n">
        <f aca="false">E453+F453+G453</f>
        <v>5</v>
      </c>
      <c r="E453" s="6" t="n">
        <v>3</v>
      </c>
      <c r="F453" s="6" t="n">
        <v>2</v>
      </c>
      <c r="G453" s="8" t="n">
        <v>0</v>
      </c>
      <c r="H453" s="6" t="s">
        <v>182</v>
      </c>
      <c r="I453" s="6" t="s">
        <v>287</v>
      </c>
      <c r="J453" s="2" t="s">
        <v>2546</v>
      </c>
      <c r="K453" s="2" t="s">
        <v>2547</v>
      </c>
      <c r="L453" s="2" t="s">
        <v>127</v>
      </c>
      <c r="M453" s="2"/>
      <c r="N453" s="2"/>
      <c r="O453" s="2" t="s">
        <v>2548</v>
      </c>
      <c r="P453" s="2" t="s">
        <v>2549</v>
      </c>
      <c r="Q453" s="6" t="s">
        <v>2000</v>
      </c>
      <c r="R453" s="6" t="s">
        <v>106</v>
      </c>
      <c r="S453" s="9" t="s">
        <v>2550</v>
      </c>
      <c r="T453" s="6"/>
      <c r="U453" s="6"/>
      <c r="V453" s="10"/>
      <c r="W453" s="10" t="s">
        <v>88</v>
      </c>
      <c r="X453" s="10"/>
      <c r="Y453" s="10"/>
    </row>
    <row r="454" customFormat="false" ht="15" hidden="false" customHeight="false" outlineLevel="0" collapsed="false">
      <c r="A454" s="6" t="n">
        <v>453</v>
      </c>
      <c r="B454" s="7" t="s">
        <v>2551</v>
      </c>
      <c r="C454" s="6" t="str">
        <f aca="false">IF(U454&lt;&gt;"","Client",IF(D454&gt;=9,"A",IF(D454&gt;=7,"B","C")))</f>
        <v>C</v>
      </c>
      <c r="D454" s="6" t="n">
        <f aca="false">E454+F454+G454</f>
        <v>5</v>
      </c>
      <c r="E454" s="6" t="n">
        <v>3</v>
      </c>
      <c r="F454" s="6" t="n">
        <v>2</v>
      </c>
      <c r="G454" s="8" t="n">
        <v>0</v>
      </c>
      <c r="H454" s="6" t="s">
        <v>182</v>
      </c>
      <c r="I454" s="6" t="s">
        <v>287</v>
      </c>
      <c r="J454" s="2" t="s">
        <v>2551</v>
      </c>
      <c r="K454" s="2" t="s">
        <v>2552</v>
      </c>
      <c r="L454" s="2" t="s">
        <v>127</v>
      </c>
      <c r="M454" s="2"/>
      <c r="N454" s="2"/>
      <c r="O454" s="2"/>
      <c r="P454" s="2" t="s">
        <v>2553</v>
      </c>
      <c r="Q454" s="6" t="s">
        <v>383</v>
      </c>
      <c r="R454" s="6" t="s">
        <v>85</v>
      </c>
      <c r="S454" s="9" t="s">
        <v>2554</v>
      </c>
      <c r="T454" s="6"/>
      <c r="U454" s="6"/>
      <c r="V454" s="10"/>
      <c r="W454" s="10" t="s">
        <v>88</v>
      </c>
      <c r="X454" s="10"/>
      <c r="Y454" s="10"/>
    </row>
    <row r="455" customFormat="false" ht="23.85" hidden="false" customHeight="false" outlineLevel="0" collapsed="false">
      <c r="A455" s="6" t="n">
        <v>454</v>
      </c>
      <c r="B455" s="7" t="s">
        <v>2555</v>
      </c>
      <c r="C455" s="6" t="str">
        <f aca="false">IF(U455&lt;&gt;"","Client",IF(D455&gt;=9,"A",IF(D455&gt;=7,"B","C")))</f>
        <v>C</v>
      </c>
      <c r="D455" s="6" t="n">
        <f aca="false">E455+F455+G455</f>
        <v>5</v>
      </c>
      <c r="E455" s="6" t="n">
        <v>3</v>
      </c>
      <c r="F455" s="6" t="n">
        <v>2</v>
      </c>
      <c r="G455" s="8" t="n">
        <v>0</v>
      </c>
      <c r="H455" s="6" t="s">
        <v>164</v>
      </c>
      <c r="I455" s="6" t="s">
        <v>287</v>
      </c>
      <c r="J455" s="2" t="s">
        <v>918</v>
      </c>
      <c r="K455" s="2" t="s">
        <v>2556</v>
      </c>
      <c r="L455" s="2" t="s">
        <v>127</v>
      </c>
      <c r="M455" s="2"/>
      <c r="N455" s="2"/>
      <c r="O455" s="2" t="s">
        <v>2557</v>
      </c>
      <c r="P455" s="2" t="s">
        <v>2558</v>
      </c>
      <c r="Q455" s="6" t="s">
        <v>97</v>
      </c>
      <c r="R455" s="6" t="s">
        <v>106</v>
      </c>
      <c r="S455" s="9" t="s">
        <v>2559</v>
      </c>
      <c r="T455" s="9" t="s">
        <v>2177</v>
      </c>
      <c r="U455" s="6"/>
      <c r="V455" s="10"/>
      <c r="W455" s="10" t="s">
        <v>88</v>
      </c>
      <c r="X455" s="10"/>
      <c r="Y455" s="10"/>
    </row>
    <row r="456" customFormat="false" ht="23.85" hidden="false" customHeight="false" outlineLevel="0" collapsed="false">
      <c r="A456" s="6" t="n">
        <v>455</v>
      </c>
      <c r="B456" s="7" t="s">
        <v>2560</v>
      </c>
      <c r="C456" s="6" t="str">
        <f aca="false">IF(U456&lt;&gt;"","Client",IF(D456&gt;=9,"A",IF(D456&gt;=7,"B","C")))</f>
        <v>C</v>
      </c>
      <c r="D456" s="6" t="n">
        <f aca="false">E456+F456+G456</f>
        <v>5</v>
      </c>
      <c r="E456" s="6" t="n">
        <v>3</v>
      </c>
      <c r="F456" s="6" t="n">
        <v>2</v>
      </c>
      <c r="G456" s="8" t="n">
        <v>0</v>
      </c>
      <c r="H456" s="6" t="s">
        <v>182</v>
      </c>
      <c r="I456" s="6" t="s">
        <v>287</v>
      </c>
      <c r="J456" s="2" t="s">
        <v>2560</v>
      </c>
      <c r="K456" s="2" t="s">
        <v>2561</v>
      </c>
      <c r="L456" s="2" t="s">
        <v>127</v>
      </c>
      <c r="M456" s="2"/>
      <c r="N456" s="2" t="s">
        <v>1043</v>
      </c>
      <c r="O456" s="2" t="s">
        <v>2562</v>
      </c>
      <c r="P456" s="2" t="s">
        <v>2563</v>
      </c>
      <c r="Q456" s="6" t="s">
        <v>160</v>
      </c>
      <c r="R456" s="6" t="s">
        <v>85</v>
      </c>
      <c r="S456" s="9" t="s">
        <v>2564</v>
      </c>
      <c r="T456" s="6"/>
      <c r="U456" s="6"/>
      <c r="V456" s="10"/>
      <c r="W456" s="10" t="s">
        <v>88</v>
      </c>
      <c r="X456" s="10"/>
      <c r="Y456" s="10"/>
    </row>
    <row r="457" customFormat="false" ht="23.85" hidden="false" customHeight="false" outlineLevel="0" collapsed="false">
      <c r="A457" s="6" t="n">
        <v>456</v>
      </c>
      <c r="B457" s="7" t="s">
        <v>2565</v>
      </c>
      <c r="C457" s="6" t="str">
        <f aca="false">IF(U457&lt;&gt;"","Client",IF(D457&gt;=9,"A",IF(D457&gt;=7,"B","C")))</f>
        <v>C</v>
      </c>
      <c r="D457" s="6" t="n">
        <f aca="false">E457+F457+G457</f>
        <v>5</v>
      </c>
      <c r="E457" s="6" t="n">
        <v>3</v>
      </c>
      <c r="F457" s="6" t="n">
        <v>2</v>
      </c>
      <c r="G457" s="8" t="n">
        <v>0</v>
      </c>
      <c r="H457" s="6" t="s">
        <v>182</v>
      </c>
      <c r="I457" s="6" t="s">
        <v>287</v>
      </c>
      <c r="J457" s="2" t="s">
        <v>2566</v>
      </c>
      <c r="K457" s="2" t="s">
        <v>2567</v>
      </c>
      <c r="L457" s="2" t="s">
        <v>102</v>
      </c>
      <c r="M457" s="2"/>
      <c r="N457" s="2"/>
      <c r="O457" s="2" t="s">
        <v>2568</v>
      </c>
      <c r="P457" s="2" t="s">
        <v>2569</v>
      </c>
      <c r="Q457" s="6" t="s">
        <v>411</v>
      </c>
      <c r="R457" s="6" t="s">
        <v>106</v>
      </c>
      <c r="S457" s="9" t="s">
        <v>2570</v>
      </c>
      <c r="T457" s="9" t="s">
        <v>2571</v>
      </c>
      <c r="U457" s="6"/>
      <c r="V457" s="10"/>
      <c r="W457" s="10" t="s">
        <v>88</v>
      </c>
      <c r="X457" s="10"/>
      <c r="Y457" s="10"/>
    </row>
    <row r="458" customFormat="false" ht="23.85" hidden="false" customHeight="false" outlineLevel="0" collapsed="false">
      <c r="A458" s="6" t="n">
        <v>457</v>
      </c>
      <c r="B458" s="7" t="s">
        <v>2572</v>
      </c>
      <c r="C458" s="6" t="str">
        <f aca="false">IF(U458&lt;&gt;"","Client",IF(D458&gt;=9,"A",IF(D458&gt;=7,"B","C")))</f>
        <v>C</v>
      </c>
      <c r="D458" s="6" t="n">
        <f aca="false">E458+F458+G458</f>
        <v>5</v>
      </c>
      <c r="E458" s="6" t="n">
        <v>3</v>
      </c>
      <c r="F458" s="6" t="n">
        <v>2</v>
      </c>
      <c r="G458" s="8" t="n">
        <v>0</v>
      </c>
      <c r="H458" s="6" t="s">
        <v>626</v>
      </c>
      <c r="I458" s="6" t="s">
        <v>287</v>
      </c>
      <c r="J458" s="2" t="s">
        <v>2169</v>
      </c>
      <c r="K458" s="2" t="s">
        <v>2573</v>
      </c>
      <c r="L458" s="2" t="s">
        <v>102</v>
      </c>
      <c r="M458" s="2"/>
      <c r="N458" s="2"/>
      <c r="O458" s="2" t="s">
        <v>2574</v>
      </c>
      <c r="P458" s="2" t="s">
        <v>2575</v>
      </c>
      <c r="Q458" s="6" t="s">
        <v>150</v>
      </c>
      <c r="R458" s="6" t="s">
        <v>85</v>
      </c>
      <c r="S458" s="9" t="s">
        <v>1698</v>
      </c>
      <c r="T458" s="6"/>
      <c r="U458" s="6"/>
      <c r="V458" s="10"/>
      <c r="W458" s="10" t="s">
        <v>88</v>
      </c>
      <c r="X458" s="10"/>
      <c r="Y458" s="10"/>
    </row>
    <row r="459" customFormat="false" ht="15" hidden="false" customHeight="false" outlineLevel="0" collapsed="false">
      <c r="A459" s="6" t="n">
        <v>458</v>
      </c>
      <c r="B459" s="7" t="s">
        <v>2576</v>
      </c>
      <c r="C459" s="6" t="str">
        <f aca="false">IF(U459&lt;&gt;"","Client",IF(D459&gt;=9,"A",IF(D459&gt;=7,"B","C")))</f>
        <v>C</v>
      </c>
      <c r="D459" s="6" t="n">
        <f aca="false">E459+F459+G459</f>
        <v>5</v>
      </c>
      <c r="E459" s="6" t="n">
        <v>3</v>
      </c>
      <c r="F459" s="6" t="n">
        <v>2</v>
      </c>
      <c r="G459" s="8" t="n">
        <v>0</v>
      </c>
      <c r="H459" s="6" t="s">
        <v>626</v>
      </c>
      <c r="I459" s="6" t="s">
        <v>287</v>
      </c>
      <c r="J459" s="2" t="s">
        <v>2576</v>
      </c>
      <c r="K459" s="2" t="s">
        <v>2577</v>
      </c>
      <c r="L459" s="2" t="s">
        <v>127</v>
      </c>
      <c r="M459" s="2"/>
      <c r="N459" s="2" t="s">
        <v>1533</v>
      </c>
      <c r="O459" s="2"/>
      <c r="P459" s="2" t="s">
        <v>2578</v>
      </c>
      <c r="Q459" s="6" t="s">
        <v>256</v>
      </c>
      <c r="R459" s="6" t="s">
        <v>85</v>
      </c>
      <c r="S459" s="9" t="s">
        <v>2579</v>
      </c>
      <c r="T459" s="6"/>
      <c r="U459" s="6"/>
      <c r="V459" s="10"/>
      <c r="W459" s="10" t="s">
        <v>88</v>
      </c>
      <c r="X459" s="10"/>
      <c r="Y459" s="10"/>
    </row>
    <row r="460" customFormat="false" ht="46.25" hidden="false" customHeight="false" outlineLevel="0" collapsed="false">
      <c r="A460" s="6" t="n">
        <v>459</v>
      </c>
      <c r="B460" s="7" t="s">
        <v>918</v>
      </c>
      <c r="C460" s="6" t="str">
        <f aca="false">IF(U460&lt;&gt;"","Client",IF(D460&gt;=9,"A",IF(D460&gt;=7,"B","C")))</f>
        <v>C</v>
      </c>
      <c r="D460" s="6" t="n">
        <f aca="false">E460+F460+G460</f>
        <v>5</v>
      </c>
      <c r="E460" s="6" t="n">
        <v>3</v>
      </c>
      <c r="F460" s="6" t="n">
        <v>2</v>
      </c>
      <c r="G460" s="8" t="n">
        <v>0</v>
      </c>
      <c r="H460" s="6" t="s">
        <v>164</v>
      </c>
      <c r="I460" s="6" t="s">
        <v>287</v>
      </c>
      <c r="J460" s="2" t="s">
        <v>918</v>
      </c>
      <c r="K460" s="2" t="s">
        <v>2580</v>
      </c>
      <c r="L460" s="2" t="s">
        <v>127</v>
      </c>
      <c r="M460" s="2"/>
      <c r="N460" s="2" t="s">
        <v>1483</v>
      </c>
      <c r="O460" s="2" t="s">
        <v>2581</v>
      </c>
      <c r="P460" s="2" t="s">
        <v>2582</v>
      </c>
      <c r="Q460" s="6" t="s">
        <v>160</v>
      </c>
      <c r="R460" s="6" t="s">
        <v>85</v>
      </c>
      <c r="S460" s="9" t="s">
        <v>2583</v>
      </c>
      <c r="T460" s="9" t="s">
        <v>2584</v>
      </c>
      <c r="U460" s="6"/>
      <c r="V460" s="10"/>
      <c r="W460" s="10" t="s">
        <v>88</v>
      </c>
      <c r="X460" s="10"/>
      <c r="Y460" s="10"/>
    </row>
    <row r="461" customFormat="false" ht="15" hidden="false" customHeight="false" outlineLevel="0" collapsed="false">
      <c r="A461" s="6" t="n">
        <v>460</v>
      </c>
      <c r="B461" s="7" t="s">
        <v>2585</v>
      </c>
      <c r="C461" s="6" t="str">
        <f aca="false">IF(U461&lt;&gt;"","Client",IF(D461&gt;=9,"A",IF(D461&gt;=7,"B","C")))</f>
        <v>C</v>
      </c>
      <c r="D461" s="6" t="n">
        <f aca="false">E461+F461+G461</f>
        <v>5</v>
      </c>
      <c r="E461" s="6" t="n">
        <v>3</v>
      </c>
      <c r="F461" s="6" t="n">
        <v>2</v>
      </c>
      <c r="G461" s="8" t="n">
        <v>0</v>
      </c>
      <c r="H461" s="6" t="s">
        <v>182</v>
      </c>
      <c r="I461" s="6" t="s">
        <v>287</v>
      </c>
      <c r="J461" s="2" t="s">
        <v>134</v>
      </c>
      <c r="K461" s="2" t="s">
        <v>2586</v>
      </c>
      <c r="L461" s="2" t="s">
        <v>102</v>
      </c>
      <c r="M461" s="2"/>
      <c r="N461" s="2"/>
      <c r="O461" s="2" t="s">
        <v>2587</v>
      </c>
      <c r="P461" s="2" t="s">
        <v>2588</v>
      </c>
      <c r="Q461" s="6" t="s">
        <v>504</v>
      </c>
      <c r="R461" s="6" t="s">
        <v>106</v>
      </c>
      <c r="S461" s="9" t="s">
        <v>2589</v>
      </c>
      <c r="T461" s="6"/>
      <c r="U461" s="6"/>
      <c r="V461" s="10"/>
      <c r="W461" s="10" t="s">
        <v>88</v>
      </c>
      <c r="X461" s="10"/>
      <c r="Y461" s="10"/>
    </row>
    <row r="462" customFormat="false" ht="23.85" hidden="false" customHeight="false" outlineLevel="0" collapsed="false">
      <c r="A462" s="6" t="n">
        <v>461</v>
      </c>
      <c r="B462" s="7" t="s">
        <v>2590</v>
      </c>
      <c r="C462" s="6" t="str">
        <f aca="false">IF(U462&lt;&gt;"","Client",IF(D462&gt;=9,"A",IF(D462&gt;=7,"B","C")))</f>
        <v>C</v>
      </c>
      <c r="D462" s="6" t="n">
        <f aca="false">E462+F462+G462</f>
        <v>5</v>
      </c>
      <c r="E462" s="6" t="n">
        <v>3</v>
      </c>
      <c r="F462" s="6" t="n">
        <v>2</v>
      </c>
      <c r="G462" s="8" t="n">
        <v>0</v>
      </c>
      <c r="H462" s="6" t="s">
        <v>153</v>
      </c>
      <c r="I462" s="6" t="s">
        <v>287</v>
      </c>
      <c r="J462" s="2" t="s">
        <v>910</v>
      </c>
      <c r="K462" s="2" t="s">
        <v>2591</v>
      </c>
      <c r="L462" s="2" t="s">
        <v>206</v>
      </c>
      <c r="M462" s="2"/>
      <c r="N462" s="2"/>
      <c r="O462" s="2" t="s">
        <v>2592</v>
      </c>
      <c r="P462" s="2" t="s">
        <v>2593</v>
      </c>
      <c r="Q462" s="6" t="s">
        <v>97</v>
      </c>
      <c r="R462" s="6" t="s">
        <v>106</v>
      </c>
      <c r="S462" s="9" t="s">
        <v>2594</v>
      </c>
      <c r="T462" s="6"/>
      <c r="U462" s="6"/>
      <c r="V462" s="10"/>
      <c r="W462" s="10" t="s">
        <v>88</v>
      </c>
      <c r="X462" s="10"/>
      <c r="Y462" s="10"/>
    </row>
    <row r="463" customFormat="false" ht="15" hidden="false" customHeight="false" outlineLevel="0" collapsed="false">
      <c r="A463" s="6" t="n">
        <v>462</v>
      </c>
      <c r="B463" s="7" t="s">
        <v>2595</v>
      </c>
      <c r="C463" s="6" t="str">
        <f aca="false">IF(U463&lt;&gt;"","Client",IF(D463&gt;=9,"A",IF(D463&gt;=7,"B","C")))</f>
        <v>C</v>
      </c>
      <c r="D463" s="6" t="n">
        <f aca="false">E463+F463+G463</f>
        <v>5</v>
      </c>
      <c r="E463" s="6" t="n">
        <v>3</v>
      </c>
      <c r="F463" s="6" t="n">
        <v>2</v>
      </c>
      <c r="G463" s="8" t="n">
        <v>0</v>
      </c>
      <c r="H463" s="6" t="s">
        <v>182</v>
      </c>
      <c r="I463" s="6" t="s">
        <v>287</v>
      </c>
      <c r="J463" s="2" t="s">
        <v>708</v>
      </c>
      <c r="K463" s="2" t="s">
        <v>2596</v>
      </c>
      <c r="L463" s="2" t="s">
        <v>127</v>
      </c>
      <c r="M463" s="2"/>
      <c r="N463" s="2"/>
      <c r="O463" s="2" t="s">
        <v>2597</v>
      </c>
      <c r="P463" s="2" t="s">
        <v>2598</v>
      </c>
      <c r="Q463" s="6" t="s">
        <v>123</v>
      </c>
      <c r="R463" s="6" t="s">
        <v>85</v>
      </c>
      <c r="S463" s="9" t="s">
        <v>2599</v>
      </c>
      <c r="T463" s="6"/>
      <c r="U463" s="6"/>
      <c r="V463" s="10"/>
      <c r="W463" s="10" t="s">
        <v>88</v>
      </c>
      <c r="X463" s="10"/>
      <c r="Y463" s="10"/>
    </row>
    <row r="464" customFormat="false" ht="23.85" hidden="false" customHeight="false" outlineLevel="0" collapsed="false">
      <c r="A464" s="6" t="n">
        <v>463</v>
      </c>
      <c r="B464" s="7" t="s">
        <v>2600</v>
      </c>
      <c r="C464" s="6" t="str">
        <f aca="false">IF(U464&lt;&gt;"","Client",IF(D464&gt;=9,"A",IF(D464&gt;=7,"B","C")))</f>
        <v>C</v>
      </c>
      <c r="D464" s="6" t="n">
        <f aca="false">E464+F464+G464</f>
        <v>5</v>
      </c>
      <c r="E464" s="6" t="n">
        <v>3</v>
      </c>
      <c r="F464" s="6" t="n">
        <v>2</v>
      </c>
      <c r="G464" s="8" t="n">
        <v>0</v>
      </c>
      <c r="H464" s="6" t="s">
        <v>153</v>
      </c>
      <c r="I464" s="6" t="s">
        <v>287</v>
      </c>
      <c r="J464" s="2" t="s">
        <v>2601</v>
      </c>
      <c r="K464" s="2" t="s">
        <v>2602</v>
      </c>
      <c r="L464" s="2" t="s">
        <v>1539</v>
      </c>
      <c r="M464" s="2"/>
      <c r="N464" s="2"/>
      <c r="O464" s="2" t="s">
        <v>2603</v>
      </c>
      <c r="P464" s="2" t="s">
        <v>2604</v>
      </c>
      <c r="Q464" s="6" t="s">
        <v>281</v>
      </c>
      <c r="R464" s="6" t="s">
        <v>106</v>
      </c>
      <c r="S464" s="9" t="s">
        <v>2605</v>
      </c>
      <c r="T464" s="6"/>
      <c r="U464" s="6"/>
      <c r="V464" s="10"/>
      <c r="W464" s="10" t="s">
        <v>88</v>
      </c>
      <c r="X464" s="10"/>
      <c r="Y464" s="10"/>
    </row>
    <row r="465" customFormat="false" ht="23.85" hidden="false" customHeight="false" outlineLevel="0" collapsed="false">
      <c r="A465" s="6" t="n">
        <v>464</v>
      </c>
      <c r="B465" s="7" t="s">
        <v>2606</v>
      </c>
      <c r="C465" s="6" t="str">
        <f aca="false">IF(U465&lt;&gt;"","Client",IF(D465&gt;=9,"A",IF(D465&gt;=7,"B","C")))</f>
        <v>C</v>
      </c>
      <c r="D465" s="6" t="n">
        <f aca="false">E465+F465+G465</f>
        <v>5</v>
      </c>
      <c r="E465" s="6" t="n">
        <v>3</v>
      </c>
      <c r="F465" s="6" t="n">
        <v>2</v>
      </c>
      <c r="G465" s="8" t="n">
        <v>0</v>
      </c>
      <c r="H465" s="6" t="s">
        <v>153</v>
      </c>
      <c r="I465" s="6" t="s">
        <v>287</v>
      </c>
      <c r="J465" s="2" t="s">
        <v>1610</v>
      </c>
      <c r="K465" s="2" t="s">
        <v>2607</v>
      </c>
      <c r="L465" s="2" t="s">
        <v>127</v>
      </c>
      <c r="M465" s="2"/>
      <c r="N465" s="2" t="s">
        <v>1043</v>
      </c>
      <c r="O465" s="2" t="s">
        <v>2608</v>
      </c>
      <c r="P465" s="2" t="s">
        <v>2609</v>
      </c>
      <c r="Q465" s="6" t="s">
        <v>97</v>
      </c>
      <c r="R465" s="6" t="s">
        <v>85</v>
      </c>
      <c r="S465" s="9" t="s">
        <v>2610</v>
      </c>
      <c r="T465" s="6"/>
      <c r="U465" s="6"/>
      <c r="V465" s="10"/>
      <c r="W465" s="10" t="s">
        <v>88</v>
      </c>
      <c r="X465" s="10"/>
      <c r="Y465" s="10"/>
    </row>
    <row r="466" customFormat="false" ht="23.85" hidden="false" customHeight="false" outlineLevel="0" collapsed="false">
      <c r="A466" s="6" t="n">
        <v>465</v>
      </c>
      <c r="B466" s="7" t="s">
        <v>2611</v>
      </c>
      <c r="C466" s="6" t="str">
        <f aca="false">IF(U466&lt;&gt;"","Client",IF(D466&gt;=9,"A",IF(D466&gt;=7,"B","C")))</f>
        <v>C</v>
      </c>
      <c r="D466" s="6" t="n">
        <f aca="false">E466+F466+G466</f>
        <v>5</v>
      </c>
      <c r="E466" s="6" t="n">
        <v>3</v>
      </c>
      <c r="F466" s="6" t="n">
        <v>2</v>
      </c>
      <c r="G466" s="8" t="n">
        <v>0</v>
      </c>
      <c r="H466" s="6" t="s">
        <v>182</v>
      </c>
      <c r="I466" s="6" t="s">
        <v>287</v>
      </c>
      <c r="J466" s="2" t="s">
        <v>2612</v>
      </c>
      <c r="K466" s="2" t="s">
        <v>2613</v>
      </c>
      <c r="L466" s="2" t="s">
        <v>304</v>
      </c>
      <c r="M466" s="2"/>
      <c r="N466" s="2"/>
      <c r="O466" s="2" t="s">
        <v>2614</v>
      </c>
      <c r="P466" s="2" t="s">
        <v>2615</v>
      </c>
      <c r="Q466" s="6" t="s">
        <v>1874</v>
      </c>
      <c r="R466" s="6" t="s">
        <v>106</v>
      </c>
      <c r="S466" s="9" t="s">
        <v>2616</v>
      </c>
      <c r="T466" s="9" t="s">
        <v>2617</v>
      </c>
      <c r="U466" s="6"/>
      <c r="V466" s="10"/>
      <c r="W466" s="10" t="s">
        <v>88</v>
      </c>
      <c r="X466" s="10"/>
      <c r="Y466" s="10"/>
    </row>
    <row r="467" customFormat="false" ht="23.85" hidden="false" customHeight="false" outlineLevel="0" collapsed="false">
      <c r="A467" s="6" t="n">
        <v>466</v>
      </c>
      <c r="B467" s="7" t="s">
        <v>2618</v>
      </c>
      <c r="C467" s="6" t="str">
        <f aca="false">IF(U467&lt;&gt;"","Client",IF(D467&gt;=9,"A",IF(D467&gt;=7,"B","C")))</f>
        <v>C</v>
      </c>
      <c r="D467" s="6" t="n">
        <f aca="false">E467+F467+G467</f>
        <v>5</v>
      </c>
      <c r="E467" s="6" t="n">
        <v>3</v>
      </c>
      <c r="F467" s="6" t="n">
        <v>2</v>
      </c>
      <c r="G467" s="8" t="n">
        <v>0</v>
      </c>
      <c r="H467" s="6" t="s">
        <v>626</v>
      </c>
      <c r="I467" s="6" t="s">
        <v>287</v>
      </c>
      <c r="J467" s="2" t="s">
        <v>2618</v>
      </c>
      <c r="K467" s="2" t="s">
        <v>2619</v>
      </c>
      <c r="L467" s="2" t="s">
        <v>127</v>
      </c>
      <c r="M467" s="2"/>
      <c r="N467" s="2"/>
      <c r="O467" s="2"/>
      <c r="P467" s="2" t="s">
        <v>2620</v>
      </c>
      <c r="Q467" s="6" t="s">
        <v>517</v>
      </c>
      <c r="R467" s="6" t="s">
        <v>85</v>
      </c>
      <c r="S467" s="9" t="s">
        <v>2621</v>
      </c>
      <c r="T467" s="6"/>
      <c r="U467" s="6"/>
      <c r="V467" s="10"/>
      <c r="W467" s="10" t="s">
        <v>88</v>
      </c>
      <c r="X467" s="10"/>
      <c r="Y467" s="10"/>
    </row>
    <row r="468" customFormat="false" ht="46.25" hidden="false" customHeight="false" outlineLevel="0" collapsed="false">
      <c r="A468" s="6" t="n">
        <v>467</v>
      </c>
      <c r="B468" s="7" t="s">
        <v>2622</v>
      </c>
      <c r="C468" s="6" t="str">
        <f aca="false">IF(U468&lt;&gt;"","Client",IF(D468&gt;=9,"A",IF(D468&gt;=7,"B","C")))</f>
        <v>C</v>
      </c>
      <c r="D468" s="6" t="n">
        <f aca="false">E468+F468+G468</f>
        <v>5</v>
      </c>
      <c r="E468" s="6" t="n">
        <v>2</v>
      </c>
      <c r="F468" s="6" t="n">
        <v>0</v>
      </c>
      <c r="G468" s="8" t="n">
        <v>3</v>
      </c>
      <c r="H468" s="6" t="s">
        <v>507</v>
      </c>
      <c r="I468" s="6" t="s">
        <v>1445</v>
      </c>
      <c r="J468" s="2" t="s">
        <v>2622</v>
      </c>
      <c r="K468" s="2" t="s">
        <v>2623</v>
      </c>
      <c r="L468" s="2" t="s">
        <v>1683</v>
      </c>
      <c r="M468" s="2"/>
      <c r="N468" s="2" t="s">
        <v>81</v>
      </c>
      <c r="O468" s="2" t="s">
        <v>2624</v>
      </c>
      <c r="P468" s="2" t="s">
        <v>2625</v>
      </c>
      <c r="Q468" s="6" t="s">
        <v>308</v>
      </c>
      <c r="R468" s="6" t="s">
        <v>85</v>
      </c>
      <c r="S468" s="9" t="s">
        <v>2626</v>
      </c>
      <c r="T468" s="9" t="s">
        <v>2627</v>
      </c>
      <c r="U468" s="6"/>
      <c r="V468" s="10"/>
      <c r="W468" s="10" t="s">
        <v>88</v>
      </c>
      <c r="X468" s="10"/>
      <c r="Y468" s="10"/>
    </row>
    <row r="469" customFormat="false" ht="15" hidden="false" customHeight="false" outlineLevel="0" collapsed="false">
      <c r="A469" s="6" t="n">
        <v>468</v>
      </c>
      <c r="B469" s="7" t="s">
        <v>2628</v>
      </c>
      <c r="C469" s="6" t="str">
        <f aca="false">IF(U469&lt;&gt;"","Client",IF(D469&gt;=9,"A",IF(D469&gt;=7,"B","C")))</f>
        <v>C</v>
      </c>
      <c r="D469" s="6" t="n">
        <f aca="false">E469+F469+G469</f>
        <v>5</v>
      </c>
      <c r="E469" s="6" t="n">
        <v>2</v>
      </c>
      <c r="F469" s="6" t="n">
        <v>0</v>
      </c>
      <c r="G469" s="8" t="n">
        <v>3</v>
      </c>
      <c r="H469" s="6" t="s">
        <v>507</v>
      </c>
      <c r="I469" s="6" t="s">
        <v>1445</v>
      </c>
      <c r="J469" s="2" t="s">
        <v>2629</v>
      </c>
      <c r="K469" s="2" t="s">
        <v>92</v>
      </c>
      <c r="L469" s="2" t="s">
        <v>93</v>
      </c>
      <c r="M469" s="2"/>
      <c r="N469" s="2" t="s">
        <v>184</v>
      </c>
      <c r="O469" s="2" t="s">
        <v>1143</v>
      </c>
      <c r="P469" s="2" t="s">
        <v>2630</v>
      </c>
      <c r="Q469" s="6" t="s">
        <v>178</v>
      </c>
      <c r="R469" s="6" t="s">
        <v>85</v>
      </c>
      <c r="S469" s="9" t="s">
        <v>2631</v>
      </c>
      <c r="T469" s="6"/>
      <c r="U469" s="6"/>
      <c r="V469" s="10"/>
      <c r="W469" s="10" t="s">
        <v>88</v>
      </c>
      <c r="X469" s="10"/>
      <c r="Y469" s="10"/>
    </row>
    <row r="470" customFormat="false" ht="46.25" hidden="false" customHeight="false" outlineLevel="0" collapsed="false">
      <c r="A470" s="6" t="n">
        <v>469</v>
      </c>
      <c r="B470" s="7" t="s">
        <v>2632</v>
      </c>
      <c r="C470" s="6" t="str">
        <f aca="false">IF(U470&lt;&gt;"","Client",IF(D470&gt;=9,"A",IF(D470&gt;=7,"B","C")))</f>
        <v>C</v>
      </c>
      <c r="D470" s="6" t="n">
        <f aca="false">E470+F470+G470</f>
        <v>5</v>
      </c>
      <c r="E470" s="6" t="n">
        <v>2</v>
      </c>
      <c r="F470" s="6" t="n">
        <v>0</v>
      </c>
      <c r="G470" s="8" t="n">
        <v>3</v>
      </c>
      <c r="H470" s="6" t="s">
        <v>1085</v>
      </c>
      <c r="I470" s="6" t="s">
        <v>1445</v>
      </c>
      <c r="J470" s="2" t="s">
        <v>2633</v>
      </c>
      <c r="K470" s="2" t="s">
        <v>2634</v>
      </c>
      <c r="L470" s="2" t="s">
        <v>1921</v>
      </c>
      <c r="M470" s="2"/>
      <c r="N470" s="2" t="s">
        <v>103</v>
      </c>
      <c r="O470" s="2" t="s">
        <v>2635</v>
      </c>
      <c r="P470" s="2" t="s">
        <v>2636</v>
      </c>
      <c r="Q470" s="6" t="s">
        <v>256</v>
      </c>
      <c r="R470" s="6" t="s">
        <v>85</v>
      </c>
      <c r="S470" s="9" t="s">
        <v>2637</v>
      </c>
      <c r="T470" s="9" t="s">
        <v>2638</v>
      </c>
      <c r="U470" s="6"/>
      <c r="V470" s="10"/>
      <c r="W470" s="10" t="s">
        <v>88</v>
      </c>
      <c r="X470" s="10"/>
      <c r="Y470" s="10"/>
    </row>
    <row r="471" customFormat="false" ht="35.05" hidden="false" customHeight="false" outlineLevel="0" collapsed="false">
      <c r="A471" s="6" t="n">
        <v>470</v>
      </c>
      <c r="B471" s="7" t="s">
        <v>2639</v>
      </c>
      <c r="C471" s="6" t="str">
        <f aca="false">IF(U471&lt;&gt;"","Client",IF(D471&gt;=9,"A",IF(D471&gt;=7,"B","C")))</f>
        <v>C</v>
      </c>
      <c r="D471" s="6" t="n">
        <f aca="false">E471+F471+G471</f>
        <v>5</v>
      </c>
      <c r="E471" s="6" t="n">
        <v>2</v>
      </c>
      <c r="F471" s="6" t="n">
        <v>0</v>
      </c>
      <c r="G471" s="8" t="n">
        <v>3</v>
      </c>
      <c r="H471" s="6" t="s">
        <v>507</v>
      </c>
      <c r="I471" s="6" t="s">
        <v>1445</v>
      </c>
      <c r="J471" s="2" t="s">
        <v>2640</v>
      </c>
      <c r="K471" s="2" t="s">
        <v>730</v>
      </c>
      <c r="L471" s="2" t="s">
        <v>102</v>
      </c>
      <c r="M471" s="2"/>
      <c r="N471" s="2" t="s">
        <v>338</v>
      </c>
      <c r="O471" s="2" t="s">
        <v>2641</v>
      </c>
      <c r="P471" s="2" t="s">
        <v>2642</v>
      </c>
      <c r="Q471" s="6" t="s">
        <v>517</v>
      </c>
      <c r="R471" s="6" t="s">
        <v>85</v>
      </c>
      <c r="S471" s="9" t="s">
        <v>2643</v>
      </c>
      <c r="T471" s="6"/>
      <c r="U471" s="6"/>
      <c r="V471" s="10"/>
      <c r="W471" s="10" t="s">
        <v>88</v>
      </c>
      <c r="X471" s="10"/>
      <c r="Y471" s="10"/>
    </row>
    <row r="472" customFormat="false" ht="23.85" hidden="false" customHeight="false" outlineLevel="0" collapsed="false">
      <c r="A472" s="6" t="n">
        <v>471</v>
      </c>
      <c r="B472" s="7" t="s">
        <v>2644</v>
      </c>
      <c r="C472" s="6" t="str">
        <f aca="false">IF(U472&lt;&gt;"","Client",IF(D472&gt;=9,"A",IF(D472&gt;=7,"B","C")))</f>
        <v>C</v>
      </c>
      <c r="D472" s="6" t="n">
        <f aca="false">E472+F472+G472</f>
        <v>5</v>
      </c>
      <c r="E472" s="6" t="n">
        <v>2</v>
      </c>
      <c r="F472" s="6" t="n">
        <v>0</v>
      </c>
      <c r="G472" s="8" t="n">
        <v>3</v>
      </c>
      <c r="H472" s="6" t="s">
        <v>507</v>
      </c>
      <c r="I472" s="6" t="s">
        <v>1445</v>
      </c>
      <c r="J472" s="2" t="s">
        <v>2644</v>
      </c>
      <c r="K472" s="2" t="s">
        <v>724</v>
      </c>
      <c r="L472" s="2" t="s">
        <v>102</v>
      </c>
      <c r="M472" s="2"/>
      <c r="N472" s="2" t="s">
        <v>103</v>
      </c>
      <c r="O472" s="2" t="s">
        <v>725</v>
      </c>
      <c r="P472" s="2" t="s">
        <v>2645</v>
      </c>
      <c r="Q472" s="6" t="s">
        <v>97</v>
      </c>
      <c r="R472" s="6" t="s">
        <v>106</v>
      </c>
      <c r="S472" s="9" t="s">
        <v>2292</v>
      </c>
      <c r="T472" s="6"/>
      <c r="U472" s="6"/>
      <c r="V472" s="10"/>
      <c r="W472" s="10" t="s">
        <v>88</v>
      </c>
      <c r="X472" s="10"/>
      <c r="Y472" s="10"/>
    </row>
    <row r="473" customFormat="false" ht="23.85" hidden="false" customHeight="false" outlineLevel="0" collapsed="false">
      <c r="A473" s="6" t="n">
        <v>472</v>
      </c>
      <c r="B473" s="7" t="s">
        <v>2646</v>
      </c>
      <c r="C473" s="6" t="str">
        <f aca="false">IF(U473&lt;&gt;"","Client",IF(D473&gt;=9,"A",IF(D473&gt;=7,"B","C")))</f>
        <v>C</v>
      </c>
      <c r="D473" s="6" t="n">
        <f aca="false">E473+F473+G473</f>
        <v>5</v>
      </c>
      <c r="E473" s="6" t="n">
        <v>2</v>
      </c>
      <c r="F473" s="6" t="n">
        <v>0</v>
      </c>
      <c r="G473" s="8" t="n">
        <v>3</v>
      </c>
      <c r="H473" s="6" t="s">
        <v>1127</v>
      </c>
      <c r="I473" s="6" t="s">
        <v>1445</v>
      </c>
      <c r="J473" s="2" t="s">
        <v>2647</v>
      </c>
      <c r="K473" s="2" t="s">
        <v>2648</v>
      </c>
      <c r="L473" s="2" t="s">
        <v>102</v>
      </c>
      <c r="M473" s="2"/>
      <c r="N473" s="2" t="s">
        <v>103</v>
      </c>
      <c r="O473" s="2" t="s">
        <v>2649</v>
      </c>
      <c r="P473" s="2" t="s">
        <v>2650</v>
      </c>
      <c r="Q473" s="6" t="s">
        <v>256</v>
      </c>
      <c r="R473" s="6" t="s">
        <v>85</v>
      </c>
      <c r="S473" s="9" t="s">
        <v>2651</v>
      </c>
      <c r="T473" s="9" t="s">
        <v>2652</v>
      </c>
      <c r="U473" s="6"/>
      <c r="V473" s="10"/>
      <c r="W473" s="10" t="s">
        <v>88</v>
      </c>
      <c r="X473" s="10"/>
      <c r="Y473" s="10"/>
    </row>
    <row r="474" customFormat="false" ht="46.25" hidden="false" customHeight="false" outlineLevel="0" collapsed="false">
      <c r="A474" s="6" t="n">
        <v>473</v>
      </c>
      <c r="B474" s="7" t="s">
        <v>2653</v>
      </c>
      <c r="C474" s="6" t="str">
        <f aca="false">IF(U474&lt;&gt;"","Client",IF(D474&gt;=9,"A",IF(D474&gt;=7,"B","C")))</f>
        <v>C</v>
      </c>
      <c r="D474" s="6" t="n">
        <f aca="false">E474+F474+G474</f>
        <v>5</v>
      </c>
      <c r="E474" s="6" t="n">
        <v>2</v>
      </c>
      <c r="F474" s="6" t="n">
        <v>0</v>
      </c>
      <c r="G474" s="8" t="n">
        <v>3</v>
      </c>
      <c r="H474" s="6" t="s">
        <v>1127</v>
      </c>
      <c r="I474" s="6" t="s">
        <v>1445</v>
      </c>
      <c r="J474" s="2" t="s">
        <v>2654</v>
      </c>
      <c r="K474" s="2" t="s">
        <v>2655</v>
      </c>
      <c r="L474" s="2" t="s">
        <v>102</v>
      </c>
      <c r="M474" s="2" t="s">
        <v>2656</v>
      </c>
      <c r="N474" s="2" t="s">
        <v>1618</v>
      </c>
      <c r="O474" s="2" t="s">
        <v>2657</v>
      </c>
      <c r="P474" s="2" t="s">
        <v>2658</v>
      </c>
      <c r="Q474" s="6" t="s">
        <v>256</v>
      </c>
      <c r="R474" s="6" t="s">
        <v>85</v>
      </c>
      <c r="S474" s="9" t="s">
        <v>2659</v>
      </c>
      <c r="T474" s="9" t="s">
        <v>2660</v>
      </c>
      <c r="U474" s="6"/>
      <c r="V474" s="10"/>
      <c r="W474" s="10" t="s">
        <v>88</v>
      </c>
      <c r="X474" s="10"/>
      <c r="Y474" s="10"/>
    </row>
    <row r="475" customFormat="false" ht="23.85" hidden="false" customHeight="false" outlineLevel="0" collapsed="false">
      <c r="A475" s="6" t="n">
        <v>474</v>
      </c>
      <c r="B475" s="7" t="s">
        <v>2661</v>
      </c>
      <c r="C475" s="6" t="str">
        <f aca="false">IF(U475&lt;&gt;"","Client",IF(D475&gt;=9,"A",IF(D475&gt;=7,"B","C")))</f>
        <v>C</v>
      </c>
      <c r="D475" s="6" t="n">
        <f aca="false">E475+F475+G475</f>
        <v>5</v>
      </c>
      <c r="E475" s="6" t="n">
        <v>2</v>
      </c>
      <c r="F475" s="6" t="n">
        <v>0</v>
      </c>
      <c r="G475" s="8" t="n">
        <v>3</v>
      </c>
      <c r="H475" s="6" t="s">
        <v>507</v>
      </c>
      <c r="I475" s="6" t="s">
        <v>1445</v>
      </c>
      <c r="J475" s="2" t="s">
        <v>2662</v>
      </c>
      <c r="K475" s="2" t="s">
        <v>92</v>
      </c>
      <c r="L475" s="2" t="s">
        <v>93</v>
      </c>
      <c r="M475" s="2"/>
      <c r="N475" s="2" t="s">
        <v>120</v>
      </c>
      <c r="O475" s="2" t="s">
        <v>2663</v>
      </c>
      <c r="P475" s="2" t="s">
        <v>2664</v>
      </c>
      <c r="Q475" s="6" t="s">
        <v>97</v>
      </c>
      <c r="R475" s="6" t="s">
        <v>85</v>
      </c>
      <c r="S475" s="9" t="s">
        <v>2665</v>
      </c>
      <c r="T475" s="6"/>
      <c r="U475" s="6"/>
      <c r="V475" s="10"/>
      <c r="W475" s="10" t="s">
        <v>88</v>
      </c>
      <c r="X475" s="10"/>
      <c r="Y475" s="10"/>
    </row>
    <row r="476" customFormat="false" ht="35.05" hidden="false" customHeight="false" outlineLevel="0" collapsed="false">
      <c r="A476" s="6" t="n">
        <v>475</v>
      </c>
      <c r="B476" s="7" t="s">
        <v>2666</v>
      </c>
      <c r="C476" s="6" t="str">
        <f aca="false">IF(U476&lt;&gt;"","Client",IF(D476&gt;=9,"A",IF(D476&gt;=7,"B","C")))</f>
        <v>C</v>
      </c>
      <c r="D476" s="6" t="n">
        <f aca="false">E476+F476+G476</f>
        <v>5</v>
      </c>
      <c r="E476" s="6" t="n">
        <v>2</v>
      </c>
      <c r="F476" s="6" t="n">
        <v>0</v>
      </c>
      <c r="G476" s="8" t="n">
        <v>3</v>
      </c>
      <c r="H476" s="6" t="s">
        <v>507</v>
      </c>
      <c r="I476" s="6" t="s">
        <v>1445</v>
      </c>
      <c r="J476" s="2" t="s">
        <v>2666</v>
      </c>
      <c r="K476" s="2" t="s">
        <v>2667</v>
      </c>
      <c r="L476" s="2" t="s">
        <v>127</v>
      </c>
      <c r="M476" s="2"/>
      <c r="N476" s="2" t="s">
        <v>2668</v>
      </c>
      <c r="O476" s="2" t="s">
        <v>2669</v>
      </c>
      <c r="P476" s="2" t="s">
        <v>2670</v>
      </c>
      <c r="Q476" s="6" t="s">
        <v>517</v>
      </c>
      <c r="R476" s="6" t="s">
        <v>85</v>
      </c>
      <c r="S476" s="9" t="s">
        <v>2671</v>
      </c>
      <c r="T476" s="9" t="s">
        <v>2672</v>
      </c>
      <c r="U476" s="6"/>
      <c r="V476" s="10"/>
      <c r="W476" s="10" t="s">
        <v>88</v>
      </c>
      <c r="X476" s="10"/>
      <c r="Y476" s="10"/>
    </row>
    <row r="477" customFormat="false" ht="23.85" hidden="false" customHeight="false" outlineLevel="0" collapsed="false">
      <c r="A477" s="6" t="n">
        <v>476</v>
      </c>
      <c r="B477" s="7" t="s">
        <v>2673</v>
      </c>
      <c r="C477" s="6" t="str">
        <f aca="false">IF(U477&lt;&gt;"","Client",IF(D477&gt;=9,"A",IF(D477&gt;=7,"B","C")))</f>
        <v>C</v>
      </c>
      <c r="D477" s="6" t="n">
        <f aca="false">E477+F477+G477</f>
        <v>5</v>
      </c>
      <c r="E477" s="6" t="n">
        <v>3</v>
      </c>
      <c r="F477" s="6" t="n">
        <v>0</v>
      </c>
      <c r="G477" s="8" t="n">
        <v>2</v>
      </c>
      <c r="H477" s="6" t="s">
        <v>182</v>
      </c>
      <c r="I477" s="6" t="s">
        <v>1445</v>
      </c>
      <c r="J477" s="2" t="s">
        <v>2674</v>
      </c>
      <c r="K477" s="2" t="s">
        <v>2675</v>
      </c>
      <c r="L477" s="2" t="s">
        <v>102</v>
      </c>
      <c r="M477" s="2" t="s">
        <v>2676</v>
      </c>
      <c r="N477" s="2" t="s">
        <v>802</v>
      </c>
      <c r="O477" s="2" t="s">
        <v>2677</v>
      </c>
      <c r="P477" s="2" t="s">
        <v>2678</v>
      </c>
      <c r="Q477" s="6" t="s">
        <v>324</v>
      </c>
      <c r="R477" s="6" t="s">
        <v>85</v>
      </c>
      <c r="S477" s="9" t="s">
        <v>2679</v>
      </c>
      <c r="T477" s="9" t="s">
        <v>2680</v>
      </c>
      <c r="U477" s="6"/>
      <c r="V477" s="10"/>
      <c r="W477" s="10" t="s">
        <v>88</v>
      </c>
      <c r="X477" s="10"/>
      <c r="Y477" s="10"/>
    </row>
    <row r="478" customFormat="false" ht="23.85" hidden="false" customHeight="false" outlineLevel="0" collapsed="false">
      <c r="A478" s="6" t="n">
        <v>477</v>
      </c>
      <c r="B478" s="7" t="s">
        <v>2681</v>
      </c>
      <c r="C478" s="6" t="str">
        <f aca="false">IF(U478&lt;&gt;"","Client",IF(D478&gt;=9,"A",IF(D478&gt;=7,"B","C")))</f>
        <v>C</v>
      </c>
      <c r="D478" s="6" t="n">
        <f aca="false">E478+F478+G478</f>
        <v>5</v>
      </c>
      <c r="E478" s="6" t="n">
        <v>3</v>
      </c>
      <c r="F478" s="6" t="n">
        <v>0</v>
      </c>
      <c r="G478" s="8" t="n">
        <v>2</v>
      </c>
      <c r="H478" s="6" t="s">
        <v>153</v>
      </c>
      <c r="I478" s="6" t="s">
        <v>1445</v>
      </c>
      <c r="J478" s="2" t="s">
        <v>2682</v>
      </c>
      <c r="K478" s="2" t="s">
        <v>2683</v>
      </c>
      <c r="L478" s="2" t="s">
        <v>1539</v>
      </c>
      <c r="M478" s="2"/>
      <c r="N478" s="2" t="s">
        <v>247</v>
      </c>
      <c r="O478" s="2" t="s">
        <v>2684</v>
      </c>
      <c r="P478" s="2" t="s">
        <v>2685</v>
      </c>
      <c r="Q478" s="6" t="s">
        <v>2686</v>
      </c>
      <c r="R478" s="6" t="s">
        <v>98</v>
      </c>
      <c r="S478" s="9" t="s">
        <v>2687</v>
      </c>
      <c r="T478" s="6"/>
      <c r="U478" s="6"/>
      <c r="V478" s="10"/>
      <c r="W478" s="10" t="s">
        <v>88</v>
      </c>
      <c r="X478" s="10"/>
      <c r="Y478" s="10"/>
    </row>
    <row r="479" customFormat="false" ht="23.85" hidden="false" customHeight="false" outlineLevel="0" collapsed="false">
      <c r="A479" s="6" t="n">
        <v>478</v>
      </c>
      <c r="B479" s="7" t="s">
        <v>2688</v>
      </c>
      <c r="C479" s="6" t="str">
        <f aca="false">IF(U479&lt;&gt;"","Client",IF(D479&gt;=9,"A",IF(D479&gt;=7,"B","C")))</f>
        <v>C</v>
      </c>
      <c r="D479" s="6" t="n">
        <f aca="false">E479+F479+G479</f>
        <v>5</v>
      </c>
      <c r="E479" s="6" t="n">
        <v>3</v>
      </c>
      <c r="F479" s="6" t="n">
        <v>0</v>
      </c>
      <c r="G479" s="8" t="n">
        <v>2</v>
      </c>
      <c r="H479" s="6" t="s">
        <v>626</v>
      </c>
      <c r="I479" s="6" t="s">
        <v>1445</v>
      </c>
      <c r="J479" s="2" t="s">
        <v>2689</v>
      </c>
      <c r="K479" s="2" t="s">
        <v>92</v>
      </c>
      <c r="L479" s="2" t="s">
        <v>93</v>
      </c>
      <c r="M479" s="2"/>
      <c r="N479" s="2" t="s">
        <v>219</v>
      </c>
      <c r="O479" s="2" t="s">
        <v>2690</v>
      </c>
      <c r="P479" s="2" t="s">
        <v>2691</v>
      </c>
      <c r="Q479" s="6" t="s">
        <v>97</v>
      </c>
      <c r="R479" s="6" t="s">
        <v>98</v>
      </c>
      <c r="S479" s="9" t="s">
        <v>2692</v>
      </c>
      <c r="T479" s="6"/>
      <c r="U479" s="6"/>
      <c r="V479" s="10"/>
      <c r="W479" s="10" t="s">
        <v>88</v>
      </c>
      <c r="X479" s="10"/>
      <c r="Y479" s="10"/>
    </row>
    <row r="480" customFormat="false" ht="23.85" hidden="false" customHeight="false" outlineLevel="0" collapsed="false">
      <c r="A480" s="6" t="n">
        <v>479</v>
      </c>
      <c r="B480" s="7" t="s">
        <v>2693</v>
      </c>
      <c r="C480" s="6" t="str">
        <f aca="false">IF(U480&lt;&gt;"","Client",IF(D480&gt;=9,"A",IF(D480&gt;=7,"B","C")))</f>
        <v>C</v>
      </c>
      <c r="D480" s="6" t="n">
        <f aca="false">E480+F480+G480</f>
        <v>5</v>
      </c>
      <c r="E480" s="6" t="n">
        <v>3</v>
      </c>
      <c r="F480" s="6" t="n">
        <v>0</v>
      </c>
      <c r="G480" s="8" t="n">
        <v>2</v>
      </c>
      <c r="H480" s="6" t="s">
        <v>153</v>
      </c>
      <c r="I480" s="6" t="s">
        <v>1445</v>
      </c>
      <c r="J480" s="2" t="s">
        <v>2694</v>
      </c>
      <c r="K480" s="2" t="s">
        <v>2695</v>
      </c>
      <c r="L480" s="2" t="s">
        <v>2696</v>
      </c>
      <c r="M480" s="2"/>
      <c r="N480" s="2" t="s">
        <v>247</v>
      </c>
      <c r="O480" s="2" t="s">
        <v>1749</v>
      </c>
      <c r="P480" s="2" t="s">
        <v>2697</v>
      </c>
      <c r="Q480" s="6" t="s">
        <v>1431</v>
      </c>
      <c r="R480" s="6" t="s">
        <v>85</v>
      </c>
      <c r="S480" s="9" t="s">
        <v>2698</v>
      </c>
      <c r="T480" s="9" t="s">
        <v>2699</v>
      </c>
      <c r="U480" s="6"/>
      <c r="V480" s="10"/>
      <c r="W480" s="10" t="s">
        <v>88</v>
      </c>
      <c r="X480" s="10"/>
      <c r="Y480" s="10"/>
    </row>
    <row r="481" customFormat="false" ht="23.85" hidden="false" customHeight="false" outlineLevel="0" collapsed="false">
      <c r="A481" s="6" t="n">
        <v>480</v>
      </c>
      <c r="B481" s="7" t="s">
        <v>2700</v>
      </c>
      <c r="C481" s="6" t="str">
        <f aca="false">IF(U481&lt;&gt;"","Client",IF(D481&gt;=9,"A",IF(D481&gt;=7,"B","C")))</f>
        <v>C</v>
      </c>
      <c r="D481" s="6" t="n">
        <f aca="false">E481+F481+G481</f>
        <v>5</v>
      </c>
      <c r="E481" s="6" t="n">
        <v>3</v>
      </c>
      <c r="F481" s="6" t="n">
        <v>0</v>
      </c>
      <c r="G481" s="8" t="n">
        <v>2</v>
      </c>
      <c r="H481" s="6" t="s">
        <v>164</v>
      </c>
      <c r="I481" s="6" t="s">
        <v>1445</v>
      </c>
      <c r="J481" s="2" t="s">
        <v>1821</v>
      </c>
      <c r="K481" s="2" t="s">
        <v>2701</v>
      </c>
      <c r="L481" s="2" t="s">
        <v>197</v>
      </c>
      <c r="M481" s="2"/>
      <c r="N481" s="2" t="s">
        <v>802</v>
      </c>
      <c r="O481" s="2" t="s">
        <v>2702</v>
      </c>
      <c r="P481" s="2" t="s">
        <v>2703</v>
      </c>
      <c r="Q481" s="6" t="s">
        <v>97</v>
      </c>
      <c r="R481" s="6" t="s">
        <v>106</v>
      </c>
      <c r="S481" s="9" t="s">
        <v>2704</v>
      </c>
      <c r="T481" s="9" t="s">
        <v>2705</v>
      </c>
      <c r="U481" s="6"/>
      <c r="V481" s="10"/>
      <c r="W481" s="10" t="s">
        <v>88</v>
      </c>
      <c r="X481" s="10"/>
      <c r="Y481" s="10"/>
    </row>
    <row r="482" customFormat="false" ht="23.85" hidden="false" customHeight="false" outlineLevel="0" collapsed="false">
      <c r="A482" s="6" t="n">
        <v>481</v>
      </c>
      <c r="B482" s="7" t="s">
        <v>2706</v>
      </c>
      <c r="C482" s="6" t="str">
        <f aca="false">IF(U482&lt;&gt;"","Client",IF(D482&gt;=9,"A",IF(D482&gt;=7,"B","C")))</f>
        <v>C</v>
      </c>
      <c r="D482" s="6" t="n">
        <f aca="false">E482+F482+G482</f>
        <v>5</v>
      </c>
      <c r="E482" s="6" t="n">
        <v>3</v>
      </c>
      <c r="F482" s="6" t="n">
        <v>0</v>
      </c>
      <c r="G482" s="8" t="n">
        <v>2</v>
      </c>
      <c r="H482" s="6" t="s">
        <v>626</v>
      </c>
      <c r="I482" s="6" t="s">
        <v>1445</v>
      </c>
      <c r="J482" s="2" t="s">
        <v>2706</v>
      </c>
      <c r="K482" s="2" t="s">
        <v>2707</v>
      </c>
      <c r="L482" s="2" t="s">
        <v>102</v>
      </c>
      <c r="M482" s="2"/>
      <c r="N482" s="2" t="s">
        <v>247</v>
      </c>
      <c r="O482" s="2" t="s">
        <v>1222</v>
      </c>
      <c r="P482" s="2" t="s">
        <v>2708</v>
      </c>
      <c r="Q482" s="6" t="s">
        <v>1162</v>
      </c>
      <c r="R482" s="6" t="s">
        <v>85</v>
      </c>
      <c r="S482" s="9" t="s">
        <v>2709</v>
      </c>
      <c r="T482" s="6"/>
      <c r="U482" s="6"/>
      <c r="V482" s="10"/>
      <c r="W482" s="10" t="s">
        <v>88</v>
      </c>
      <c r="X482" s="10"/>
      <c r="Y482" s="10"/>
    </row>
    <row r="483" customFormat="false" ht="23.85" hidden="false" customHeight="false" outlineLevel="0" collapsed="false">
      <c r="A483" s="6" t="n">
        <v>482</v>
      </c>
      <c r="B483" s="7" t="s">
        <v>2710</v>
      </c>
      <c r="C483" s="6" t="str">
        <f aca="false">IF(U483&lt;&gt;"","Client",IF(D483&gt;=9,"A",IF(D483&gt;=7,"B","C")))</f>
        <v>C</v>
      </c>
      <c r="D483" s="6" t="n">
        <f aca="false">E483+F483+G483</f>
        <v>5</v>
      </c>
      <c r="E483" s="6" t="n">
        <v>3</v>
      </c>
      <c r="F483" s="6" t="n">
        <v>0</v>
      </c>
      <c r="G483" s="8" t="n">
        <v>2</v>
      </c>
      <c r="H483" s="6" t="s">
        <v>153</v>
      </c>
      <c r="I483" s="6" t="s">
        <v>1445</v>
      </c>
      <c r="J483" s="2" t="s">
        <v>701</v>
      </c>
      <c r="K483" s="2" t="s">
        <v>1100</v>
      </c>
      <c r="L483" s="2" t="s">
        <v>102</v>
      </c>
      <c r="M483" s="2"/>
      <c r="N483" s="2" t="s">
        <v>247</v>
      </c>
      <c r="O483" s="2" t="s">
        <v>1767</v>
      </c>
      <c r="P483" s="2" t="s">
        <v>2711</v>
      </c>
      <c r="Q483" s="6" t="s">
        <v>1455</v>
      </c>
      <c r="R483" s="6" t="s">
        <v>106</v>
      </c>
      <c r="S483" s="9" t="s">
        <v>2712</v>
      </c>
      <c r="T483" s="6"/>
      <c r="U483" s="6"/>
      <c r="V483" s="10"/>
      <c r="W483" s="10" t="s">
        <v>88</v>
      </c>
      <c r="X483" s="10"/>
      <c r="Y483" s="10"/>
    </row>
    <row r="484" customFormat="false" ht="35.05" hidden="false" customHeight="false" outlineLevel="0" collapsed="false">
      <c r="A484" s="6" t="n">
        <v>483</v>
      </c>
      <c r="B484" s="7" t="s">
        <v>2713</v>
      </c>
      <c r="C484" s="6" t="str">
        <f aca="false">IF(U484&lt;&gt;"","Client",IF(D484&gt;=9,"A",IF(D484&gt;=7,"B","C")))</f>
        <v>C</v>
      </c>
      <c r="D484" s="6" t="n">
        <f aca="false">E484+F484+G484</f>
        <v>5</v>
      </c>
      <c r="E484" s="6" t="n">
        <v>3</v>
      </c>
      <c r="F484" s="6" t="n">
        <v>0</v>
      </c>
      <c r="G484" s="8" t="n">
        <v>2</v>
      </c>
      <c r="H484" s="6" t="s">
        <v>182</v>
      </c>
      <c r="I484" s="6" t="s">
        <v>1445</v>
      </c>
      <c r="J484" s="2" t="s">
        <v>2714</v>
      </c>
      <c r="K484" s="2" t="s">
        <v>1255</v>
      </c>
      <c r="L484" s="2" t="s">
        <v>127</v>
      </c>
      <c r="M484" s="2"/>
      <c r="N484" s="2" t="s">
        <v>802</v>
      </c>
      <c r="O484" s="2" t="s">
        <v>2715</v>
      </c>
      <c r="P484" s="2" t="s">
        <v>2716</v>
      </c>
      <c r="Q484" s="6" t="s">
        <v>97</v>
      </c>
      <c r="R484" s="6" t="s">
        <v>106</v>
      </c>
      <c r="S484" s="9" t="s">
        <v>1258</v>
      </c>
      <c r="T484" s="9" t="s">
        <v>2717</v>
      </c>
      <c r="U484" s="6"/>
      <c r="V484" s="10"/>
      <c r="W484" s="10" t="s">
        <v>88</v>
      </c>
      <c r="X484" s="10"/>
      <c r="Y484" s="10"/>
    </row>
    <row r="485" customFormat="false" ht="23.85" hidden="false" customHeight="false" outlineLevel="0" collapsed="false">
      <c r="A485" s="6" t="n">
        <v>484</v>
      </c>
      <c r="B485" s="7" t="s">
        <v>2718</v>
      </c>
      <c r="C485" s="6" t="str">
        <f aca="false">IF(U485&lt;&gt;"","Client",IF(D485&gt;=9,"A",IF(D485&gt;=7,"B","C")))</f>
        <v>C</v>
      </c>
      <c r="D485" s="6" t="n">
        <f aca="false">E485+F485+G485</f>
        <v>5</v>
      </c>
      <c r="E485" s="6" t="n">
        <v>4</v>
      </c>
      <c r="F485" s="6" t="n">
        <v>0</v>
      </c>
      <c r="G485" s="8" t="n">
        <v>1</v>
      </c>
      <c r="H485" s="6" t="s">
        <v>76</v>
      </c>
      <c r="I485" s="6" t="s">
        <v>1445</v>
      </c>
      <c r="J485" s="2" t="s">
        <v>2718</v>
      </c>
      <c r="K485" s="2" t="s">
        <v>92</v>
      </c>
      <c r="L485" s="2" t="s">
        <v>93</v>
      </c>
      <c r="M485" s="2"/>
      <c r="N485" s="2" t="s">
        <v>521</v>
      </c>
      <c r="O485" s="2" t="s">
        <v>2719</v>
      </c>
      <c r="P485" s="2" t="s">
        <v>2720</v>
      </c>
      <c r="Q485" s="6" t="s">
        <v>281</v>
      </c>
      <c r="R485" s="6" t="s">
        <v>98</v>
      </c>
      <c r="S485" s="9" t="s">
        <v>2721</v>
      </c>
      <c r="T485" s="6"/>
      <c r="U485" s="6"/>
      <c r="V485" s="10"/>
      <c r="W485" s="10" t="s">
        <v>88</v>
      </c>
      <c r="X485" s="10"/>
      <c r="Y485" s="10"/>
    </row>
    <row r="486" customFormat="false" ht="23.85" hidden="false" customHeight="false" outlineLevel="0" collapsed="false">
      <c r="A486" s="6" t="n">
        <v>485</v>
      </c>
      <c r="B486" s="7" t="s">
        <v>2722</v>
      </c>
      <c r="C486" s="6" t="str">
        <f aca="false">IF(U486&lt;&gt;"","Client",IF(D486&gt;=9,"A",IF(D486&gt;=7,"B","C")))</f>
        <v>C</v>
      </c>
      <c r="D486" s="6" t="n">
        <f aca="false">E486+F486+G486</f>
        <v>4</v>
      </c>
      <c r="E486" s="6" t="n">
        <v>1</v>
      </c>
      <c r="F486" s="6" t="n">
        <v>3</v>
      </c>
      <c r="G486" s="8" t="n">
        <v>0</v>
      </c>
      <c r="H486" s="6" t="s">
        <v>1215</v>
      </c>
      <c r="I486" s="6" t="s">
        <v>77</v>
      </c>
      <c r="J486" s="2" t="s">
        <v>2723</v>
      </c>
      <c r="K486" s="2" t="s">
        <v>2724</v>
      </c>
      <c r="L486" s="2" t="s">
        <v>167</v>
      </c>
      <c r="M486" s="2"/>
      <c r="N486" s="2"/>
      <c r="O486" s="2"/>
      <c r="P486" s="2" t="s">
        <v>2725</v>
      </c>
      <c r="Q486" s="6" t="s">
        <v>150</v>
      </c>
      <c r="R486" s="6" t="s">
        <v>85</v>
      </c>
      <c r="S486" s="9" t="s">
        <v>2726</v>
      </c>
      <c r="T486" s="6"/>
      <c r="U486" s="6"/>
      <c r="V486" s="10"/>
      <c r="W486" s="10" t="s">
        <v>88</v>
      </c>
      <c r="X486" s="10"/>
      <c r="Y486" s="10"/>
    </row>
    <row r="487" customFormat="false" ht="23.85" hidden="false" customHeight="false" outlineLevel="0" collapsed="false">
      <c r="A487" s="6" t="n">
        <v>486</v>
      </c>
      <c r="B487" s="7" t="s">
        <v>2727</v>
      </c>
      <c r="C487" s="6" t="str">
        <f aca="false">IF(U487&lt;&gt;"","Client",IF(D487&gt;=9,"A",IF(D487&gt;=7,"B","C")))</f>
        <v>C</v>
      </c>
      <c r="D487" s="6" t="n">
        <f aca="false">E487+F487+G487</f>
        <v>4</v>
      </c>
      <c r="E487" s="6" t="n">
        <v>1</v>
      </c>
      <c r="F487" s="6" t="n">
        <v>3</v>
      </c>
      <c r="G487" s="8" t="n">
        <v>0</v>
      </c>
      <c r="H487" s="6" t="s">
        <v>1215</v>
      </c>
      <c r="I487" s="6" t="s">
        <v>77</v>
      </c>
      <c r="J487" s="2" t="s">
        <v>2294</v>
      </c>
      <c r="K487" s="2" t="s">
        <v>1159</v>
      </c>
      <c r="L487" s="2" t="s">
        <v>167</v>
      </c>
      <c r="M487" s="2"/>
      <c r="N487" s="2"/>
      <c r="O487" s="2" t="s">
        <v>2728</v>
      </c>
      <c r="P487" s="2" t="s">
        <v>2729</v>
      </c>
      <c r="Q487" s="6" t="s">
        <v>324</v>
      </c>
      <c r="R487" s="6" t="s">
        <v>85</v>
      </c>
      <c r="S487" s="9" t="s">
        <v>2730</v>
      </c>
      <c r="T487" s="6"/>
      <c r="U487" s="6"/>
      <c r="V487" s="10"/>
      <c r="W487" s="10" t="s">
        <v>88</v>
      </c>
      <c r="X487" s="10"/>
      <c r="Y487" s="10"/>
    </row>
    <row r="488" customFormat="false" ht="23.85" hidden="false" customHeight="false" outlineLevel="0" collapsed="false">
      <c r="A488" s="6" t="n">
        <v>487</v>
      </c>
      <c r="B488" s="7" t="s">
        <v>2731</v>
      </c>
      <c r="C488" s="6" t="str">
        <f aca="false">IF(U488&lt;&gt;"","Client",IF(D488&gt;=9,"A",IF(D488&gt;=7,"B","C")))</f>
        <v>C</v>
      </c>
      <c r="D488" s="6" t="n">
        <f aca="false">E488+F488+G488</f>
        <v>4</v>
      </c>
      <c r="E488" s="6" t="n">
        <v>1</v>
      </c>
      <c r="F488" s="6" t="n">
        <v>3</v>
      </c>
      <c r="G488" s="8" t="n">
        <v>0</v>
      </c>
      <c r="H488" s="6" t="s">
        <v>1215</v>
      </c>
      <c r="I488" s="6" t="s">
        <v>77</v>
      </c>
      <c r="J488" s="2" t="s">
        <v>2732</v>
      </c>
      <c r="K488" s="2" t="s">
        <v>2733</v>
      </c>
      <c r="L488" s="2" t="s">
        <v>1539</v>
      </c>
      <c r="M488" s="2"/>
      <c r="N488" s="2"/>
      <c r="O488" s="2" t="s">
        <v>2734</v>
      </c>
      <c r="P488" s="2" t="s">
        <v>2735</v>
      </c>
      <c r="Q488" s="6" t="s">
        <v>504</v>
      </c>
      <c r="R488" s="6" t="s">
        <v>85</v>
      </c>
      <c r="S488" s="9" t="s">
        <v>2736</v>
      </c>
      <c r="T488" s="6"/>
      <c r="U488" s="6"/>
      <c r="V488" s="10"/>
      <c r="W488" s="10" t="s">
        <v>88</v>
      </c>
      <c r="X488" s="10"/>
      <c r="Y488" s="10"/>
    </row>
    <row r="489" customFormat="false" ht="23.85" hidden="false" customHeight="false" outlineLevel="0" collapsed="false">
      <c r="A489" s="6" t="n">
        <v>488</v>
      </c>
      <c r="B489" s="7" t="s">
        <v>2737</v>
      </c>
      <c r="C489" s="6" t="str">
        <f aca="false">IF(U489&lt;&gt;"","Client",IF(D489&gt;=9,"A",IF(D489&gt;=7,"B","C")))</f>
        <v>C</v>
      </c>
      <c r="D489" s="6" t="n">
        <f aca="false">E489+F489+G489</f>
        <v>4</v>
      </c>
      <c r="E489" s="6" t="n">
        <v>1</v>
      </c>
      <c r="F489" s="6" t="n">
        <v>3</v>
      </c>
      <c r="G489" s="8" t="n">
        <v>0</v>
      </c>
      <c r="H489" s="6" t="s">
        <v>1215</v>
      </c>
      <c r="I489" s="6" t="s">
        <v>77</v>
      </c>
      <c r="J489" s="2" t="s">
        <v>2737</v>
      </c>
      <c r="K489" s="2" t="s">
        <v>2738</v>
      </c>
      <c r="L489" s="2" t="s">
        <v>127</v>
      </c>
      <c r="M489" s="2"/>
      <c r="N489" s="2" t="s">
        <v>1533</v>
      </c>
      <c r="O489" s="2" t="s">
        <v>2739</v>
      </c>
      <c r="P489" s="2" t="s">
        <v>2740</v>
      </c>
      <c r="Q489" s="6" t="s">
        <v>97</v>
      </c>
      <c r="R489" s="6" t="s">
        <v>85</v>
      </c>
      <c r="S489" s="9" t="s">
        <v>2741</v>
      </c>
      <c r="T489" s="6"/>
      <c r="U489" s="6"/>
      <c r="V489" s="10"/>
      <c r="W489" s="10" t="s">
        <v>88</v>
      </c>
      <c r="X489" s="10"/>
      <c r="Y489" s="10"/>
    </row>
    <row r="490" customFormat="false" ht="23.85" hidden="false" customHeight="false" outlineLevel="0" collapsed="false">
      <c r="A490" s="6" t="n">
        <v>489</v>
      </c>
      <c r="B490" s="7" t="s">
        <v>2742</v>
      </c>
      <c r="C490" s="6" t="str">
        <f aca="false">IF(U490&lt;&gt;"","Client",IF(D490&gt;=9,"A",IF(D490&gt;=7,"B","C")))</f>
        <v>C</v>
      </c>
      <c r="D490" s="6" t="n">
        <f aca="false">E490+F490+G490</f>
        <v>4</v>
      </c>
      <c r="E490" s="6" t="n">
        <v>0</v>
      </c>
      <c r="F490" s="6" t="n">
        <v>2</v>
      </c>
      <c r="G490" s="8" t="n">
        <v>2</v>
      </c>
      <c r="H490" s="6" t="s">
        <v>2284</v>
      </c>
      <c r="I490" s="6" t="s">
        <v>287</v>
      </c>
      <c r="J490" s="2" t="s">
        <v>2742</v>
      </c>
      <c r="K490" s="2" t="s">
        <v>2743</v>
      </c>
      <c r="L490" s="2" t="s">
        <v>600</v>
      </c>
      <c r="M490" s="2" t="s">
        <v>2744</v>
      </c>
      <c r="N490" s="2" t="s">
        <v>802</v>
      </c>
      <c r="O490" s="2" t="s">
        <v>2745</v>
      </c>
      <c r="P490" s="2" t="s">
        <v>2746</v>
      </c>
      <c r="Q490" s="6" t="s">
        <v>97</v>
      </c>
      <c r="R490" s="6" t="s">
        <v>85</v>
      </c>
      <c r="S490" s="9" t="s">
        <v>2747</v>
      </c>
      <c r="T490" s="9" t="s">
        <v>2748</v>
      </c>
      <c r="U490" s="6"/>
      <c r="V490" s="10"/>
      <c r="W490" s="10" t="s">
        <v>88</v>
      </c>
      <c r="X490" s="10"/>
      <c r="Y490" s="10"/>
    </row>
    <row r="491" customFormat="false" ht="15" hidden="false" customHeight="false" outlineLevel="0" collapsed="false">
      <c r="A491" s="6" t="n">
        <v>490</v>
      </c>
      <c r="B491" s="7" t="s">
        <v>2749</v>
      </c>
      <c r="C491" s="6" t="str">
        <f aca="false">IF(U491&lt;&gt;"","Client",IF(D491&gt;=9,"A",IF(D491&gt;=7,"B","C")))</f>
        <v>C</v>
      </c>
      <c r="D491" s="6" t="n">
        <f aca="false">E491+F491+G491</f>
        <v>4</v>
      </c>
      <c r="E491" s="6" t="n">
        <v>1</v>
      </c>
      <c r="F491" s="6" t="n">
        <v>2</v>
      </c>
      <c r="G491" s="8" t="n">
        <v>1</v>
      </c>
      <c r="H491" s="6" t="s">
        <v>1583</v>
      </c>
      <c r="I491" s="6" t="s">
        <v>287</v>
      </c>
      <c r="J491" s="2" t="s">
        <v>2750</v>
      </c>
      <c r="K491" s="2" t="s">
        <v>1100</v>
      </c>
      <c r="L491" s="2" t="s">
        <v>102</v>
      </c>
      <c r="M491" s="2"/>
      <c r="N491" s="2" t="s">
        <v>1275</v>
      </c>
      <c r="O491" s="2" t="s">
        <v>2751</v>
      </c>
      <c r="P491" s="2" t="s">
        <v>2752</v>
      </c>
      <c r="Q491" s="6" t="s">
        <v>1431</v>
      </c>
      <c r="R491" s="6" t="s">
        <v>106</v>
      </c>
      <c r="S491" s="9" t="s">
        <v>2753</v>
      </c>
      <c r="T491" s="6"/>
      <c r="U491" s="6"/>
      <c r="V491" s="10"/>
      <c r="W491" s="10" t="s">
        <v>88</v>
      </c>
      <c r="X491" s="10"/>
      <c r="Y491" s="10"/>
    </row>
    <row r="492" customFormat="false" ht="23.85" hidden="false" customHeight="false" outlineLevel="0" collapsed="false">
      <c r="A492" s="6" t="n">
        <v>491</v>
      </c>
      <c r="B492" s="7" t="s">
        <v>2754</v>
      </c>
      <c r="C492" s="6" t="str">
        <f aca="false">IF(U492&lt;&gt;"","Client",IF(D492&gt;=9,"A",IF(D492&gt;=7,"B","C")))</f>
        <v>C</v>
      </c>
      <c r="D492" s="6" t="n">
        <f aca="false">E492+F492+G492</f>
        <v>4</v>
      </c>
      <c r="E492" s="6" t="n">
        <v>1</v>
      </c>
      <c r="F492" s="6" t="n">
        <v>2</v>
      </c>
      <c r="G492" s="8" t="n">
        <v>1</v>
      </c>
      <c r="H492" s="6" t="s">
        <v>1583</v>
      </c>
      <c r="I492" s="6" t="s">
        <v>287</v>
      </c>
      <c r="J492" s="2" t="s">
        <v>2755</v>
      </c>
      <c r="K492" s="2" t="s">
        <v>2756</v>
      </c>
      <c r="L492" s="2" t="s">
        <v>127</v>
      </c>
      <c r="M492" s="2"/>
      <c r="N492" s="2" t="s">
        <v>1275</v>
      </c>
      <c r="O492" s="2" t="s">
        <v>2757</v>
      </c>
      <c r="P492" s="2" t="s">
        <v>2758</v>
      </c>
      <c r="Q492" s="6" t="s">
        <v>256</v>
      </c>
      <c r="R492" s="6" t="s">
        <v>85</v>
      </c>
      <c r="S492" s="9" t="s">
        <v>2759</v>
      </c>
      <c r="T492" s="9" t="s">
        <v>2760</v>
      </c>
      <c r="U492" s="6"/>
      <c r="V492" s="10"/>
      <c r="W492" s="10" t="s">
        <v>88</v>
      </c>
      <c r="X492" s="10"/>
      <c r="Y492" s="10"/>
    </row>
    <row r="493" customFormat="false" ht="23.85" hidden="false" customHeight="false" outlineLevel="0" collapsed="false">
      <c r="A493" s="6" t="n">
        <v>492</v>
      </c>
      <c r="B493" s="7" t="s">
        <v>2761</v>
      </c>
      <c r="C493" s="6" t="str">
        <f aca="false">IF(U493&lt;&gt;"","Client",IF(D493&gt;=9,"A",IF(D493&gt;=7,"B","C")))</f>
        <v>C</v>
      </c>
      <c r="D493" s="6" t="n">
        <f aca="false">E493+F493+G493</f>
        <v>4</v>
      </c>
      <c r="E493" s="6" t="n">
        <v>1</v>
      </c>
      <c r="F493" s="6" t="n">
        <v>2</v>
      </c>
      <c r="G493" s="8" t="n">
        <v>1</v>
      </c>
      <c r="H493" s="6" t="s">
        <v>1598</v>
      </c>
      <c r="I493" s="6" t="s">
        <v>287</v>
      </c>
      <c r="J493" s="2" t="s">
        <v>2762</v>
      </c>
      <c r="K493" s="2" t="s">
        <v>2763</v>
      </c>
      <c r="L493" s="2" t="s">
        <v>127</v>
      </c>
      <c r="M493" s="2"/>
      <c r="N493" s="2" t="s">
        <v>530</v>
      </c>
      <c r="O493" s="2" t="s">
        <v>2764</v>
      </c>
      <c r="P493" s="2" t="s">
        <v>2765</v>
      </c>
      <c r="Q493" s="6" t="s">
        <v>873</v>
      </c>
      <c r="R493" s="6" t="s">
        <v>106</v>
      </c>
      <c r="S493" s="9" t="s">
        <v>2766</v>
      </c>
      <c r="T493" s="6"/>
      <c r="U493" s="6"/>
      <c r="V493" s="10"/>
      <c r="W493" s="10" t="s">
        <v>88</v>
      </c>
      <c r="X493" s="10"/>
      <c r="Y493" s="10"/>
    </row>
    <row r="494" customFormat="false" ht="23.85" hidden="false" customHeight="false" outlineLevel="0" collapsed="false">
      <c r="A494" s="6" t="n">
        <v>493</v>
      </c>
      <c r="B494" s="7" t="s">
        <v>2767</v>
      </c>
      <c r="C494" s="6" t="str">
        <f aca="false">IF(U494&lt;&gt;"","Client",IF(D494&gt;=9,"A",IF(D494&gt;=7,"B","C")))</f>
        <v>C</v>
      </c>
      <c r="D494" s="6" t="n">
        <f aca="false">E494+F494+G494</f>
        <v>4</v>
      </c>
      <c r="E494" s="6" t="n">
        <v>1</v>
      </c>
      <c r="F494" s="6" t="n">
        <v>2</v>
      </c>
      <c r="G494" s="8" t="n">
        <v>1</v>
      </c>
      <c r="H494" s="6" t="s">
        <v>2312</v>
      </c>
      <c r="I494" s="6" t="s">
        <v>287</v>
      </c>
      <c r="J494" s="2" t="s">
        <v>2768</v>
      </c>
      <c r="K494" s="2" t="s">
        <v>92</v>
      </c>
      <c r="L494" s="2" t="s">
        <v>93</v>
      </c>
      <c r="M494" s="2" t="s">
        <v>2769</v>
      </c>
      <c r="N494" s="2" t="s">
        <v>521</v>
      </c>
      <c r="O494" s="2" t="s">
        <v>2770</v>
      </c>
      <c r="P494" s="2" t="s">
        <v>2771</v>
      </c>
      <c r="Q494" s="6" t="s">
        <v>655</v>
      </c>
      <c r="R494" s="6" t="s">
        <v>85</v>
      </c>
      <c r="S494" s="9" t="s">
        <v>2772</v>
      </c>
      <c r="T494" s="6"/>
      <c r="U494" s="6"/>
      <c r="V494" s="10"/>
      <c r="W494" s="10" t="s">
        <v>88</v>
      </c>
      <c r="X494" s="10"/>
      <c r="Y494" s="10"/>
    </row>
    <row r="495" customFormat="false" ht="15" hidden="false" customHeight="false" outlineLevel="0" collapsed="false">
      <c r="A495" s="6" t="n">
        <v>494</v>
      </c>
      <c r="B495" s="7" t="s">
        <v>2773</v>
      </c>
      <c r="C495" s="6" t="str">
        <f aca="false">IF(U495&lt;&gt;"","Client",IF(D495&gt;=9,"A",IF(D495&gt;=7,"B","C")))</f>
        <v>C</v>
      </c>
      <c r="D495" s="6" t="n">
        <f aca="false">E495+F495+G495</f>
        <v>4</v>
      </c>
      <c r="E495" s="6" t="n">
        <v>1</v>
      </c>
      <c r="F495" s="6" t="n">
        <v>2</v>
      </c>
      <c r="G495" s="8" t="n">
        <v>1</v>
      </c>
      <c r="H495" s="6" t="s">
        <v>1644</v>
      </c>
      <c r="I495" s="6" t="s">
        <v>287</v>
      </c>
      <c r="J495" s="2" t="s">
        <v>2774</v>
      </c>
      <c r="K495" s="2" t="s">
        <v>2775</v>
      </c>
      <c r="L495" s="2" t="s">
        <v>127</v>
      </c>
      <c r="M495" s="2"/>
      <c r="N495" s="2" t="s">
        <v>1275</v>
      </c>
      <c r="O495" s="2" t="s">
        <v>2776</v>
      </c>
      <c r="P495" s="2" t="s">
        <v>2777</v>
      </c>
      <c r="Q495" s="6" t="s">
        <v>504</v>
      </c>
      <c r="R495" s="6" t="s">
        <v>85</v>
      </c>
      <c r="S495" s="9" t="s">
        <v>1650</v>
      </c>
      <c r="T495" s="9" t="s">
        <v>2778</v>
      </c>
      <c r="U495" s="6"/>
      <c r="V495" s="10"/>
      <c r="W495" s="10" t="s">
        <v>88</v>
      </c>
      <c r="X495" s="10"/>
      <c r="Y495" s="10"/>
    </row>
    <row r="496" customFormat="false" ht="23.85" hidden="false" customHeight="false" outlineLevel="0" collapsed="false">
      <c r="A496" s="6" t="n">
        <v>495</v>
      </c>
      <c r="B496" s="7" t="s">
        <v>2779</v>
      </c>
      <c r="C496" s="6" t="str">
        <f aca="false">IF(U496&lt;&gt;"","Client",IF(D496&gt;=9,"A",IF(D496&gt;=7,"B","C")))</f>
        <v>C</v>
      </c>
      <c r="D496" s="6" t="n">
        <f aca="false">E496+F496+G496</f>
        <v>4</v>
      </c>
      <c r="E496" s="6" t="n">
        <v>1</v>
      </c>
      <c r="F496" s="6" t="n">
        <v>2</v>
      </c>
      <c r="G496" s="8" t="n">
        <v>1</v>
      </c>
      <c r="H496" s="6" t="s">
        <v>1598</v>
      </c>
      <c r="I496" s="6" t="s">
        <v>287</v>
      </c>
      <c r="J496" s="2" t="s">
        <v>2780</v>
      </c>
      <c r="K496" s="2" t="s">
        <v>2781</v>
      </c>
      <c r="L496" s="2" t="s">
        <v>102</v>
      </c>
      <c r="M496" s="2"/>
      <c r="N496" s="2" t="s">
        <v>1275</v>
      </c>
      <c r="O496" s="2" t="s">
        <v>2782</v>
      </c>
      <c r="P496" s="2" t="s">
        <v>2783</v>
      </c>
      <c r="Q496" s="6" t="s">
        <v>256</v>
      </c>
      <c r="R496" s="6" t="s">
        <v>85</v>
      </c>
      <c r="S496" s="9" t="s">
        <v>2784</v>
      </c>
      <c r="T496" s="9" t="s">
        <v>2785</v>
      </c>
      <c r="U496" s="6"/>
      <c r="V496" s="10"/>
      <c r="W496" s="10" t="s">
        <v>88</v>
      </c>
      <c r="X496" s="10"/>
      <c r="Y496" s="10"/>
    </row>
    <row r="497" customFormat="false" ht="23.85" hidden="false" customHeight="false" outlineLevel="0" collapsed="false">
      <c r="A497" s="6" t="n">
        <v>496</v>
      </c>
      <c r="B497" s="7" t="s">
        <v>2786</v>
      </c>
      <c r="C497" s="6" t="str">
        <f aca="false">IF(U497&lt;&gt;"","Client",IF(D497&gt;=9,"A",IF(D497&gt;=7,"B","C")))</f>
        <v>C</v>
      </c>
      <c r="D497" s="6" t="n">
        <f aca="false">E497+F497+G497</f>
        <v>4</v>
      </c>
      <c r="E497" s="6" t="n">
        <v>2</v>
      </c>
      <c r="F497" s="6" t="n">
        <v>2</v>
      </c>
      <c r="G497" s="8" t="n">
        <v>0</v>
      </c>
      <c r="H497" s="6" t="s">
        <v>1127</v>
      </c>
      <c r="I497" s="6" t="s">
        <v>287</v>
      </c>
      <c r="J497" s="2" t="s">
        <v>2786</v>
      </c>
      <c r="K497" s="2" t="s">
        <v>2787</v>
      </c>
      <c r="L497" s="2" t="s">
        <v>127</v>
      </c>
      <c r="M497" s="2"/>
      <c r="N497" s="2" t="s">
        <v>1050</v>
      </c>
      <c r="O497" s="2" t="s">
        <v>2788</v>
      </c>
      <c r="P497" s="2" t="s">
        <v>2789</v>
      </c>
      <c r="Q497" s="6" t="s">
        <v>97</v>
      </c>
      <c r="R497" s="6" t="s">
        <v>85</v>
      </c>
      <c r="S497" s="9" t="s">
        <v>2790</v>
      </c>
      <c r="T497" s="6"/>
      <c r="U497" s="6"/>
      <c r="V497" s="10"/>
      <c r="W497" s="10" t="s">
        <v>88</v>
      </c>
      <c r="X497" s="10"/>
      <c r="Y497" s="10"/>
    </row>
    <row r="498" customFormat="false" ht="23.85" hidden="false" customHeight="false" outlineLevel="0" collapsed="false">
      <c r="A498" s="6" t="n">
        <v>497</v>
      </c>
      <c r="B498" s="7" t="s">
        <v>2791</v>
      </c>
      <c r="C498" s="6" t="str">
        <f aca="false">IF(U498&lt;&gt;"","Client",IF(D498&gt;=9,"A",IF(D498&gt;=7,"B","C")))</f>
        <v>C</v>
      </c>
      <c r="D498" s="6" t="n">
        <f aca="false">E498+F498+G498</f>
        <v>4</v>
      </c>
      <c r="E498" s="6" t="n">
        <v>2</v>
      </c>
      <c r="F498" s="6" t="n">
        <v>2</v>
      </c>
      <c r="G498" s="8" t="n">
        <v>0</v>
      </c>
      <c r="H498" s="6" t="s">
        <v>1085</v>
      </c>
      <c r="I498" s="6" t="s">
        <v>287</v>
      </c>
      <c r="J498" s="2" t="s">
        <v>288</v>
      </c>
      <c r="K498" s="2" t="s">
        <v>1159</v>
      </c>
      <c r="L498" s="2" t="s">
        <v>167</v>
      </c>
      <c r="M498" s="2"/>
      <c r="N498" s="2"/>
      <c r="O498" s="2"/>
      <c r="P498" s="2" t="s">
        <v>2792</v>
      </c>
      <c r="Q498" s="6" t="s">
        <v>324</v>
      </c>
      <c r="R498" s="6" t="s">
        <v>85</v>
      </c>
      <c r="S498" s="9" t="s">
        <v>2793</v>
      </c>
      <c r="T498" s="6"/>
      <c r="U498" s="6"/>
      <c r="V498" s="10"/>
      <c r="W498" s="10" t="s">
        <v>88</v>
      </c>
      <c r="X498" s="10"/>
      <c r="Y498" s="10"/>
    </row>
    <row r="499" customFormat="false" ht="15" hidden="false" customHeight="false" outlineLevel="0" collapsed="false">
      <c r="A499" s="6" t="n">
        <v>498</v>
      </c>
      <c r="B499" s="7" t="s">
        <v>2794</v>
      </c>
      <c r="C499" s="6" t="str">
        <f aca="false">IF(U499&lt;&gt;"","Client",IF(D499&gt;=9,"A",IF(D499&gt;=7,"B","C")))</f>
        <v>C</v>
      </c>
      <c r="D499" s="6" t="n">
        <f aca="false">E499+F499+G499</f>
        <v>4</v>
      </c>
      <c r="E499" s="6" t="n">
        <v>2</v>
      </c>
      <c r="F499" s="6" t="n">
        <v>2</v>
      </c>
      <c r="G499" s="8" t="n">
        <v>0</v>
      </c>
      <c r="H499" s="6" t="s">
        <v>1085</v>
      </c>
      <c r="I499" s="6" t="s">
        <v>287</v>
      </c>
      <c r="J499" s="2" t="s">
        <v>2794</v>
      </c>
      <c r="K499" s="2" t="s">
        <v>2795</v>
      </c>
      <c r="L499" s="2" t="s">
        <v>127</v>
      </c>
      <c r="M499" s="2"/>
      <c r="N499" s="2"/>
      <c r="O499" s="2"/>
      <c r="P499" s="2" t="s">
        <v>2796</v>
      </c>
      <c r="Q499" s="6" t="s">
        <v>226</v>
      </c>
      <c r="R499" s="6" t="s">
        <v>85</v>
      </c>
      <c r="S499" s="9" t="s">
        <v>2797</v>
      </c>
      <c r="T499" s="6"/>
      <c r="U499" s="6"/>
      <c r="V499" s="10"/>
      <c r="W499" s="10" t="s">
        <v>88</v>
      </c>
      <c r="X499" s="10"/>
      <c r="Y499" s="10"/>
    </row>
    <row r="500" customFormat="false" ht="23.85" hidden="false" customHeight="false" outlineLevel="0" collapsed="false">
      <c r="A500" s="6" t="n">
        <v>499</v>
      </c>
      <c r="B500" s="7" t="s">
        <v>2798</v>
      </c>
      <c r="C500" s="6" t="str">
        <f aca="false">IF(U500&lt;&gt;"","Client",IF(D500&gt;=9,"A",IF(D500&gt;=7,"B","C")))</f>
        <v>C</v>
      </c>
      <c r="D500" s="6" t="n">
        <f aca="false">E500+F500+G500</f>
        <v>4</v>
      </c>
      <c r="E500" s="6" t="n">
        <v>2</v>
      </c>
      <c r="F500" s="6" t="n">
        <v>2</v>
      </c>
      <c r="G500" s="8" t="n">
        <v>0</v>
      </c>
      <c r="H500" s="6" t="s">
        <v>507</v>
      </c>
      <c r="I500" s="6" t="s">
        <v>287</v>
      </c>
      <c r="J500" s="2" t="s">
        <v>2799</v>
      </c>
      <c r="K500" s="2" t="s">
        <v>2800</v>
      </c>
      <c r="L500" s="2" t="s">
        <v>127</v>
      </c>
      <c r="M500" s="2"/>
      <c r="N500" s="2" t="s">
        <v>1533</v>
      </c>
      <c r="O500" s="2" t="s">
        <v>2801</v>
      </c>
      <c r="P500" s="2" t="s">
        <v>2802</v>
      </c>
      <c r="Q500" s="6" t="s">
        <v>256</v>
      </c>
      <c r="R500" s="6" t="s">
        <v>85</v>
      </c>
      <c r="S500" s="9" t="s">
        <v>2803</v>
      </c>
      <c r="T500" s="6"/>
      <c r="U500" s="6"/>
      <c r="V500" s="10"/>
      <c r="W500" s="10" t="s">
        <v>88</v>
      </c>
      <c r="X500" s="10"/>
      <c r="Y500" s="10"/>
    </row>
    <row r="501" customFormat="false" ht="23.85" hidden="false" customHeight="false" outlineLevel="0" collapsed="false">
      <c r="A501" s="6" t="n">
        <v>500</v>
      </c>
      <c r="B501" s="7" t="s">
        <v>2804</v>
      </c>
      <c r="C501" s="6" t="str">
        <f aca="false">IF(U501&lt;&gt;"","Client",IF(D501&gt;=9,"A",IF(D501&gt;=7,"B","C")))</f>
        <v>C</v>
      </c>
      <c r="D501" s="6" t="n">
        <f aca="false">E501+F501+G501</f>
        <v>4</v>
      </c>
      <c r="E501" s="6" t="n">
        <v>2</v>
      </c>
      <c r="F501" s="6" t="n">
        <v>2</v>
      </c>
      <c r="G501" s="8" t="n">
        <v>0</v>
      </c>
      <c r="H501" s="6" t="s">
        <v>507</v>
      </c>
      <c r="I501" s="6" t="s">
        <v>287</v>
      </c>
      <c r="J501" s="2" t="s">
        <v>2805</v>
      </c>
      <c r="K501" s="2" t="s">
        <v>2806</v>
      </c>
      <c r="L501" s="2" t="s">
        <v>1539</v>
      </c>
      <c r="M501" s="2"/>
      <c r="N501" s="2"/>
      <c r="O501" s="2" t="s">
        <v>2807</v>
      </c>
      <c r="P501" s="2" t="s">
        <v>2808</v>
      </c>
      <c r="Q501" s="6" t="s">
        <v>143</v>
      </c>
      <c r="R501" s="6" t="s">
        <v>106</v>
      </c>
      <c r="S501" s="9" t="s">
        <v>2809</v>
      </c>
      <c r="T501" s="9" t="s">
        <v>2810</v>
      </c>
      <c r="U501" s="6"/>
      <c r="V501" s="10"/>
      <c r="W501" s="10" t="s">
        <v>88</v>
      </c>
      <c r="X501" s="10"/>
      <c r="Y501" s="10"/>
    </row>
    <row r="502" customFormat="false" ht="23.85" hidden="false" customHeight="false" outlineLevel="0" collapsed="false">
      <c r="A502" s="6" t="n">
        <v>501</v>
      </c>
      <c r="B502" s="7" t="s">
        <v>2811</v>
      </c>
      <c r="C502" s="6" t="str">
        <f aca="false">IF(U502&lt;&gt;"","Client",IF(D502&gt;=9,"A",IF(D502&gt;=7,"B","C")))</f>
        <v>C</v>
      </c>
      <c r="D502" s="6" t="n">
        <f aca="false">E502+F502+G502</f>
        <v>4</v>
      </c>
      <c r="E502" s="6" t="n">
        <v>2</v>
      </c>
      <c r="F502" s="6" t="n">
        <v>2</v>
      </c>
      <c r="G502" s="8" t="n">
        <v>0</v>
      </c>
      <c r="H502" s="6" t="s">
        <v>1127</v>
      </c>
      <c r="I502" s="6" t="s">
        <v>287</v>
      </c>
      <c r="J502" s="2" t="s">
        <v>2812</v>
      </c>
      <c r="K502" s="2" t="s">
        <v>2813</v>
      </c>
      <c r="L502" s="2" t="s">
        <v>127</v>
      </c>
      <c r="M502" s="2"/>
      <c r="N502" s="2"/>
      <c r="O502" s="2"/>
      <c r="P502" s="2" t="s">
        <v>2814</v>
      </c>
      <c r="Q502" s="6" t="s">
        <v>517</v>
      </c>
      <c r="R502" s="6" t="s">
        <v>85</v>
      </c>
      <c r="S502" s="9" t="s">
        <v>2815</v>
      </c>
      <c r="T502" s="6"/>
      <c r="U502" s="6"/>
      <c r="V502" s="10"/>
      <c r="W502" s="10" t="s">
        <v>88</v>
      </c>
      <c r="X502" s="10"/>
      <c r="Y502" s="10"/>
    </row>
    <row r="503" customFormat="false" ht="23.85" hidden="false" customHeight="false" outlineLevel="0" collapsed="false">
      <c r="A503" s="6" t="n">
        <v>502</v>
      </c>
      <c r="B503" s="7" t="s">
        <v>2816</v>
      </c>
      <c r="C503" s="6" t="str">
        <f aca="false">IF(U503&lt;&gt;"","Client",IF(D503&gt;=9,"A",IF(D503&gt;=7,"B","C")))</f>
        <v>C</v>
      </c>
      <c r="D503" s="6" t="n">
        <f aca="false">E503+F503+G503</f>
        <v>4</v>
      </c>
      <c r="E503" s="6" t="n">
        <v>2</v>
      </c>
      <c r="F503" s="6" t="n">
        <v>2</v>
      </c>
      <c r="G503" s="8" t="n">
        <v>0</v>
      </c>
      <c r="H503" s="6" t="s">
        <v>1127</v>
      </c>
      <c r="I503" s="6" t="s">
        <v>287</v>
      </c>
      <c r="J503" s="2" t="s">
        <v>2817</v>
      </c>
      <c r="K503" s="2" t="s">
        <v>2818</v>
      </c>
      <c r="L503" s="2" t="s">
        <v>652</v>
      </c>
      <c r="M503" s="2"/>
      <c r="N503" s="2"/>
      <c r="O503" s="2" t="s">
        <v>2819</v>
      </c>
      <c r="P503" s="2" t="s">
        <v>2820</v>
      </c>
      <c r="Q503" s="6" t="s">
        <v>256</v>
      </c>
      <c r="R503" s="6" t="s">
        <v>85</v>
      </c>
      <c r="S503" s="9" t="s">
        <v>2821</v>
      </c>
      <c r="T503" s="6"/>
      <c r="U503" s="6"/>
      <c r="V503" s="10"/>
      <c r="W503" s="10" t="s">
        <v>88</v>
      </c>
      <c r="X503" s="10"/>
      <c r="Y503" s="10"/>
    </row>
    <row r="504" customFormat="false" ht="15" hidden="false" customHeight="false" outlineLevel="0" collapsed="false">
      <c r="A504" s="6" t="n">
        <v>503</v>
      </c>
      <c r="B504" s="7" t="s">
        <v>2822</v>
      </c>
      <c r="C504" s="6" t="str">
        <f aca="false">IF(U504&lt;&gt;"","Client",IF(D504&gt;=9,"A",IF(D504&gt;=7,"B","C")))</f>
        <v>C</v>
      </c>
      <c r="D504" s="6" t="n">
        <f aca="false">E504+F504+G504</f>
        <v>4</v>
      </c>
      <c r="E504" s="6" t="n">
        <v>2</v>
      </c>
      <c r="F504" s="6" t="n">
        <v>2</v>
      </c>
      <c r="G504" s="8" t="n">
        <v>0</v>
      </c>
      <c r="H504" s="6" t="s">
        <v>1127</v>
      </c>
      <c r="I504" s="6" t="s">
        <v>287</v>
      </c>
      <c r="J504" s="2" t="s">
        <v>2822</v>
      </c>
      <c r="K504" s="2" t="s">
        <v>2823</v>
      </c>
      <c r="L504" s="2" t="s">
        <v>127</v>
      </c>
      <c r="M504" s="2"/>
      <c r="N504" s="2"/>
      <c r="O504" s="2"/>
      <c r="P504" s="2" t="s">
        <v>2824</v>
      </c>
      <c r="Q504" s="6" t="s">
        <v>389</v>
      </c>
      <c r="R504" s="6" t="s">
        <v>85</v>
      </c>
      <c r="S504" s="9" t="s">
        <v>2825</v>
      </c>
      <c r="T504" s="6"/>
      <c r="U504" s="6"/>
      <c r="V504" s="10"/>
      <c r="W504" s="10" t="s">
        <v>88</v>
      </c>
      <c r="X504" s="10"/>
      <c r="Y504" s="10"/>
    </row>
    <row r="505" customFormat="false" ht="23.85" hidden="false" customHeight="false" outlineLevel="0" collapsed="false">
      <c r="A505" s="6" t="n">
        <v>504</v>
      </c>
      <c r="B505" s="7" t="s">
        <v>2826</v>
      </c>
      <c r="C505" s="6" t="str">
        <f aca="false">IF(U505&lt;&gt;"","Client",IF(D505&gt;=9,"A",IF(D505&gt;=7,"B","C")))</f>
        <v>C</v>
      </c>
      <c r="D505" s="6" t="n">
        <f aca="false">E505+F505+G505</f>
        <v>4</v>
      </c>
      <c r="E505" s="6" t="n">
        <v>2</v>
      </c>
      <c r="F505" s="6" t="n">
        <v>2</v>
      </c>
      <c r="G505" s="8" t="n">
        <v>0</v>
      </c>
      <c r="H505" s="6" t="s">
        <v>507</v>
      </c>
      <c r="I505" s="6" t="s">
        <v>287</v>
      </c>
      <c r="J505" s="2" t="s">
        <v>2827</v>
      </c>
      <c r="K505" s="2" t="s">
        <v>2828</v>
      </c>
      <c r="L505" s="2" t="s">
        <v>1539</v>
      </c>
      <c r="M505" s="2"/>
      <c r="N505" s="2"/>
      <c r="O505" s="2" t="s">
        <v>2829</v>
      </c>
      <c r="P505" s="2" t="s">
        <v>2830</v>
      </c>
      <c r="Q505" s="6" t="s">
        <v>236</v>
      </c>
      <c r="R505" s="6" t="s">
        <v>106</v>
      </c>
      <c r="S505" s="9" t="s">
        <v>2831</v>
      </c>
      <c r="T505" s="6"/>
      <c r="U505" s="6"/>
      <c r="V505" s="10"/>
      <c r="W505" s="10" t="s">
        <v>88</v>
      </c>
      <c r="X505" s="10"/>
      <c r="Y505" s="10"/>
    </row>
    <row r="506" customFormat="false" ht="23.85" hidden="false" customHeight="false" outlineLevel="0" collapsed="false">
      <c r="A506" s="6" t="n">
        <v>505</v>
      </c>
      <c r="B506" s="7" t="s">
        <v>2832</v>
      </c>
      <c r="C506" s="6" t="str">
        <f aca="false">IF(U506&lt;&gt;"","Client",IF(D506&gt;=9,"A",IF(D506&gt;=7,"B","C")))</f>
        <v>C</v>
      </c>
      <c r="D506" s="6" t="n">
        <f aca="false">E506+F506+G506</f>
        <v>4</v>
      </c>
      <c r="E506" s="6" t="n">
        <v>2</v>
      </c>
      <c r="F506" s="6" t="n">
        <v>2</v>
      </c>
      <c r="G506" s="8" t="n">
        <v>0</v>
      </c>
      <c r="H506" s="6" t="s">
        <v>1127</v>
      </c>
      <c r="I506" s="6" t="s">
        <v>287</v>
      </c>
      <c r="J506" s="2" t="s">
        <v>2833</v>
      </c>
      <c r="K506" s="2" t="s">
        <v>2834</v>
      </c>
      <c r="L506" s="2" t="s">
        <v>652</v>
      </c>
      <c r="M506" s="2"/>
      <c r="N506" s="2"/>
      <c r="O506" s="2" t="s">
        <v>2835</v>
      </c>
      <c r="P506" s="2" t="s">
        <v>2836</v>
      </c>
      <c r="Q506" s="6" t="s">
        <v>2022</v>
      </c>
      <c r="R506" s="6" t="s">
        <v>106</v>
      </c>
      <c r="S506" s="9" t="s">
        <v>2837</v>
      </c>
      <c r="T506" s="6"/>
      <c r="U506" s="6"/>
      <c r="V506" s="10"/>
      <c r="W506" s="10" t="s">
        <v>88</v>
      </c>
      <c r="X506" s="10"/>
      <c r="Y506" s="10"/>
    </row>
    <row r="507" customFormat="false" ht="23.85" hidden="false" customHeight="false" outlineLevel="0" collapsed="false">
      <c r="A507" s="6" t="n">
        <v>506</v>
      </c>
      <c r="B507" s="7" t="s">
        <v>2838</v>
      </c>
      <c r="C507" s="6" t="str">
        <f aca="false">IF(U507&lt;&gt;"","Client",IF(D507&gt;=9,"A",IF(D507&gt;=7,"B","C")))</f>
        <v>C</v>
      </c>
      <c r="D507" s="6" t="n">
        <f aca="false">E507+F507+G507</f>
        <v>4</v>
      </c>
      <c r="E507" s="6" t="n">
        <v>2</v>
      </c>
      <c r="F507" s="6" t="n">
        <v>2</v>
      </c>
      <c r="G507" s="8" t="n">
        <v>0</v>
      </c>
      <c r="H507" s="6" t="s">
        <v>507</v>
      </c>
      <c r="I507" s="6" t="s">
        <v>287</v>
      </c>
      <c r="J507" s="2" t="s">
        <v>2838</v>
      </c>
      <c r="K507" s="2" t="s">
        <v>2839</v>
      </c>
      <c r="L507" s="2" t="s">
        <v>652</v>
      </c>
      <c r="M507" s="2"/>
      <c r="N507" s="2"/>
      <c r="O507" s="2"/>
      <c r="P507" s="2" t="s">
        <v>2840</v>
      </c>
      <c r="Q507" s="6" t="s">
        <v>2841</v>
      </c>
      <c r="R507" s="6" t="s">
        <v>106</v>
      </c>
      <c r="S507" s="9" t="s">
        <v>2842</v>
      </c>
      <c r="T507" s="6"/>
      <c r="U507" s="6"/>
      <c r="V507" s="10"/>
      <c r="W507" s="10" t="s">
        <v>88</v>
      </c>
      <c r="X507" s="10"/>
      <c r="Y507" s="10"/>
    </row>
    <row r="508" customFormat="false" ht="35.05" hidden="false" customHeight="false" outlineLevel="0" collapsed="false">
      <c r="A508" s="6" t="n">
        <v>507</v>
      </c>
      <c r="B508" s="7" t="s">
        <v>2843</v>
      </c>
      <c r="C508" s="6" t="str">
        <f aca="false">IF(U508&lt;&gt;"","Client",IF(D508&gt;=9,"A",IF(D508&gt;=7,"B","C")))</f>
        <v>C</v>
      </c>
      <c r="D508" s="6" t="n">
        <f aca="false">E508+F508+G508</f>
        <v>4</v>
      </c>
      <c r="E508" s="6" t="n">
        <v>2</v>
      </c>
      <c r="F508" s="6" t="n">
        <v>2</v>
      </c>
      <c r="G508" s="8" t="n">
        <v>0</v>
      </c>
      <c r="H508" s="6" t="s">
        <v>507</v>
      </c>
      <c r="I508" s="6" t="s">
        <v>287</v>
      </c>
      <c r="J508" s="2" t="s">
        <v>2844</v>
      </c>
      <c r="K508" s="2" t="s">
        <v>2845</v>
      </c>
      <c r="L508" s="2" t="s">
        <v>102</v>
      </c>
      <c r="M508" s="2"/>
      <c r="N508" s="2"/>
      <c r="O508" s="2" t="s">
        <v>2846</v>
      </c>
      <c r="P508" s="2" t="s">
        <v>2847</v>
      </c>
      <c r="Q508" s="6" t="s">
        <v>97</v>
      </c>
      <c r="R508" s="6" t="s">
        <v>106</v>
      </c>
      <c r="S508" s="9" t="s">
        <v>2848</v>
      </c>
      <c r="T508" s="6"/>
      <c r="U508" s="6"/>
      <c r="V508" s="10"/>
      <c r="W508" s="10" t="s">
        <v>88</v>
      </c>
      <c r="X508" s="10"/>
      <c r="Y508" s="10"/>
    </row>
    <row r="509" customFormat="false" ht="15" hidden="false" customHeight="false" outlineLevel="0" collapsed="false">
      <c r="A509" s="6" t="n">
        <v>508</v>
      </c>
      <c r="B509" s="7" t="s">
        <v>2849</v>
      </c>
      <c r="C509" s="6" t="str">
        <f aca="false">IF(U509&lt;&gt;"","Client",IF(D509&gt;=9,"A",IF(D509&gt;=7,"B","C")))</f>
        <v>C</v>
      </c>
      <c r="D509" s="6" t="n">
        <f aca="false">E509+F509+G509</f>
        <v>4</v>
      </c>
      <c r="E509" s="6" t="n">
        <v>2</v>
      </c>
      <c r="F509" s="6" t="n">
        <v>2</v>
      </c>
      <c r="G509" s="8" t="n">
        <v>0</v>
      </c>
      <c r="H509" s="6" t="s">
        <v>1127</v>
      </c>
      <c r="I509" s="6" t="s">
        <v>287</v>
      </c>
      <c r="J509" s="2" t="s">
        <v>2850</v>
      </c>
      <c r="K509" s="2" t="s">
        <v>724</v>
      </c>
      <c r="L509" s="2" t="s">
        <v>102</v>
      </c>
      <c r="M509" s="2"/>
      <c r="N509" s="2"/>
      <c r="O509" s="2"/>
      <c r="P509" s="2" t="s">
        <v>2851</v>
      </c>
      <c r="Q509" s="6" t="s">
        <v>97</v>
      </c>
      <c r="R509" s="6" t="s">
        <v>106</v>
      </c>
      <c r="S509" s="9" t="s">
        <v>2852</v>
      </c>
      <c r="T509" s="6"/>
      <c r="U509" s="6"/>
      <c r="V509" s="10"/>
      <c r="W509" s="10" t="s">
        <v>88</v>
      </c>
      <c r="X509" s="10"/>
      <c r="Y509" s="10"/>
    </row>
    <row r="510" customFormat="false" ht="23.85" hidden="false" customHeight="false" outlineLevel="0" collapsed="false">
      <c r="A510" s="6" t="n">
        <v>509</v>
      </c>
      <c r="B510" s="7" t="s">
        <v>2853</v>
      </c>
      <c r="C510" s="6" t="str">
        <f aca="false">IF(U510&lt;&gt;"","Client",IF(D510&gt;=9,"A",IF(D510&gt;=7,"B","C")))</f>
        <v>C</v>
      </c>
      <c r="D510" s="6" t="n">
        <f aca="false">E510+F510+G510</f>
        <v>4</v>
      </c>
      <c r="E510" s="6" t="n">
        <v>2</v>
      </c>
      <c r="F510" s="6" t="n">
        <v>2</v>
      </c>
      <c r="G510" s="8" t="n">
        <v>0</v>
      </c>
      <c r="H510" s="6" t="s">
        <v>507</v>
      </c>
      <c r="I510" s="6" t="s">
        <v>287</v>
      </c>
      <c r="J510" s="2" t="s">
        <v>2854</v>
      </c>
      <c r="K510" s="2" t="s">
        <v>2065</v>
      </c>
      <c r="L510" s="2" t="s">
        <v>167</v>
      </c>
      <c r="M510" s="2"/>
      <c r="N510" s="2"/>
      <c r="O510" s="2" t="s">
        <v>2066</v>
      </c>
      <c r="P510" s="2" t="s">
        <v>2855</v>
      </c>
      <c r="Q510" s="6" t="s">
        <v>2856</v>
      </c>
      <c r="R510" s="6" t="s">
        <v>106</v>
      </c>
      <c r="S510" s="9" t="s">
        <v>2857</v>
      </c>
      <c r="T510" s="6"/>
      <c r="U510" s="6"/>
      <c r="V510" s="10"/>
      <c r="W510" s="10" t="s">
        <v>88</v>
      </c>
      <c r="X510" s="10"/>
      <c r="Y510" s="10"/>
    </row>
    <row r="511" customFormat="false" ht="23.85" hidden="false" customHeight="false" outlineLevel="0" collapsed="false">
      <c r="A511" s="6" t="n">
        <v>510</v>
      </c>
      <c r="B511" s="7" t="s">
        <v>2858</v>
      </c>
      <c r="C511" s="6" t="str">
        <f aca="false">IF(U511&lt;&gt;"","Client",IF(D511&gt;=9,"A",IF(D511&gt;=7,"B","C")))</f>
        <v>C</v>
      </c>
      <c r="D511" s="6" t="n">
        <f aca="false">E511+F511+G511</f>
        <v>4</v>
      </c>
      <c r="E511" s="6" t="n">
        <v>2</v>
      </c>
      <c r="F511" s="6" t="n">
        <v>2</v>
      </c>
      <c r="G511" s="8" t="n">
        <v>0</v>
      </c>
      <c r="H511" s="6" t="s">
        <v>507</v>
      </c>
      <c r="I511" s="6" t="s">
        <v>287</v>
      </c>
      <c r="J511" s="2" t="s">
        <v>2859</v>
      </c>
      <c r="K511" s="2" t="s">
        <v>2860</v>
      </c>
      <c r="L511" s="2" t="s">
        <v>127</v>
      </c>
      <c r="M511" s="2"/>
      <c r="N511" s="2"/>
      <c r="O511" s="2" t="s">
        <v>2861</v>
      </c>
      <c r="P511" s="2" t="s">
        <v>2862</v>
      </c>
      <c r="Q511" s="6" t="s">
        <v>281</v>
      </c>
      <c r="R511" s="6" t="s">
        <v>106</v>
      </c>
      <c r="S511" s="9" t="s">
        <v>2863</v>
      </c>
      <c r="T511" s="6"/>
      <c r="U511" s="6"/>
      <c r="V511" s="10"/>
      <c r="W511" s="10" t="s">
        <v>88</v>
      </c>
      <c r="X511" s="10"/>
      <c r="Y511" s="10"/>
    </row>
    <row r="512" customFormat="false" ht="15" hidden="false" customHeight="false" outlineLevel="0" collapsed="false">
      <c r="A512" s="6" t="n">
        <v>511</v>
      </c>
      <c r="B512" s="7" t="s">
        <v>2864</v>
      </c>
      <c r="C512" s="6" t="str">
        <f aca="false">IF(U512&lt;&gt;"","Client",IF(D512&gt;=9,"A",IF(D512&gt;=7,"B","C")))</f>
        <v>C</v>
      </c>
      <c r="D512" s="6" t="n">
        <f aca="false">E512+F512+G512</f>
        <v>4</v>
      </c>
      <c r="E512" s="6" t="n">
        <v>2</v>
      </c>
      <c r="F512" s="6" t="n">
        <v>2</v>
      </c>
      <c r="G512" s="8" t="n">
        <v>0</v>
      </c>
      <c r="H512" s="6" t="s">
        <v>507</v>
      </c>
      <c r="I512" s="6" t="s">
        <v>287</v>
      </c>
      <c r="J512" s="2" t="s">
        <v>2865</v>
      </c>
      <c r="K512" s="2" t="s">
        <v>1494</v>
      </c>
      <c r="L512" s="2" t="s">
        <v>127</v>
      </c>
      <c r="M512" s="2"/>
      <c r="N512" s="2"/>
      <c r="O512" s="2"/>
      <c r="P512" s="2" t="s">
        <v>2866</v>
      </c>
      <c r="Q512" s="6" t="s">
        <v>97</v>
      </c>
      <c r="R512" s="6" t="s">
        <v>106</v>
      </c>
      <c r="S512" s="9" t="s">
        <v>1989</v>
      </c>
      <c r="T512" s="6"/>
      <c r="U512" s="6"/>
      <c r="V512" s="10"/>
      <c r="W512" s="10" t="s">
        <v>88</v>
      </c>
      <c r="X512" s="10"/>
      <c r="Y512" s="10"/>
    </row>
    <row r="513" customFormat="false" ht="23.85" hidden="false" customHeight="false" outlineLevel="0" collapsed="false">
      <c r="A513" s="6" t="n">
        <v>512</v>
      </c>
      <c r="B513" s="7" t="s">
        <v>2867</v>
      </c>
      <c r="C513" s="6" t="str">
        <f aca="false">IF(U513&lt;&gt;"","Client",IF(D513&gt;=9,"A",IF(D513&gt;=7,"B","C")))</f>
        <v>C</v>
      </c>
      <c r="D513" s="6" t="n">
        <f aca="false">E513+F513+G513</f>
        <v>4</v>
      </c>
      <c r="E513" s="6" t="n">
        <v>2</v>
      </c>
      <c r="F513" s="6" t="n">
        <v>2</v>
      </c>
      <c r="G513" s="8" t="n">
        <v>0</v>
      </c>
      <c r="H513" s="6" t="s">
        <v>507</v>
      </c>
      <c r="I513" s="6" t="s">
        <v>287</v>
      </c>
      <c r="J513" s="2" t="s">
        <v>1120</v>
      </c>
      <c r="K513" s="2" t="s">
        <v>2868</v>
      </c>
      <c r="L513" s="2" t="s">
        <v>127</v>
      </c>
      <c r="M513" s="2"/>
      <c r="N513" s="2"/>
      <c r="O513" s="2" t="s">
        <v>2869</v>
      </c>
      <c r="P513" s="2" t="s">
        <v>2870</v>
      </c>
      <c r="Q513" s="6" t="s">
        <v>440</v>
      </c>
      <c r="R513" s="6" t="s">
        <v>85</v>
      </c>
      <c r="S513" s="9" t="s">
        <v>2871</v>
      </c>
      <c r="T513" s="6"/>
      <c r="U513" s="6"/>
      <c r="V513" s="10"/>
      <c r="W513" s="10" t="s">
        <v>88</v>
      </c>
      <c r="X513" s="10"/>
      <c r="Y513" s="10"/>
    </row>
    <row r="514" customFormat="false" ht="15" hidden="false" customHeight="false" outlineLevel="0" collapsed="false">
      <c r="A514" s="6" t="n">
        <v>513</v>
      </c>
      <c r="B514" s="7" t="s">
        <v>2872</v>
      </c>
      <c r="C514" s="6" t="str">
        <f aca="false">IF(U514&lt;&gt;"","Client",IF(D514&gt;=9,"A",IF(D514&gt;=7,"B","C")))</f>
        <v>C</v>
      </c>
      <c r="D514" s="6" t="n">
        <f aca="false">E514+F514+G514</f>
        <v>4</v>
      </c>
      <c r="E514" s="6" t="n">
        <v>2</v>
      </c>
      <c r="F514" s="6" t="n">
        <v>2</v>
      </c>
      <c r="G514" s="8" t="n">
        <v>0</v>
      </c>
      <c r="H514" s="6" t="s">
        <v>507</v>
      </c>
      <c r="I514" s="6" t="s">
        <v>287</v>
      </c>
      <c r="J514" s="2" t="s">
        <v>1120</v>
      </c>
      <c r="K514" s="2" t="s">
        <v>2399</v>
      </c>
      <c r="L514" s="2" t="s">
        <v>127</v>
      </c>
      <c r="M514" s="2"/>
      <c r="N514" s="2"/>
      <c r="O514" s="2"/>
      <c r="P514" s="2" t="s">
        <v>2873</v>
      </c>
      <c r="Q514" s="6" t="s">
        <v>97</v>
      </c>
      <c r="R514" s="6" t="s">
        <v>106</v>
      </c>
      <c r="S514" s="9" t="s">
        <v>2402</v>
      </c>
      <c r="T514" s="6"/>
      <c r="U514" s="6"/>
      <c r="V514" s="10"/>
      <c r="W514" s="10" t="s">
        <v>88</v>
      </c>
      <c r="X514" s="10"/>
      <c r="Y514" s="10"/>
    </row>
    <row r="515" customFormat="false" ht="15" hidden="false" customHeight="false" outlineLevel="0" collapsed="false">
      <c r="A515" s="6" t="n">
        <v>514</v>
      </c>
      <c r="B515" s="7" t="s">
        <v>2874</v>
      </c>
      <c r="C515" s="6" t="str">
        <f aca="false">IF(U515&lt;&gt;"","Client",IF(D515&gt;=9,"A",IF(D515&gt;=7,"B","C")))</f>
        <v>C</v>
      </c>
      <c r="D515" s="6" t="n">
        <f aca="false">E515+F515+G515</f>
        <v>4</v>
      </c>
      <c r="E515" s="6" t="n">
        <v>2</v>
      </c>
      <c r="F515" s="6" t="n">
        <v>2</v>
      </c>
      <c r="G515" s="8" t="n">
        <v>0</v>
      </c>
      <c r="H515" s="6" t="s">
        <v>1127</v>
      </c>
      <c r="I515" s="6" t="s">
        <v>287</v>
      </c>
      <c r="J515" s="2" t="s">
        <v>2875</v>
      </c>
      <c r="K515" s="2" t="s">
        <v>2179</v>
      </c>
      <c r="L515" s="2" t="s">
        <v>127</v>
      </c>
      <c r="M515" s="2"/>
      <c r="N515" s="2" t="s">
        <v>1533</v>
      </c>
      <c r="O515" s="2"/>
      <c r="P515" s="2" t="s">
        <v>2876</v>
      </c>
      <c r="Q515" s="6" t="s">
        <v>308</v>
      </c>
      <c r="R515" s="6" t="s">
        <v>85</v>
      </c>
      <c r="S515" s="9" t="s">
        <v>2877</v>
      </c>
      <c r="T515" s="6"/>
      <c r="U515" s="6"/>
      <c r="V515" s="10"/>
      <c r="W515" s="10" t="s">
        <v>88</v>
      </c>
      <c r="X515" s="10"/>
      <c r="Y515" s="10"/>
    </row>
    <row r="516" customFormat="false" ht="23.85" hidden="false" customHeight="false" outlineLevel="0" collapsed="false">
      <c r="A516" s="6" t="n">
        <v>515</v>
      </c>
      <c r="B516" s="7" t="s">
        <v>2878</v>
      </c>
      <c r="C516" s="6" t="str">
        <f aca="false">IF(U516&lt;&gt;"","Client",IF(D516&gt;=9,"A",IF(D516&gt;=7,"B","C")))</f>
        <v>C</v>
      </c>
      <c r="D516" s="6" t="n">
        <f aca="false">E516+F516+G516</f>
        <v>4</v>
      </c>
      <c r="E516" s="6" t="n">
        <v>2</v>
      </c>
      <c r="F516" s="6" t="n">
        <v>2</v>
      </c>
      <c r="G516" s="8" t="n">
        <v>0</v>
      </c>
      <c r="H516" s="6" t="s">
        <v>1127</v>
      </c>
      <c r="I516" s="6" t="s">
        <v>287</v>
      </c>
      <c r="J516" s="2" t="s">
        <v>2879</v>
      </c>
      <c r="K516" s="2" t="s">
        <v>2880</v>
      </c>
      <c r="L516" s="2" t="s">
        <v>127</v>
      </c>
      <c r="M516" s="2"/>
      <c r="N516" s="2"/>
      <c r="O516" s="2" t="s">
        <v>2881</v>
      </c>
      <c r="P516" s="2" t="s">
        <v>2882</v>
      </c>
      <c r="Q516" s="6" t="s">
        <v>1401</v>
      </c>
      <c r="R516" s="6" t="s">
        <v>106</v>
      </c>
      <c r="S516" s="9" t="s">
        <v>2883</v>
      </c>
      <c r="T516" s="6"/>
      <c r="U516" s="6"/>
      <c r="V516" s="10"/>
      <c r="W516" s="10" t="s">
        <v>88</v>
      </c>
      <c r="X516" s="10"/>
      <c r="Y516" s="10"/>
    </row>
    <row r="517" customFormat="false" ht="23.85" hidden="false" customHeight="false" outlineLevel="0" collapsed="false">
      <c r="A517" s="6" t="n">
        <v>516</v>
      </c>
      <c r="B517" s="7" t="s">
        <v>2884</v>
      </c>
      <c r="C517" s="6" t="str">
        <f aca="false">IF(U517&lt;&gt;"","Client",IF(D517&gt;=9,"A",IF(D517&gt;=7,"B","C")))</f>
        <v>C</v>
      </c>
      <c r="D517" s="6" t="n">
        <f aca="false">E517+F517+G517</f>
        <v>4</v>
      </c>
      <c r="E517" s="6" t="n">
        <v>2</v>
      </c>
      <c r="F517" s="6" t="n">
        <v>2</v>
      </c>
      <c r="G517" s="8" t="n">
        <v>0</v>
      </c>
      <c r="H517" s="6" t="s">
        <v>1127</v>
      </c>
      <c r="I517" s="6" t="s">
        <v>287</v>
      </c>
      <c r="J517" s="2" t="s">
        <v>2885</v>
      </c>
      <c r="K517" s="2" t="s">
        <v>1031</v>
      </c>
      <c r="L517" s="2" t="s">
        <v>127</v>
      </c>
      <c r="M517" s="2"/>
      <c r="N517" s="2"/>
      <c r="O517" s="2"/>
      <c r="P517" s="2" t="s">
        <v>2886</v>
      </c>
      <c r="Q517" s="6" t="s">
        <v>97</v>
      </c>
      <c r="R517" s="6" t="s">
        <v>106</v>
      </c>
      <c r="S517" s="9" t="s">
        <v>562</v>
      </c>
      <c r="T517" s="6"/>
      <c r="U517" s="6"/>
      <c r="V517" s="10"/>
      <c r="W517" s="10" t="s">
        <v>88</v>
      </c>
      <c r="X517" s="10"/>
      <c r="Y517" s="10"/>
    </row>
    <row r="518" customFormat="false" ht="23.85" hidden="false" customHeight="false" outlineLevel="0" collapsed="false">
      <c r="A518" s="6" t="n">
        <v>517</v>
      </c>
      <c r="B518" s="7" t="s">
        <v>2887</v>
      </c>
      <c r="C518" s="6" t="str">
        <f aca="false">IF(U518&lt;&gt;"","Client",IF(D518&gt;=9,"A",IF(D518&gt;=7,"B","C")))</f>
        <v>C</v>
      </c>
      <c r="D518" s="6" t="n">
        <f aca="false">E518+F518+G518</f>
        <v>4</v>
      </c>
      <c r="E518" s="6" t="n">
        <v>2</v>
      </c>
      <c r="F518" s="6" t="n">
        <v>2</v>
      </c>
      <c r="G518" s="8" t="n">
        <v>0</v>
      </c>
      <c r="H518" s="6" t="s">
        <v>507</v>
      </c>
      <c r="I518" s="6" t="s">
        <v>287</v>
      </c>
      <c r="J518" s="2" t="s">
        <v>2888</v>
      </c>
      <c r="K518" s="2" t="s">
        <v>2889</v>
      </c>
      <c r="L518" s="2" t="s">
        <v>127</v>
      </c>
      <c r="M518" s="2"/>
      <c r="N518" s="2"/>
      <c r="O518" s="2" t="s">
        <v>2890</v>
      </c>
      <c r="P518" s="2" t="s">
        <v>2891</v>
      </c>
      <c r="Q518" s="6" t="s">
        <v>642</v>
      </c>
      <c r="R518" s="6" t="s">
        <v>85</v>
      </c>
      <c r="S518" s="9" t="s">
        <v>2892</v>
      </c>
      <c r="T518" s="9" t="s">
        <v>2893</v>
      </c>
      <c r="U518" s="6"/>
      <c r="V518" s="10"/>
      <c r="W518" s="10" t="s">
        <v>88</v>
      </c>
      <c r="X518" s="10"/>
      <c r="Y518" s="10"/>
    </row>
    <row r="519" customFormat="false" ht="35.05" hidden="false" customHeight="false" outlineLevel="0" collapsed="false">
      <c r="A519" s="6" t="n">
        <v>518</v>
      </c>
      <c r="B519" s="7" t="s">
        <v>2894</v>
      </c>
      <c r="C519" s="6" t="str">
        <f aca="false">IF(U519&lt;&gt;"","Client",IF(D519&gt;=9,"A",IF(D519&gt;=7,"B","C")))</f>
        <v>C</v>
      </c>
      <c r="D519" s="6" t="n">
        <f aca="false">E519+F519+G519</f>
        <v>4</v>
      </c>
      <c r="E519" s="6" t="n">
        <v>2</v>
      </c>
      <c r="F519" s="6" t="n">
        <v>2</v>
      </c>
      <c r="G519" s="8" t="n">
        <v>0</v>
      </c>
      <c r="H519" s="6" t="s">
        <v>1127</v>
      </c>
      <c r="I519" s="6" t="s">
        <v>287</v>
      </c>
      <c r="J519" s="2" t="s">
        <v>2895</v>
      </c>
      <c r="K519" s="2" t="s">
        <v>2896</v>
      </c>
      <c r="L519" s="2" t="s">
        <v>127</v>
      </c>
      <c r="M519" s="2"/>
      <c r="N519" s="2" t="s">
        <v>1043</v>
      </c>
      <c r="O519" s="2" t="s">
        <v>2897</v>
      </c>
      <c r="P519" s="2" t="s">
        <v>2898</v>
      </c>
      <c r="Q519" s="6" t="s">
        <v>160</v>
      </c>
      <c r="R519" s="6" t="s">
        <v>85</v>
      </c>
      <c r="S519" s="9" t="s">
        <v>2899</v>
      </c>
      <c r="T519" s="9" t="s">
        <v>2900</v>
      </c>
      <c r="U519" s="6"/>
      <c r="V519" s="10"/>
      <c r="W519" s="10" t="s">
        <v>88</v>
      </c>
      <c r="X519" s="10"/>
      <c r="Y519" s="10"/>
    </row>
    <row r="520" customFormat="false" ht="23.85" hidden="false" customHeight="false" outlineLevel="0" collapsed="false">
      <c r="A520" s="6" t="n">
        <v>519</v>
      </c>
      <c r="B520" s="7" t="s">
        <v>2901</v>
      </c>
      <c r="C520" s="6" t="str">
        <f aca="false">IF(U520&lt;&gt;"","Client",IF(D520&gt;=9,"A",IF(D520&gt;=7,"B","C")))</f>
        <v>C</v>
      </c>
      <c r="D520" s="6" t="n">
        <f aca="false">E520+F520+G520</f>
        <v>4</v>
      </c>
      <c r="E520" s="6" t="n">
        <v>2</v>
      </c>
      <c r="F520" s="6" t="n">
        <v>2</v>
      </c>
      <c r="G520" s="8" t="n">
        <v>0</v>
      </c>
      <c r="H520" s="6" t="s">
        <v>507</v>
      </c>
      <c r="I520" s="6" t="s">
        <v>287</v>
      </c>
      <c r="J520" s="2" t="s">
        <v>2901</v>
      </c>
      <c r="K520" s="2" t="s">
        <v>2902</v>
      </c>
      <c r="L520" s="2" t="s">
        <v>127</v>
      </c>
      <c r="M520" s="2"/>
      <c r="N520" s="2" t="s">
        <v>1533</v>
      </c>
      <c r="O520" s="2"/>
      <c r="P520" s="2" t="s">
        <v>2903</v>
      </c>
      <c r="Q520" s="6" t="s">
        <v>97</v>
      </c>
      <c r="R520" s="6" t="s">
        <v>85</v>
      </c>
      <c r="S520" s="9" t="s">
        <v>2904</v>
      </c>
      <c r="T520" s="6"/>
      <c r="U520" s="6"/>
      <c r="V520" s="10"/>
      <c r="W520" s="10" t="s">
        <v>88</v>
      </c>
      <c r="X520" s="10"/>
      <c r="Y520" s="10"/>
    </row>
    <row r="521" customFormat="false" ht="23.85" hidden="false" customHeight="false" outlineLevel="0" collapsed="false">
      <c r="A521" s="6" t="n">
        <v>520</v>
      </c>
      <c r="B521" s="7" t="s">
        <v>2905</v>
      </c>
      <c r="C521" s="6" t="str">
        <f aca="false">IF(U521&lt;&gt;"","Client",IF(D521&gt;=9,"A",IF(D521&gt;=7,"B","C")))</f>
        <v>C</v>
      </c>
      <c r="D521" s="6" t="n">
        <f aca="false">E521+F521+G521</f>
        <v>4</v>
      </c>
      <c r="E521" s="6" t="n">
        <v>2</v>
      </c>
      <c r="F521" s="6" t="n">
        <v>2</v>
      </c>
      <c r="G521" s="8" t="n">
        <v>0</v>
      </c>
      <c r="H521" s="6" t="s">
        <v>1127</v>
      </c>
      <c r="I521" s="6" t="s">
        <v>287</v>
      </c>
      <c r="J521" s="2" t="s">
        <v>2906</v>
      </c>
      <c r="K521" s="2" t="s">
        <v>2907</v>
      </c>
      <c r="L521" s="2" t="s">
        <v>102</v>
      </c>
      <c r="M521" s="2"/>
      <c r="N521" s="2"/>
      <c r="O521" s="2" t="s">
        <v>2908</v>
      </c>
      <c r="P521" s="2" t="s">
        <v>2909</v>
      </c>
      <c r="Q521" s="6" t="s">
        <v>440</v>
      </c>
      <c r="R521" s="6" t="s">
        <v>106</v>
      </c>
      <c r="S521" s="9" t="s">
        <v>2910</v>
      </c>
      <c r="T521" s="6"/>
      <c r="U521" s="6"/>
      <c r="V521" s="10"/>
      <c r="W521" s="10" t="s">
        <v>88</v>
      </c>
      <c r="X521" s="10"/>
      <c r="Y521" s="10"/>
    </row>
    <row r="522" customFormat="false" ht="23.85" hidden="false" customHeight="false" outlineLevel="0" collapsed="false">
      <c r="A522" s="6" t="n">
        <v>521</v>
      </c>
      <c r="B522" s="7" t="s">
        <v>2911</v>
      </c>
      <c r="C522" s="6" t="str">
        <f aca="false">IF(U522&lt;&gt;"","Client",IF(D522&gt;=9,"A",IF(D522&gt;=7,"B","C")))</f>
        <v>C</v>
      </c>
      <c r="D522" s="6" t="n">
        <f aca="false">E522+F522+G522</f>
        <v>4</v>
      </c>
      <c r="E522" s="6" t="n">
        <v>2</v>
      </c>
      <c r="F522" s="6" t="n">
        <v>2</v>
      </c>
      <c r="G522" s="8" t="n">
        <v>0</v>
      </c>
      <c r="H522" s="6" t="s">
        <v>1127</v>
      </c>
      <c r="I522" s="6" t="s">
        <v>287</v>
      </c>
      <c r="J522" s="2" t="s">
        <v>2912</v>
      </c>
      <c r="K522" s="2" t="s">
        <v>2913</v>
      </c>
      <c r="L522" s="2" t="s">
        <v>127</v>
      </c>
      <c r="M522" s="2"/>
      <c r="N522" s="2" t="s">
        <v>1533</v>
      </c>
      <c r="O522" s="2" t="s">
        <v>2914</v>
      </c>
      <c r="P522" s="2" t="s">
        <v>2915</v>
      </c>
      <c r="Q522" s="6" t="s">
        <v>178</v>
      </c>
      <c r="R522" s="6" t="s">
        <v>85</v>
      </c>
      <c r="S522" s="9" t="s">
        <v>2916</v>
      </c>
      <c r="T522" s="6"/>
      <c r="U522" s="6"/>
      <c r="V522" s="10"/>
      <c r="W522" s="10" t="s">
        <v>88</v>
      </c>
      <c r="X522" s="10"/>
      <c r="Y522" s="10"/>
    </row>
    <row r="523" customFormat="false" ht="23.85" hidden="false" customHeight="false" outlineLevel="0" collapsed="false">
      <c r="A523" s="6" t="n">
        <v>522</v>
      </c>
      <c r="B523" s="7" t="s">
        <v>2917</v>
      </c>
      <c r="C523" s="6" t="str">
        <f aca="false">IF(U523&lt;&gt;"","Client",IF(D523&gt;=9,"A",IF(D523&gt;=7,"B","C")))</f>
        <v>C</v>
      </c>
      <c r="D523" s="6" t="n">
        <f aca="false">E523+F523+G523</f>
        <v>4</v>
      </c>
      <c r="E523" s="6" t="n">
        <v>2</v>
      </c>
      <c r="F523" s="6" t="n">
        <v>2</v>
      </c>
      <c r="G523" s="8" t="n">
        <v>0</v>
      </c>
      <c r="H523" s="6" t="s">
        <v>507</v>
      </c>
      <c r="I523" s="6" t="s">
        <v>287</v>
      </c>
      <c r="J523" s="2" t="s">
        <v>2918</v>
      </c>
      <c r="K523" s="2" t="s">
        <v>2919</v>
      </c>
      <c r="L523" s="2" t="s">
        <v>127</v>
      </c>
      <c r="M523" s="2"/>
      <c r="N523" s="2"/>
      <c r="O523" s="2" t="s">
        <v>2920</v>
      </c>
      <c r="P523" s="2" t="s">
        <v>2921</v>
      </c>
      <c r="Q523" s="6" t="s">
        <v>281</v>
      </c>
      <c r="R523" s="6" t="s">
        <v>106</v>
      </c>
      <c r="S523" s="9" t="s">
        <v>2922</v>
      </c>
      <c r="T523" s="6"/>
      <c r="U523" s="6"/>
      <c r="V523" s="10"/>
      <c r="W523" s="10" t="s">
        <v>88</v>
      </c>
      <c r="X523" s="10"/>
      <c r="Y523" s="10"/>
    </row>
    <row r="524" customFormat="false" ht="23.85" hidden="false" customHeight="false" outlineLevel="0" collapsed="false">
      <c r="A524" s="6" t="n">
        <v>523</v>
      </c>
      <c r="B524" s="7" t="s">
        <v>2923</v>
      </c>
      <c r="C524" s="6" t="str">
        <f aca="false">IF(U524&lt;&gt;"","Client",IF(D524&gt;=9,"A",IF(D524&gt;=7,"B","C")))</f>
        <v>C</v>
      </c>
      <c r="D524" s="6" t="n">
        <f aca="false">E524+F524+G524</f>
        <v>4</v>
      </c>
      <c r="E524" s="6" t="n">
        <v>2</v>
      </c>
      <c r="F524" s="6" t="n">
        <v>2</v>
      </c>
      <c r="G524" s="8" t="n">
        <v>0</v>
      </c>
      <c r="H524" s="6" t="s">
        <v>1127</v>
      </c>
      <c r="I524" s="6" t="s">
        <v>287</v>
      </c>
      <c r="J524" s="2" t="s">
        <v>2924</v>
      </c>
      <c r="K524" s="2" t="s">
        <v>2925</v>
      </c>
      <c r="L524" s="2" t="s">
        <v>127</v>
      </c>
      <c r="M524" s="2"/>
      <c r="N524" s="2"/>
      <c r="O524" s="2" t="s">
        <v>2926</v>
      </c>
      <c r="P524" s="2" t="s">
        <v>2927</v>
      </c>
      <c r="Q524" s="6" t="s">
        <v>308</v>
      </c>
      <c r="R524" s="6" t="s">
        <v>106</v>
      </c>
      <c r="S524" s="9" t="s">
        <v>2928</v>
      </c>
      <c r="T524" s="9" t="s">
        <v>2929</v>
      </c>
      <c r="U524" s="6"/>
      <c r="V524" s="10"/>
      <c r="W524" s="10" t="s">
        <v>88</v>
      </c>
      <c r="X524" s="10"/>
      <c r="Y524" s="10"/>
    </row>
    <row r="525" customFormat="false" ht="15" hidden="false" customHeight="false" outlineLevel="0" collapsed="false">
      <c r="A525" s="6" t="n">
        <v>524</v>
      </c>
      <c r="B525" s="7" t="s">
        <v>2930</v>
      </c>
      <c r="C525" s="6" t="str">
        <f aca="false">IF(U525&lt;&gt;"","Client",IF(D525&gt;=9,"A",IF(D525&gt;=7,"B","C")))</f>
        <v>C</v>
      </c>
      <c r="D525" s="6" t="n">
        <f aca="false">E525+F525+G525</f>
        <v>4</v>
      </c>
      <c r="E525" s="6" t="n">
        <v>2</v>
      </c>
      <c r="F525" s="6" t="n">
        <v>2</v>
      </c>
      <c r="G525" s="8" t="n">
        <v>0</v>
      </c>
      <c r="H525" s="6" t="s">
        <v>1127</v>
      </c>
      <c r="I525" s="6" t="s">
        <v>287</v>
      </c>
      <c r="J525" s="2" t="s">
        <v>2931</v>
      </c>
      <c r="K525" s="2" t="s">
        <v>1494</v>
      </c>
      <c r="L525" s="2" t="s">
        <v>127</v>
      </c>
      <c r="M525" s="2"/>
      <c r="N525" s="2"/>
      <c r="O525" s="2"/>
      <c r="P525" s="2" t="s">
        <v>2932</v>
      </c>
      <c r="Q525" s="6" t="s">
        <v>97</v>
      </c>
      <c r="R525" s="6" t="s">
        <v>106</v>
      </c>
      <c r="S525" s="9" t="s">
        <v>1989</v>
      </c>
      <c r="T525" s="6"/>
      <c r="U525" s="6"/>
      <c r="V525" s="10"/>
      <c r="W525" s="10" t="s">
        <v>88</v>
      </c>
      <c r="X525" s="10"/>
      <c r="Y525" s="10"/>
    </row>
    <row r="526" customFormat="false" ht="23.85" hidden="false" customHeight="false" outlineLevel="0" collapsed="false">
      <c r="A526" s="6" t="n">
        <v>525</v>
      </c>
      <c r="B526" s="7" t="s">
        <v>2933</v>
      </c>
      <c r="C526" s="6" t="str">
        <f aca="false">IF(U526&lt;&gt;"","Client",IF(D526&gt;=9,"A",IF(D526&gt;=7,"B","C")))</f>
        <v>C</v>
      </c>
      <c r="D526" s="6" t="n">
        <f aca="false">E526+F526+G526</f>
        <v>4</v>
      </c>
      <c r="E526" s="6" t="n">
        <v>2</v>
      </c>
      <c r="F526" s="6" t="n">
        <v>2</v>
      </c>
      <c r="G526" s="8" t="n">
        <v>0</v>
      </c>
      <c r="H526" s="6" t="s">
        <v>1127</v>
      </c>
      <c r="I526" s="6" t="s">
        <v>287</v>
      </c>
      <c r="J526" s="2" t="s">
        <v>2934</v>
      </c>
      <c r="K526" s="2" t="s">
        <v>2935</v>
      </c>
      <c r="L526" s="2" t="s">
        <v>127</v>
      </c>
      <c r="M526" s="2"/>
      <c r="N526" s="2" t="s">
        <v>1043</v>
      </c>
      <c r="O526" s="2" t="s">
        <v>2936</v>
      </c>
      <c r="P526" s="2" t="s">
        <v>2937</v>
      </c>
      <c r="Q526" s="6" t="s">
        <v>178</v>
      </c>
      <c r="R526" s="6" t="s">
        <v>85</v>
      </c>
      <c r="S526" s="9" t="s">
        <v>2938</v>
      </c>
      <c r="T526" s="9" t="s">
        <v>2939</v>
      </c>
      <c r="U526" s="6"/>
      <c r="V526" s="10"/>
      <c r="W526" s="10" t="s">
        <v>88</v>
      </c>
      <c r="X526" s="10"/>
      <c r="Y526" s="10"/>
    </row>
    <row r="527" customFormat="false" ht="23.85" hidden="false" customHeight="false" outlineLevel="0" collapsed="false">
      <c r="A527" s="6" t="n">
        <v>526</v>
      </c>
      <c r="B527" s="7" t="s">
        <v>2940</v>
      </c>
      <c r="C527" s="6" t="str">
        <f aca="false">IF(U527&lt;&gt;"","Client",IF(D527&gt;=9,"A",IF(D527&gt;=7,"B","C")))</f>
        <v>C</v>
      </c>
      <c r="D527" s="6" t="n">
        <f aca="false">E527+F527+G527</f>
        <v>4</v>
      </c>
      <c r="E527" s="6" t="n">
        <v>2</v>
      </c>
      <c r="F527" s="6" t="n">
        <v>2</v>
      </c>
      <c r="G527" s="8" t="n">
        <v>0</v>
      </c>
      <c r="H527" s="6" t="s">
        <v>1127</v>
      </c>
      <c r="I527" s="6" t="s">
        <v>287</v>
      </c>
      <c r="J527" s="2" t="s">
        <v>2941</v>
      </c>
      <c r="K527" s="2" t="s">
        <v>2942</v>
      </c>
      <c r="L527" s="2" t="s">
        <v>127</v>
      </c>
      <c r="M527" s="2"/>
      <c r="N527" s="2"/>
      <c r="O527" s="2" t="s">
        <v>2943</v>
      </c>
      <c r="P527" s="2" t="s">
        <v>2944</v>
      </c>
      <c r="Q527" s="6" t="s">
        <v>1302</v>
      </c>
      <c r="R527" s="6" t="s">
        <v>98</v>
      </c>
      <c r="S527" s="9" t="s">
        <v>2945</v>
      </c>
      <c r="T527" s="6"/>
      <c r="U527" s="6"/>
      <c r="V527" s="10"/>
      <c r="W527" s="10" t="s">
        <v>88</v>
      </c>
      <c r="X527" s="10"/>
      <c r="Y527" s="10"/>
    </row>
    <row r="528" customFormat="false" ht="15" hidden="false" customHeight="false" outlineLevel="0" collapsed="false">
      <c r="A528" s="6" t="n">
        <v>527</v>
      </c>
      <c r="B528" s="7" t="s">
        <v>2946</v>
      </c>
      <c r="C528" s="6" t="str">
        <f aca="false">IF(U528&lt;&gt;"","Client",IF(D528&gt;=9,"A",IF(D528&gt;=7,"B","C")))</f>
        <v>C</v>
      </c>
      <c r="D528" s="6" t="n">
        <f aca="false">E528+F528+G528</f>
        <v>4</v>
      </c>
      <c r="E528" s="6" t="n">
        <v>2</v>
      </c>
      <c r="F528" s="6" t="n">
        <v>2</v>
      </c>
      <c r="G528" s="8" t="n">
        <v>0</v>
      </c>
      <c r="H528" s="6" t="s">
        <v>507</v>
      </c>
      <c r="I528" s="6" t="s">
        <v>287</v>
      </c>
      <c r="J528" s="2" t="s">
        <v>2946</v>
      </c>
      <c r="K528" s="2" t="s">
        <v>2947</v>
      </c>
      <c r="L528" s="2" t="s">
        <v>127</v>
      </c>
      <c r="M528" s="2"/>
      <c r="N528" s="2"/>
      <c r="O528" s="2"/>
      <c r="P528" s="2" t="s">
        <v>2948</v>
      </c>
      <c r="Q528" s="6" t="s">
        <v>461</v>
      </c>
      <c r="R528" s="6" t="s">
        <v>85</v>
      </c>
      <c r="S528" s="9" t="s">
        <v>2949</v>
      </c>
      <c r="T528" s="6"/>
      <c r="U528" s="6"/>
      <c r="V528" s="10"/>
      <c r="W528" s="10" t="s">
        <v>88</v>
      </c>
      <c r="X528" s="10"/>
      <c r="Y528" s="10"/>
    </row>
    <row r="529" customFormat="false" ht="23.85" hidden="false" customHeight="false" outlineLevel="0" collapsed="false">
      <c r="A529" s="6" t="n">
        <v>528</v>
      </c>
      <c r="B529" s="7" t="s">
        <v>2950</v>
      </c>
      <c r="C529" s="6" t="str">
        <f aca="false">IF(U529&lt;&gt;"","Client",IF(D529&gt;=9,"A",IF(D529&gt;=7,"B","C")))</f>
        <v>C</v>
      </c>
      <c r="D529" s="6" t="n">
        <f aca="false">E529+F529+G529</f>
        <v>4</v>
      </c>
      <c r="E529" s="6" t="n">
        <v>1</v>
      </c>
      <c r="F529" s="6" t="n">
        <v>0</v>
      </c>
      <c r="G529" s="8" t="n">
        <v>3</v>
      </c>
      <c r="H529" s="6" t="s">
        <v>2312</v>
      </c>
      <c r="I529" s="6" t="s">
        <v>1445</v>
      </c>
      <c r="J529" s="2" t="s">
        <v>2951</v>
      </c>
      <c r="K529" s="2" t="s">
        <v>724</v>
      </c>
      <c r="L529" s="2" t="s">
        <v>102</v>
      </c>
      <c r="M529" s="2"/>
      <c r="N529" s="2" t="s">
        <v>103</v>
      </c>
      <c r="O529" s="2" t="s">
        <v>725</v>
      </c>
      <c r="P529" s="2" t="s">
        <v>2952</v>
      </c>
      <c r="Q529" s="6" t="s">
        <v>97</v>
      </c>
      <c r="R529" s="6" t="s">
        <v>85</v>
      </c>
      <c r="S529" s="9" t="s">
        <v>1907</v>
      </c>
      <c r="T529" s="6"/>
      <c r="U529" s="6"/>
      <c r="V529" s="10"/>
      <c r="W529" s="10" t="s">
        <v>88</v>
      </c>
      <c r="X529" s="10"/>
      <c r="Y529" s="10"/>
    </row>
    <row r="530" customFormat="false" ht="23.85" hidden="false" customHeight="false" outlineLevel="0" collapsed="false">
      <c r="A530" s="6" t="n">
        <v>529</v>
      </c>
      <c r="B530" s="7" t="s">
        <v>2953</v>
      </c>
      <c r="C530" s="6" t="str">
        <f aca="false">IF(U530&lt;&gt;"","Client",IF(D530&gt;=9,"A",IF(D530&gt;=7,"B","C")))</f>
        <v>C</v>
      </c>
      <c r="D530" s="6" t="n">
        <f aca="false">E530+F530+G530</f>
        <v>4</v>
      </c>
      <c r="E530" s="6" t="n">
        <v>1</v>
      </c>
      <c r="F530" s="6" t="n">
        <v>0</v>
      </c>
      <c r="G530" s="8" t="n">
        <v>3</v>
      </c>
      <c r="H530" s="6" t="s">
        <v>1598</v>
      </c>
      <c r="I530" s="6" t="s">
        <v>1445</v>
      </c>
      <c r="J530" s="2" t="s">
        <v>669</v>
      </c>
      <c r="K530" s="2" t="s">
        <v>2954</v>
      </c>
      <c r="L530" s="2" t="s">
        <v>102</v>
      </c>
      <c r="M530" s="2"/>
      <c r="N530" s="2" t="s">
        <v>1618</v>
      </c>
      <c r="O530" s="2" t="s">
        <v>2955</v>
      </c>
      <c r="P530" s="2" t="s">
        <v>2956</v>
      </c>
      <c r="Q530" s="6" t="s">
        <v>150</v>
      </c>
      <c r="R530" s="6" t="s">
        <v>85</v>
      </c>
      <c r="S530" s="9" t="s">
        <v>2957</v>
      </c>
      <c r="T530" s="6"/>
      <c r="U530" s="6"/>
      <c r="V530" s="10"/>
      <c r="W530" s="10" t="s">
        <v>88</v>
      </c>
      <c r="X530" s="10"/>
      <c r="Y530" s="10"/>
    </row>
    <row r="531" customFormat="false" ht="35.05" hidden="false" customHeight="false" outlineLevel="0" collapsed="false">
      <c r="A531" s="6" t="n">
        <v>530</v>
      </c>
      <c r="B531" s="7" t="s">
        <v>2958</v>
      </c>
      <c r="C531" s="6" t="str">
        <f aca="false">IF(U531&lt;&gt;"","Client",IF(D531&gt;=9,"A",IF(D531&gt;=7,"B","C")))</f>
        <v>C</v>
      </c>
      <c r="D531" s="6" t="n">
        <f aca="false">E531+F531+G531</f>
        <v>4</v>
      </c>
      <c r="E531" s="6" t="n">
        <v>1</v>
      </c>
      <c r="F531" s="6" t="n">
        <v>0</v>
      </c>
      <c r="G531" s="8" t="n">
        <v>3</v>
      </c>
      <c r="H531" s="6" t="s">
        <v>1644</v>
      </c>
      <c r="I531" s="6" t="s">
        <v>1445</v>
      </c>
      <c r="J531" s="2" t="s">
        <v>2959</v>
      </c>
      <c r="K531" s="2" t="s">
        <v>2960</v>
      </c>
      <c r="L531" s="2" t="s">
        <v>2961</v>
      </c>
      <c r="M531" s="2" t="s">
        <v>1130</v>
      </c>
      <c r="N531" s="2" t="s">
        <v>81</v>
      </c>
      <c r="O531" s="2" t="s">
        <v>2962</v>
      </c>
      <c r="P531" s="2" t="s">
        <v>2963</v>
      </c>
      <c r="Q531" s="6" t="s">
        <v>178</v>
      </c>
      <c r="R531" s="6" t="s">
        <v>85</v>
      </c>
      <c r="S531" s="9" t="s">
        <v>2964</v>
      </c>
      <c r="T531" s="9" t="s">
        <v>2778</v>
      </c>
      <c r="U531" s="6"/>
      <c r="V531" s="10"/>
      <c r="W531" s="10" t="s">
        <v>88</v>
      </c>
      <c r="X531" s="10"/>
      <c r="Y531" s="10"/>
    </row>
    <row r="532" customFormat="false" ht="23.85" hidden="false" customHeight="false" outlineLevel="0" collapsed="false">
      <c r="A532" s="6" t="n">
        <v>531</v>
      </c>
      <c r="B532" s="7" t="s">
        <v>2965</v>
      </c>
      <c r="C532" s="6" t="str">
        <f aca="false">IF(U532&lt;&gt;"","Client",IF(D532&gt;=9,"A",IF(D532&gt;=7,"B","C")))</f>
        <v>C</v>
      </c>
      <c r="D532" s="6" t="n">
        <f aca="false">E532+F532+G532</f>
        <v>4</v>
      </c>
      <c r="E532" s="6" t="n">
        <v>1</v>
      </c>
      <c r="F532" s="6" t="n">
        <v>0</v>
      </c>
      <c r="G532" s="8" t="n">
        <v>3</v>
      </c>
      <c r="H532" s="6" t="s">
        <v>1215</v>
      </c>
      <c r="I532" s="6" t="s">
        <v>1445</v>
      </c>
      <c r="J532" s="2" t="s">
        <v>2966</v>
      </c>
      <c r="K532" s="2" t="s">
        <v>730</v>
      </c>
      <c r="L532" s="2" t="s">
        <v>102</v>
      </c>
      <c r="M532" s="2"/>
      <c r="N532" s="2" t="s">
        <v>338</v>
      </c>
      <c r="O532" s="2" t="s">
        <v>1447</v>
      </c>
      <c r="P532" s="2" t="s">
        <v>2967</v>
      </c>
      <c r="Q532" s="6" t="s">
        <v>1943</v>
      </c>
      <c r="R532" s="6" t="s">
        <v>85</v>
      </c>
      <c r="S532" s="9" t="s">
        <v>2968</v>
      </c>
      <c r="T532" s="6"/>
      <c r="U532" s="6"/>
      <c r="V532" s="10"/>
      <c r="W532" s="10" t="s">
        <v>88</v>
      </c>
      <c r="X532" s="10"/>
      <c r="Y532" s="10"/>
    </row>
    <row r="533" customFormat="false" ht="23.85" hidden="false" customHeight="false" outlineLevel="0" collapsed="false">
      <c r="A533" s="6" t="n">
        <v>532</v>
      </c>
      <c r="B533" s="7" t="s">
        <v>2969</v>
      </c>
      <c r="C533" s="6" t="str">
        <f aca="false">IF(U533&lt;&gt;"","Client",IF(D533&gt;=9,"A",IF(D533&gt;=7,"B","C")))</f>
        <v>C</v>
      </c>
      <c r="D533" s="6" t="n">
        <f aca="false">E533+F533+G533</f>
        <v>4</v>
      </c>
      <c r="E533" s="6" t="n">
        <v>1</v>
      </c>
      <c r="F533" s="6" t="n">
        <v>0</v>
      </c>
      <c r="G533" s="8" t="n">
        <v>3</v>
      </c>
      <c r="H533" s="6" t="s">
        <v>1598</v>
      </c>
      <c r="I533" s="6" t="s">
        <v>1445</v>
      </c>
      <c r="J533" s="2" t="s">
        <v>1604</v>
      </c>
      <c r="K533" s="2" t="s">
        <v>730</v>
      </c>
      <c r="L533" s="2" t="s">
        <v>102</v>
      </c>
      <c r="M533" s="2"/>
      <c r="N533" s="2" t="s">
        <v>338</v>
      </c>
      <c r="O533" s="2" t="s">
        <v>1447</v>
      </c>
      <c r="P533" s="2" t="s">
        <v>2970</v>
      </c>
      <c r="Q533" s="6" t="s">
        <v>150</v>
      </c>
      <c r="R533" s="6" t="s">
        <v>85</v>
      </c>
      <c r="S533" s="9" t="s">
        <v>2971</v>
      </c>
      <c r="T533" s="6"/>
      <c r="U533" s="6"/>
      <c r="V533" s="10"/>
      <c r="W533" s="10" t="s">
        <v>88</v>
      </c>
      <c r="X533" s="10"/>
      <c r="Y533" s="10"/>
    </row>
    <row r="534" customFormat="false" ht="23.85" hidden="false" customHeight="false" outlineLevel="0" collapsed="false">
      <c r="A534" s="6" t="n">
        <v>533</v>
      </c>
      <c r="B534" s="7" t="s">
        <v>2972</v>
      </c>
      <c r="C534" s="6" t="str">
        <f aca="false">IF(U534&lt;&gt;"","Client",IF(D534&gt;=9,"A",IF(D534&gt;=7,"B","C")))</f>
        <v>C</v>
      </c>
      <c r="D534" s="6" t="n">
        <f aca="false">E534+F534+G534</f>
        <v>4</v>
      </c>
      <c r="E534" s="6" t="n">
        <v>1</v>
      </c>
      <c r="F534" s="6" t="n">
        <v>0</v>
      </c>
      <c r="G534" s="8" t="n">
        <v>3</v>
      </c>
      <c r="H534" s="6" t="s">
        <v>2312</v>
      </c>
      <c r="I534" s="6" t="s">
        <v>1445</v>
      </c>
      <c r="J534" s="2" t="s">
        <v>2973</v>
      </c>
      <c r="K534" s="2" t="s">
        <v>501</v>
      </c>
      <c r="L534" s="2" t="s">
        <v>102</v>
      </c>
      <c r="M534" s="2"/>
      <c r="N534" s="2" t="s">
        <v>103</v>
      </c>
      <c r="O534" s="2" t="s">
        <v>670</v>
      </c>
      <c r="P534" s="2" t="s">
        <v>2974</v>
      </c>
      <c r="Q534" s="6" t="s">
        <v>150</v>
      </c>
      <c r="R534" s="6" t="s">
        <v>85</v>
      </c>
      <c r="S534" s="9" t="s">
        <v>1698</v>
      </c>
      <c r="T534" s="6"/>
      <c r="U534" s="6"/>
      <c r="V534" s="10"/>
      <c r="W534" s="10" t="s">
        <v>88</v>
      </c>
      <c r="X534" s="10"/>
      <c r="Y534" s="10"/>
    </row>
    <row r="535" customFormat="false" ht="23.85" hidden="false" customHeight="false" outlineLevel="0" collapsed="false">
      <c r="A535" s="6" t="n">
        <v>534</v>
      </c>
      <c r="B535" s="7" t="s">
        <v>2975</v>
      </c>
      <c r="C535" s="6" t="str">
        <f aca="false">IF(U535&lt;&gt;"","Client",IF(D535&gt;=9,"A",IF(D535&gt;=7,"B","C")))</f>
        <v>C</v>
      </c>
      <c r="D535" s="6" t="n">
        <f aca="false">E535+F535+G535</f>
        <v>4</v>
      </c>
      <c r="E535" s="6" t="n">
        <v>1</v>
      </c>
      <c r="F535" s="6" t="n">
        <v>0</v>
      </c>
      <c r="G535" s="8" t="n">
        <v>3</v>
      </c>
      <c r="H535" s="6" t="s">
        <v>1598</v>
      </c>
      <c r="I535" s="6" t="s">
        <v>1445</v>
      </c>
      <c r="J535" s="2" t="s">
        <v>2976</v>
      </c>
      <c r="K535" s="2" t="s">
        <v>2977</v>
      </c>
      <c r="L535" s="2" t="s">
        <v>102</v>
      </c>
      <c r="M535" s="2"/>
      <c r="N535" s="2" t="s">
        <v>103</v>
      </c>
      <c r="O535" s="2" t="s">
        <v>670</v>
      </c>
      <c r="P535" s="2" t="s">
        <v>2978</v>
      </c>
      <c r="Q535" s="6" t="s">
        <v>341</v>
      </c>
      <c r="R535" s="6" t="s">
        <v>106</v>
      </c>
      <c r="S535" s="9" t="s">
        <v>662</v>
      </c>
      <c r="T535" s="6"/>
      <c r="U535" s="6"/>
      <c r="V535" s="10"/>
      <c r="W535" s="10" t="s">
        <v>88</v>
      </c>
      <c r="X535" s="10"/>
      <c r="Y535" s="10"/>
    </row>
    <row r="536" customFormat="false" ht="23.85" hidden="false" customHeight="false" outlineLevel="0" collapsed="false">
      <c r="A536" s="6" t="n">
        <v>535</v>
      </c>
      <c r="B536" s="7" t="s">
        <v>2979</v>
      </c>
      <c r="C536" s="6" t="str">
        <f aca="false">IF(U536&lt;&gt;"","Client",IF(D536&gt;=9,"A",IF(D536&gt;=7,"B","C")))</f>
        <v>C</v>
      </c>
      <c r="D536" s="6" t="n">
        <f aca="false">E536+F536+G536</f>
        <v>4</v>
      </c>
      <c r="E536" s="6" t="n">
        <v>1</v>
      </c>
      <c r="F536" s="6" t="n">
        <v>0</v>
      </c>
      <c r="G536" s="8" t="n">
        <v>3</v>
      </c>
      <c r="H536" s="6" t="s">
        <v>2312</v>
      </c>
      <c r="I536" s="6" t="s">
        <v>1445</v>
      </c>
      <c r="J536" s="2" t="s">
        <v>2979</v>
      </c>
      <c r="K536" s="2" t="s">
        <v>664</v>
      </c>
      <c r="L536" s="2" t="s">
        <v>102</v>
      </c>
      <c r="M536" s="2"/>
      <c r="N536" s="2" t="s">
        <v>103</v>
      </c>
      <c r="O536" s="2" t="s">
        <v>725</v>
      </c>
      <c r="P536" s="2" t="s">
        <v>2980</v>
      </c>
      <c r="Q536" s="6" t="s">
        <v>389</v>
      </c>
      <c r="R536" s="6" t="s">
        <v>98</v>
      </c>
      <c r="S536" s="9" t="s">
        <v>672</v>
      </c>
      <c r="T536" s="6"/>
      <c r="U536" s="6"/>
      <c r="V536" s="10"/>
      <c r="W536" s="10" t="s">
        <v>88</v>
      </c>
      <c r="X536" s="10"/>
      <c r="Y536" s="10"/>
    </row>
    <row r="537" customFormat="false" ht="23.85" hidden="false" customHeight="false" outlineLevel="0" collapsed="false">
      <c r="A537" s="6" t="n">
        <v>536</v>
      </c>
      <c r="B537" s="7" t="s">
        <v>2981</v>
      </c>
      <c r="C537" s="6" t="str">
        <f aca="false">IF(U537&lt;&gt;"","Client",IF(D537&gt;=9,"A",IF(D537&gt;=7,"B","C")))</f>
        <v>C</v>
      </c>
      <c r="D537" s="6" t="n">
        <f aca="false">E537+F537+G537</f>
        <v>4</v>
      </c>
      <c r="E537" s="6" t="n">
        <v>1</v>
      </c>
      <c r="F537" s="6" t="n">
        <v>0</v>
      </c>
      <c r="G537" s="8" t="n">
        <v>3</v>
      </c>
      <c r="H537" s="6" t="s">
        <v>1598</v>
      </c>
      <c r="I537" s="6" t="s">
        <v>1445</v>
      </c>
      <c r="J537" s="2" t="s">
        <v>2982</v>
      </c>
      <c r="K537" s="2" t="s">
        <v>730</v>
      </c>
      <c r="L537" s="2" t="s">
        <v>102</v>
      </c>
      <c r="M537" s="2"/>
      <c r="N537" s="2" t="s">
        <v>338</v>
      </c>
      <c r="O537" s="2" t="s">
        <v>1447</v>
      </c>
      <c r="P537" s="2" t="s">
        <v>2983</v>
      </c>
      <c r="Q537" s="6" t="s">
        <v>967</v>
      </c>
      <c r="R537" s="6" t="s">
        <v>106</v>
      </c>
      <c r="S537" s="9" t="s">
        <v>2984</v>
      </c>
      <c r="T537" s="6"/>
      <c r="U537" s="6"/>
      <c r="V537" s="10"/>
      <c r="W537" s="10" t="s">
        <v>88</v>
      </c>
      <c r="X537" s="10"/>
      <c r="Y537" s="10"/>
    </row>
    <row r="538" customFormat="false" ht="23.85" hidden="false" customHeight="false" outlineLevel="0" collapsed="false">
      <c r="A538" s="6" t="n">
        <v>537</v>
      </c>
      <c r="B538" s="7" t="s">
        <v>2985</v>
      </c>
      <c r="C538" s="6" t="str">
        <f aca="false">IF(U538&lt;&gt;"","Client",IF(D538&gt;=9,"A",IF(D538&gt;=7,"B","C")))</f>
        <v>C</v>
      </c>
      <c r="D538" s="6" t="n">
        <f aca="false">E538+F538+G538</f>
        <v>4</v>
      </c>
      <c r="E538" s="6" t="n">
        <v>1</v>
      </c>
      <c r="F538" s="6" t="n">
        <v>0</v>
      </c>
      <c r="G538" s="8" t="n">
        <v>3</v>
      </c>
      <c r="H538" s="6" t="s">
        <v>1598</v>
      </c>
      <c r="I538" s="6" t="s">
        <v>1445</v>
      </c>
      <c r="J538" s="2" t="s">
        <v>1604</v>
      </c>
      <c r="K538" s="2" t="s">
        <v>1634</v>
      </c>
      <c r="L538" s="2" t="s">
        <v>102</v>
      </c>
      <c r="M538" s="2"/>
      <c r="N538" s="2" t="s">
        <v>338</v>
      </c>
      <c r="O538" s="2" t="s">
        <v>1447</v>
      </c>
      <c r="P538" s="2" t="s">
        <v>2986</v>
      </c>
      <c r="Q538" s="6" t="s">
        <v>2856</v>
      </c>
      <c r="R538" s="6" t="s">
        <v>106</v>
      </c>
      <c r="S538" s="9" t="s">
        <v>2987</v>
      </c>
      <c r="T538" s="6"/>
      <c r="U538" s="6"/>
      <c r="V538" s="10"/>
      <c r="W538" s="10" t="s">
        <v>88</v>
      </c>
      <c r="X538" s="10"/>
      <c r="Y538" s="10"/>
    </row>
    <row r="539" customFormat="false" ht="35.05" hidden="false" customHeight="false" outlineLevel="0" collapsed="false">
      <c r="A539" s="6" t="n">
        <v>538</v>
      </c>
      <c r="B539" s="7" t="s">
        <v>2988</v>
      </c>
      <c r="C539" s="6" t="str">
        <f aca="false">IF(U539&lt;&gt;"","Client",IF(D539&gt;=9,"A",IF(D539&gt;=7,"B","C")))</f>
        <v>C</v>
      </c>
      <c r="D539" s="6" t="n">
        <f aca="false">E539+F539+G539</f>
        <v>4</v>
      </c>
      <c r="E539" s="6" t="n">
        <v>1</v>
      </c>
      <c r="F539" s="6" t="n">
        <v>0</v>
      </c>
      <c r="G539" s="8" t="n">
        <v>3</v>
      </c>
      <c r="H539" s="6" t="s">
        <v>1644</v>
      </c>
      <c r="I539" s="6" t="s">
        <v>1445</v>
      </c>
      <c r="J539" s="2" t="s">
        <v>2989</v>
      </c>
      <c r="K539" s="2" t="s">
        <v>2990</v>
      </c>
      <c r="L539" s="2" t="s">
        <v>112</v>
      </c>
      <c r="M539" s="2"/>
      <c r="N539" s="2" t="s">
        <v>81</v>
      </c>
      <c r="O539" s="2" t="s">
        <v>2991</v>
      </c>
      <c r="P539" s="2" t="s">
        <v>2992</v>
      </c>
      <c r="Q539" s="6" t="s">
        <v>130</v>
      </c>
      <c r="R539" s="6" t="s">
        <v>85</v>
      </c>
      <c r="S539" s="9" t="s">
        <v>2993</v>
      </c>
      <c r="T539" s="9" t="s">
        <v>2994</v>
      </c>
      <c r="U539" s="6"/>
      <c r="V539" s="10"/>
      <c r="W539" s="10" t="s">
        <v>88</v>
      </c>
      <c r="X539" s="10"/>
      <c r="Y539" s="10"/>
    </row>
    <row r="540" customFormat="false" ht="15" hidden="false" customHeight="false" outlineLevel="0" collapsed="false">
      <c r="A540" s="6" t="n">
        <v>539</v>
      </c>
      <c r="B540" s="7" t="s">
        <v>2995</v>
      </c>
      <c r="C540" s="6" t="str">
        <f aca="false">IF(U540&lt;&gt;"","Client",IF(D540&gt;=9,"A",IF(D540&gt;=7,"B","C")))</f>
        <v>C</v>
      </c>
      <c r="D540" s="6" t="n">
        <f aca="false">E540+F540+G540</f>
        <v>4</v>
      </c>
      <c r="E540" s="6" t="n">
        <v>1</v>
      </c>
      <c r="F540" s="6" t="n">
        <v>0</v>
      </c>
      <c r="G540" s="8" t="n">
        <v>3</v>
      </c>
      <c r="H540" s="6" t="s">
        <v>1644</v>
      </c>
      <c r="I540" s="6" t="s">
        <v>1445</v>
      </c>
      <c r="J540" s="2" t="s">
        <v>2996</v>
      </c>
      <c r="K540" s="2" t="s">
        <v>92</v>
      </c>
      <c r="L540" s="2" t="s">
        <v>93</v>
      </c>
      <c r="M540" s="2"/>
      <c r="N540" s="2" t="s">
        <v>184</v>
      </c>
      <c r="O540" s="2" t="s">
        <v>496</v>
      </c>
      <c r="P540" s="2" t="s">
        <v>2997</v>
      </c>
      <c r="Q540" s="6" t="s">
        <v>256</v>
      </c>
      <c r="R540" s="6" t="s">
        <v>85</v>
      </c>
      <c r="S540" s="9" t="s">
        <v>2998</v>
      </c>
      <c r="T540" s="6"/>
      <c r="U540" s="6"/>
      <c r="V540" s="10"/>
      <c r="W540" s="10" t="s">
        <v>88</v>
      </c>
      <c r="X540" s="10"/>
      <c r="Y540" s="10"/>
    </row>
    <row r="541" customFormat="false" ht="91" hidden="false" customHeight="false" outlineLevel="0" collapsed="false">
      <c r="A541" s="6" t="n">
        <v>540</v>
      </c>
      <c r="B541" s="7" t="s">
        <v>2999</v>
      </c>
      <c r="C541" s="6" t="str">
        <f aca="false">IF(U541&lt;&gt;"","Client",IF(D541&gt;=9,"A",IF(D541&gt;=7,"B","C")))</f>
        <v>C</v>
      </c>
      <c r="D541" s="6" t="n">
        <f aca="false">E541+F541+G541</f>
        <v>4</v>
      </c>
      <c r="E541" s="6" t="n">
        <v>1</v>
      </c>
      <c r="F541" s="6" t="n">
        <v>0</v>
      </c>
      <c r="G541" s="8" t="n">
        <v>3</v>
      </c>
      <c r="H541" s="6" t="s">
        <v>3000</v>
      </c>
      <c r="I541" s="6" t="s">
        <v>1445</v>
      </c>
      <c r="J541" s="2" t="s">
        <v>3001</v>
      </c>
      <c r="K541" s="2" t="s">
        <v>3002</v>
      </c>
      <c r="L541" s="2" t="s">
        <v>1108</v>
      </c>
      <c r="M541" s="2" t="s">
        <v>3003</v>
      </c>
      <c r="N541" s="2" t="s">
        <v>81</v>
      </c>
      <c r="O541" s="2" t="s">
        <v>3004</v>
      </c>
      <c r="P541" s="2" t="s">
        <v>3005</v>
      </c>
      <c r="Q541" s="6" t="s">
        <v>97</v>
      </c>
      <c r="R541" s="6" t="s">
        <v>85</v>
      </c>
      <c r="S541" s="9" t="s">
        <v>3006</v>
      </c>
      <c r="T541" s="9" t="s">
        <v>3007</v>
      </c>
      <c r="U541" s="6"/>
      <c r="V541" s="10"/>
      <c r="W541" s="10" t="s">
        <v>88</v>
      </c>
      <c r="X541" s="10"/>
      <c r="Y541" s="10"/>
    </row>
    <row r="542" customFormat="false" ht="23.85" hidden="false" customHeight="false" outlineLevel="0" collapsed="false">
      <c r="A542" s="6" t="n">
        <v>541</v>
      </c>
      <c r="B542" s="7" t="s">
        <v>3008</v>
      </c>
      <c r="C542" s="6" t="str">
        <f aca="false">IF(U542&lt;&gt;"","Client",IF(D542&gt;=9,"A",IF(D542&gt;=7,"B","C")))</f>
        <v>C</v>
      </c>
      <c r="D542" s="6" t="n">
        <f aca="false">E542+F542+G542</f>
        <v>4</v>
      </c>
      <c r="E542" s="6" t="n">
        <v>1</v>
      </c>
      <c r="F542" s="6" t="n">
        <v>0</v>
      </c>
      <c r="G542" s="8" t="n">
        <v>3</v>
      </c>
      <c r="H542" s="6" t="s">
        <v>1598</v>
      </c>
      <c r="I542" s="6" t="s">
        <v>1445</v>
      </c>
      <c r="J542" s="2" t="s">
        <v>1633</v>
      </c>
      <c r="K542" s="2" t="s">
        <v>373</v>
      </c>
      <c r="L542" s="2" t="s">
        <v>374</v>
      </c>
      <c r="M542" s="2"/>
      <c r="N542" s="2" t="s">
        <v>103</v>
      </c>
      <c r="O542" s="2" t="s">
        <v>381</v>
      </c>
      <c r="P542" s="2" t="s">
        <v>3009</v>
      </c>
      <c r="Q542" s="6" t="s">
        <v>226</v>
      </c>
      <c r="R542" s="6" t="s">
        <v>106</v>
      </c>
      <c r="S542" s="9" t="s">
        <v>3010</v>
      </c>
      <c r="T542" s="6"/>
      <c r="U542" s="6"/>
      <c r="V542" s="10"/>
      <c r="W542" s="10" t="s">
        <v>88</v>
      </c>
      <c r="X542" s="10"/>
      <c r="Y542" s="10"/>
    </row>
    <row r="543" customFormat="false" ht="15" hidden="false" customHeight="false" outlineLevel="0" collapsed="false">
      <c r="A543" s="6" t="n">
        <v>542</v>
      </c>
      <c r="B543" s="7" t="s">
        <v>2973</v>
      </c>
      <c r="C543" s="6" t="str">
        <f aca="false">IF(U543&lt;&gt;"","Client",IF(D543&gt;=9,"A",IF(D543&gt;=7,"B","C")))</f>
        <v>C</v>
      </c>
      <c r="D543" s="6" t="n">
        <f aca="false">E543+F543+G543</f>
        <v>4</v>
      </c>
      <c r="E543" s="6" t="n">
        <v>1</v>
      </c>
      <c r="F543" s="6" t="n">
        <v>0</v>
      </c>
      <c r="G543" s="8" t="n">
        <v>3</v>
      </c>
      <c r="H543" s="6" t="s">
        <v>2312</v>
      </c>
      <c r="I543" s="6" t="s">
        <v>1445</v>
      </c>
      <c r="J543" s="2" t="s">
        <v>3011</v>
      </c>
      <c r="K543" s="2" t="s">
        <v>92</v>
      </c>
      <c r="L543" s="2" t="s">
        <v>93</v>
      </c>
      <c r="M543" s="2"/>
      <c r="N543" s="2" t="s">
        <v>184</v>
      </c>
      <c r="O543" s="2" t="s">
        <v>3012</v>
      </c>
      <c r="P543" s="2" t="s">
        <v>3013</v>
      </c>
      <c r="Q543" s="6" t="s">
        <v>97</v>
      </c>
      <c r="R543" s="6" t="s">
        <v>85</v>
      </c>
      <c r="S543" s="9" t="s">
        <v>3014</v>
      </c>
      <c r="T543" s="6"/>
      <c r="U543" s="6"/>
      <c r="V543" s="10"/>
      <c r="W543" s="10" t="s">
        <v>88</v>
      </c>
      <c r="X543" s="10"/>
      <c r="Y543" s="10"/>
    </row>
    <row r="544" customFormat="false" ht="23.85" hidden="false" customHeight="false" outlineLevel="0" collapsed="false">
      <c r="A544" s="6" t="n">
        <v>543</v>
      </c>
      <c r="B544" s="7" t="s">
        <v>2456</v>
      </c>
      <c r="C544" s="6" t="str">
        <f aca="false">IF(U544&lt;&gt;"","Client",IF(D544&gt;=9,"A",IF(D544&gt;=7,"B","C")))</f>
        <v>C</v>
      </c>
      <c r="D544" s="6" t="n">
        <f aca="false">E544+F544+G544</f>
        <v>4</v>
      </c>
      <c r="E544" s="6" t="n">
        <v>1</v>
      </c>
      <c r="F544" s="6" t="n">
        <v>0</v>
      </c>
      <c r="G544" s="8" t="n">
        <v>3</v>
      </c>
      <c r="H544" s="6" t="s">
        <v>1598</v>
      </c>
      <c r="I544" s="6" t="s">
        <v>1445</v>
      </c>
      <c r="J544" s="2" t="s">
        <v>3015</v>
      </c>
      <c r="K544" s="2" t="s">
        <v>92</v>
      </c>
      <c r="L544" s="2" t="s">
        <v>93</v>
      </c>
      <c r="M544" s="2"/>
      <c r="N544" s="2" t="s">
        <v>184</v>
      </c>
      <c r="O544" s="2" t="s">
        <v>3016</v>
      </c>
      <c r="P544" s="2" t="s">
        <v>3017</v>
      </c>
      <c r="Q544" s="6" t="s">
        <v>160</v>
      </c>
      <c r="R544" s="6" t="s">
        <v>85</v>
      </c>
      <c r="S544" s="9" t="s">
        <v>3018</v>
      </c>
      <c r="T544" s="6"/>
      <c r="U544" s="6"/>
      <c r="V544" s="10"/>
      <c r="W544" s="10" t="s">
        <v>88</v>
      </c>
      <c r="X544" s="10"/>
      <c r="Y544" s="10"/>
    </row>
    <row r="545" customFormat="false" ht="23.85" hidden="false" customHeight="false" outlineLevel="0" collapsed="false">
      <c r="A545" s="6" t="n">
        <v>544</v>
      </c>
      <c r="B545" s="7" t="s">
        <v>3019</v>
      </c>
      <c r="C545" s="6" t="str">
        <f aca="false">IF(U545&lt;&gt;"","Client",IF(D545&gt;=9,"A",IF(D545&gt;=7,"B","C")))</f>
        <v>C</v>
      </c>
      <c r="D545" s="6" t="n">
        <f aca="false">E545+F545+G545</f>
        <v>4</v>
      </c>
      <c r="E545" s="6" t="n">
        <v>1</v>
      </c>
      <c r="F545" s="6" t="n">
        <v>0</v>
      </c>
      <c r="G545" s="8" t="n">
        <v>3</v>
      </c>
      <c r="H545" s="6" t="s">
        <v>1583</v>
      </c>
      <c r="I545" s="6" t="s">
        <v>1445</v>
      </c>
      <c r="J545" s="2" t="s">
        <v>3020</v>
      </c>
      <c r="K545" s="2" t="s">
        <v>577</v>
      </c>
      <c r="L545" s="2" t="s">
        <v>127</v>
      </c>
      <c r="M545" s="2"/>
      <c r="N545" s="2" t="s">
        <v>3021</v>
      </c>
      <c r="O545" s="2" t="s">
        <v>3022</v>
      </c>
      <c r="P545" s="2" t="s">
        <v>3023</v>
      </c>
      <c r="Q545" s="6" t="s">
        <v>256</v>
      </c>
      <c r="R545" s="6" t="s">
        <v>85</v>
      </c>
      <c r="S545" s="9" t="s">
        <v>309</v>
      </c>
      <c r="T545" s="9" t="s">
        <v>3024</v>
      </c>
      <c r="U545" s="6"/>
      <c r="V545" s="10"/>
      <c r="W545" s="10" t="s">
        <v>88</v>
      </c>
      <c r="X545" s="10"/>
      <c r="Y545" s="10"/>
    </row>
    <row r="546" customFormat="false" ht="23.85" hidden="false" customHeight="false" outlineLevel="0" collapsed="false">
      <c r="A546" s="6" t="n">
        <v>545</v>
      </c>
      <c r="B546" s="7" t="s">
        <v>3025</v>
      </c>
      <c r="C546" s="6" t="str">
        <f aca="false">IF(U546&lt;&gt;"","Client",IF(D546&gt;=9,"A",IF(D546&gt;=7,"B","C")))</f>
        <v>C</v>
      </c>
      <c r="D546" s="6" t="n">
        <f aca="false">E546+F546+G546</f>
        <v>4</v>
      </c>
      <c r="E546" s="6" t="n">
        <v>1</v>
      </c>
      <c r="F546" s="6" t="n">
        <v>0</v>
      </c>
      <c r="G546" s="8" t="n">
        <v>3</v>
      </c>
      <c r="H546" s="6" t="s">
        <v>1215</v>
      </c>
      <c r="I546" s="6" t="s">
        <v>1445</v>
      </c>
      <c r="J546" s="2" t="s">
        <v>3026</v>
      </c>
      <c r="K546" s="2" t="s">
        <v>730</v>
      </c>
      <c r="L546" s="2" t="s">
        <v>102</v>
      </c>
      <c r="M546" s="2"/>
      <c r="N546" s="2" t="s">
        <v>338</v>
      </c>
      <c r="O546" s="2" t="s">
        <v>1447</v>
      </c>
      <c r="P546" s="2" t="s">
        <v>3027</v>
      </c>
      <c r="Q546" s="6" t="s">
        <v>504</v>
      </c>
      <c r="R546" s="6" t="s">
        <v>106</v>
      </c>
      <c r="S546" s="9" t="s">
        <v>1449</v>
      </c>
      <c r="T546" s="6"/>
      <c r="U546" s="6"/>
      <c r="V546" s="10"/>
      <c r="W546" s="10" t="s">
        <v>88</v>
      </c>
      <c r="X546" s="10"/>
      <c r="Y546" s="10"/>
    </row>
    <row r="547" customFormat="false" ht="23.85" hidden="false" customHeight="false" outlineLevel="0" collapsed="false">
      <c r="A547" s="6" t="n">
        <v>546</v>
      </c>
      <c r="B547" s="7" t="s">
        <v>3028</v>
      </c>
      <c r="C547" s="6" t="str">
        <f aca="false">IF(U547&lt;&gt;"","Client",IF(D547&gt;=9,"A",IF(D547&gt;=7,"B","C")))</f>
        <v>C</v>
      </c>
      <c r="D547" s="6" t="n">
        <f aca="false">E547+F547+G547</f>
        <v>4</v>
      </c>
      <c r="E547" s="6" t="n">
        <v>1</v>
      </c>
      <c r="F547" s="6" t="n">
        <v>0</v>
      </c>
      <c r="G547" s="8" t="n">
        <v>3</v>
      </c>
      <c r="H547" s="6" t="s">
        <v>1215</v>
      </c>
      <c r="I547" s="6" t="s">
        <v>1445</v>
      </c>
      <c r="J547" s="2" t="s">
        <v>3029</v>
      </c>
      <c r="K547" s="2" t="s">
        <v>664</v>
      </c>
      <c r="L547" s="2" t="s">
        <v>102</v>
      </c>
      <c r="M547" s="2"/>
      <c r="N547" s="2" t="s">
        <v>103</v>
      </c>
      <c r="O547" s="2" t="s">
        <v>725</v>
      </c>
      <c r="P547" s="2" t="s">
        <v>3030</v>
      </c>
      <c r="Q547" s="6" t="s">
        <v>389</v>
      </c>
      <c r="R547" s="6" t="s">
        <v>106</v>
      </c>
      <c r="S547" s="9" t="s">
        <v>672</v>
      </c>
      <c r="T547" s="6"/>
      <c r="U547" s="6"/>
      <c r="V547" s="10"/>
      <c r="W547" s="10" t="s">
        <v>88</v>
      </c>
      <c r="X547" s="10"/>
      <c r="Y547" s="10"/>
    </row>
    <row r="548" customFormat="false" ht="23.85" hidden="false" customHeight="false" outlineLevel="0" collapsed="false">
      <c r="A548" s="6" t="n">
        <v>547</v>
      </c>
      <c r="B548" s="7" t="s">
        <v>3031</v>
      </c>
      <c r="C548" s="6" t="str">
        <f aca="false">IF(U548&lt;&gt;"","Client",IF(D548&gt;=9,"A",IF(D548&gt;=7,"B","C")))</f>
        <v>C</v>
      </c>
      <c r="D548" s="6" t="n">
        <f aca="false">E548+F548+G548</f>
        <v>4</v>
      </c>
      <c r="E548" s="6" t="n">
        <v>1</v>
      </c>
      <c r="F548" s="6" t="n">
        <v>0</v>
      </c>
      <c r="G548" s="8" t="n">
        <v>3</v>
      </c>
      <c r="H548" s="6" t="s">
        <v>1215</v>
      </c>
      <c r="I548" s="6" t="s">
        <v>1445</v>
      </c>
      <c r="J548" s="2" t="s">
        <v>3029</v>
      </c>
      <c r="K548" s="2" t="s">
        <v>3032</v>
      </c>
      <c r="L548" s="2" t="s">
        <v>167</v>
      </c>
      <c r="M548" s="2"/>
      <c r="N548" s="2" t="s">
        <v>1675</v>
      </c>
      <c r="O548" s="2" t="s">
        <v>3033</v>
      </c>
      <c r="P548" s="2" t="s">
        <v>3034</v>
      </c>
      <c r="Q548" s="6" t="s">
        <v>308</v>
      </c>
      <c r="R548" s="6" t="s">
        <v>85</v>
      </c>
      <c r="S548" s="9" t="s">
        <v>3035</v>
      </c>
      <c r="T548" s="6"/>
      <c r="U548" s="6"/>
      <c r="V548" s="10"/>
      <c r="W548" s="10" t="s">
        <v>88</v>
      </c>
      <c r="X548" s="10"/>
      <c r="Y548" s="10"/>
    </row>
    <row r="549" customFormat="false" ht="23.85" hidden="false" customHeight="false" outlineLevel="0" collapsed="false">
      <c r="A549" s="6" t="n">
        <v>548</v>
      </c>
      <c r="B549" s="7" t="s">
        <v>3036</v>
      </c>
      <c r="C549" s="6" t="str">
        <f aca="false">IF(U549&lt;&gt;"","Client",IF(D549&gt;=9,"A",IF(D549&gt;=7,"B","C")))</f>
        <v>C</v>
      </c>
      <c r="D549" s="6" t="n">
        <f aca="false">E549+F549+G549</f>
        <v>4</v>
      </c>
      <c r="E549" s="6" t="n">
        <v>1</v>
      </c>
      <c r="F549" s="6" t="n">
        <v>0</v>
      </c>
      <c r="G549" s="8" t="n">
        <v>3</v>
      </c>
      <c r="H549" s="6" t="s">
        <v>3000</v>
      </c>
      <c r="I549" s="6" t="s">
        <v>1445</v>
      </c>
      <c r="J549" s="2" t="s">
        <v>3036</v>
      </c>
      <c r="K549" s="2" t="s">
        <v>730</v>
      </c>
      <c r="L549" s="2" t="s">
        <v>102</v>
      </c>
      <c r="M549" s="2"/>
      <c r="N549" s="2" t="s">
        <v>338</v>
      </c>
      <c r="O549" s="2" t="s">
        <v>1447</v>
      </c>
      <c r="P549" s="2" t="s">
        <v>3037</v>
      </c>
      <c r="Q549" s="6" t="s">
        <v>1162</v>
      </c>
      <c r="R549" s="6" t="s">
        <v>106</v>
      </c>
      <c r="S549" s="9" t="s">
        <v>733</v>
      </c>
      <c r="T549" s="6"/>
      <c r="U549" s="6"/>
      <c r="V549" s="10"/>
      <c r="W549" s="10" t="s">
        <v>88</v>
      </c>
      <c r="X549" s="10"/>
      <c r="Y549" s="10"/>
    </row>
    <row r="550" customFormat="false" ht="23.85" hidden="false" customHeight="false" outlineLevel="0" collapsed="false">
      <c r="A550" s="6" t="n">
        <v>549</v>
      </c>
      <c r="B550" s="7" t="s">
        <v>3038</v>
      </c>
      <c r="C550" s="6" t="str">
        <f aca="false">IF(U550&lt;&gt;"","Client",IF(D550&gt;=9,"A",IF(D550&gt;=7,"B","C")))</f>
        <v>C</v>
      </c>
      <c r="D550" s="6" t="n">
        <f aca="false">E550+F550+G550</f>
        <v>4</v>
      </c>
      <c r="E550" s="6" t="n">
        <v>1</v>
      </c>
      <c r="F550" s="6" t="n">
        <v>0</v>
      </c>
      <c r="G550" s="8" t="n">
        <v>3</v>
      </c>
      <c r="H550" s="6" t="s">
        <v>1583</v>
      </c>
      <c r="I550" s="6" t="s">
        <v>1445</v>
      </c>
      <c r="J550" s="2" t="s">
        <v>3039</v>
      </c>
      <c r="K550" s="2" t="s">
        <v>92</v>
      </c>
      <c r="L550" s="2" t="s">
        <v>93</v>
      </c>
      <c r="M550" s="2"/>
      <c r="N550" s="2" t="s">
        <v>184</v>
      </c>
      <c r="O550" s="2" t="s">
        <v>3040</v>
      </c>
      <c r="P550" s="2" t="s">
        <v>3041</v>
      </c>
      <c r="Q550" s="6" t="s">
        <v>97</v>
      </c>
      <c r="R550" s="6" t="s">
        <v>85</v>
      </c>
      <c r="S550" s="9" t="s">
        <v>3042</v>
      </c>
      <c r="T550" s="6"/>
      <c r="U550" s="6"/>
      <c r="V550" s="10"/>
      <c r="W550" s="10" t="s">
        <v>88</v>
      </c>
      <c r="X550" s="10"/>
      <c r="Y550" s="10"/>
    </row>
    <row r="551" customFormat="false" ht="23.85" hidden="false" customHeight="false" outlineLevel="0" collapsed="false">
      <c r="A551" s="6" t="n">
        <v>550</v>
      </c>
      <c r="B551" s="7" t="s">
        <v>3043</v>
      </c>
      <c r="C551" s="6" t="str">
        <f aca="false">IF(U551&lt;&gt;"","Client",IF(D551&gt;=9,"A",IF(D551&gt;=7,"B","C")))</f>
        <v>C</v>
      </c>
      <c r="D551" s="6" t="n">
        <f aca="false">E551+F551+G551</f>
        <v>4</v>
      </c>
      <c r="E551" s="6" t="n">
        <v>1</v>
      </c>
      <c r="F551" s="6" t="n">
        <v>0</v>
      </c>
      <c r="G551" s="8" t="n">
        <v>3</v>
      </c>
      <c r="H551" s="6" t="s">
        <v>1215</v>
      </c>
      <c r="I551" s="6" t="s">
        <v>1445</v>
      </c>
      <c r="J551" s="2" t="s">
        <v>3044</v>
      </c>
      <c r="K551" s="2" t="s">
        <v>3045</v>
      </c>
      <c r="L551" s="2" t="s">
        <v>102</v>
      </c>
      <c r="M551" s="2" t="s">
        <v>401</v>
      </c>
      <c r="N551" s="2" t="s">
        <v>103</v>
      </c>
      <c r="O551" s="2" t="s">
        <v>3046</v>
      </c>
      <c r="P551" s="2" t="s">
        <v>3047</v>
      </c>
      <c r="Q551" s="6" t="s">
        <v>130</v>
      </c>
      <c r="R551" s="6" t="s">
        <v>85</v>
      </c>
      <c r="S551" s="9" t="s">
        <v>733</v>
      </c>
      <c r="T551" s="9" t="s">
        <v>3048</v>
      </c>
      <c r="U551" s="6"/>
      <c r="V551" s="10"/>
      <c r="W551" s="10" t="s">
        <v>88</v>
      </c>
      <c r="X551" s="10"/>
      <c r="Y551" s="10"/>
    </row>
    <row r="552" customFormat="false" ht="23.85" hidden="false" customHeight="false" outlineLevel="0" collapsed="false">
      <c r="A552" s="6" t="n">
        <v>551</v>
      </c>
      <c r="B552" s="7" t="s">
        <v>3049</v>
      </c>
      <c r="C552" s="6" t="str">
        <f aca="false">IF(U552&lt;&gt;"","Client",IF(D552&gt;=9,"A",IF(D552&gt;=7,"B","C")))</f>
        <v>C</v>
      </c>
      <c r="D552" s="6" t="n">
        <f aca="false">E552+F552+G552</f>
        <v>4</v>
      </c>
      <c r="E552" s="6" t="n">
        <v>1</v>
      </c>
      <c r="F552" s="6" t="n">
        <v>0</v>
      </c>
      <c r="G552" s="8" t="n">
        <v>3</v>
      </c>
      <c r="H552" s="6" t="s">
        <v>3000</v>
      </c>
      <c r="I552" s="6" t="s">
        <v>1445</v>
      </c>
      <c r="J552" s="2" t="s">
        <v>3050</v>
      </c>
      <c r="K552" s="2" t="s">
        <v>3051</v>
      </c>
      <c r="L552" s="2" t="s">
        <v>304</v>
      </c>
      <c r="M552" s="2"/>
      <c r="N552" s="2" t="s">
        <v>2668</v>
      </c>
      <c r="O552" s="2" t="s">
        <v>3052</v>
      </c>
      <c r="P552" s="2" t="s">
        <v>3053</v>
      </c>
      <c r="Q552" s="6" t="s">
        <v>256</v>
      </c>
      <c r="R552" s="6" t="s">
        <v>85</v>
      </c>
      <c r="S552" s="9" t="s">
        <v>2778</v>
      </c>
      <c r="T552" s="9" t="s">
        <v>397</v>
      </c>
      <c r="U552" s="6"/>
      <c r="V552" s="10"/>
      <c r="W552" s="10" t="s">
        <v>88</v>
      </c>
      <c r="X552" s="10"/>
      <c r="Y552" s="10"/>
    </row>
    <row r="553" customFormat="false" ht="23.85" hidden="false" customHeight="false" outlineLevel="0" collapsed="false">
      <c r="A553" s="6" t="n">
        <v>552</v>
      </c>
      <c r="B553" s="7" t="s">
        <v>3054</v>
      </c>
      <c r="C553" s="6" t="str">
        <f aca="false">IF(U553&lt;&gt;"","Client",IF(D553&gt;=9,"A",IF(D553&gt;=7,"B","C")))</f>
        <v>C</v>
      </c>
      <c r="D553" s="6" t="n">
        <f aca="false">E553+F553+G553</f>
        <v>4</v>
      </c>
      <c r="E553" s="6" t="n">
        <v>1</v>
      </c>
      <c r="F553" s="6" t="n">
        <v>0</v>
      </c>
      <c r="G553" s="8" t="n">
        <v>3</v>
      </c>
      <c r="H553" s="6" t="s">
        <v>1598</v>
      </c>
      <c r="I553" s="6" t="s">
        <v>1445</v>
      </c>
      <c r="J553" s="2" t="s">
        <v>2317</v>
      </c>
      <c r="K553" s="2" t="s">
        <v>724</v>
      </c>
      <c r="L553" s="2" t="s">
        <v>102</v>
      </c>
      <c r="M553" s="2"/>
      <c r="N553" s="2" t="s">
        <v>168</v>
      </c>
      <c r="O553" s="2" t="s">
        <v>3055</v>
      </c>
      <c r="P553" s="2" t="s">
        <v>3056</v>
      </c>
      <c r="Q553" s="6" t="s">
        <v>967</v>
      </c>
      <c r="R553" s="6" t="s">
        <v>106</v>
      </c>
      <c r="S553" s="9" t="s">
        <v>3057</v>
      </c>
      <c r="T553" s="6"/>
      <c r="U553" s="6"/>
      <c r="V553" s="10"/>
      <c r="W553" s="10" t="s">
        <v>88</v>
      </c>
      <c r="X553" s="10"/>
      <c r="Y553" s="10"/>
    </row>
    <row r="554" customFormat="false" ht="23.85" hidden="false" customHeight="false" outlineLevel="0" collapsed="false">
      <c r="A554" s="6" t="n">
        <v>553</v>
      </c>
      <c r="B554" s="7" t="s">
        <v>3058</v>
      </c>
      <c r="C554" s="6" t="str">
        <f aca="false">IF(U554&lt;&gt;"","Client",IF(D554&gt;=9,"A",IF(D554&gt;=7,"B","C")))</f>
        <v>C</v>
      </c>
      <c r="D554" s="6" t="n">
        <f aca="false">E554+F554+G554</f>
        <v>4</v>
      </c>
      <c r="E554" s="6" t="n">
        <v>1</v>
      </c>
      <c r="F554" s="6" t="n">
        <v>0</v>
      </c>
      <c r="G554" s="8" t="n">
        <v>3</v>
      </c>
      <c r="H554" s="6" t="s">
        <v>1215</v>
      </c>
      <c r="I554" s="6" t="s">
        <v>1445</v>
      </c>
      <c r="J554" s="2" t="s">
        <v>3059</v>
      </c>
      <c r="K554" s="2" t="s">
        <v>3060</v>
      </c>
      <c r="L554" s="2" t="s">
        <v>102</v>
      </c>
      <c r="M554" s="2"/>
      <c r="N554" s="2" t="s">
        <v>338</v>
      </c>
      <c r="O554" s="2" t="s">
        <v>1447</v>
      </c>
      <c r="P554" s="2" t="s">
        <v>3061</v>
      </c>
      <c r="Q554" s="6" t="s">
        <v>1943</v>
      </c>
      <c r="R554" s="6" t="s">
        <v>85</v>
      </c>
      <c r="S554" s="9" t="s">
        <v>3062</v>
      </c>
      <c r="T554" s="6"/>
      <c r="U554" s="6"/>
      <c r="V554" s="10"/>
      <c r="W554" s="10" t="s">
        <v>88</v>
      </c>
      <c r="X554" s="10"/>
      <c r="Y554" s="10"/>
    </row>
    <row r="555" customFormat="false" ht="23.85" hidden="false" customHeight="false" outlineLevel="0" collapsed="false">
      <c r="A555" s="6" t="n">
        <v>554</v>
      </c>
      <c r="B555" s="7" t="s">
        <v>3063</v>
      </c>
      <c r="C555" s="6" t="str">
        <f aca="false">IF(U555&lt;&gt;"","Client",IF(D555&gt;=9,"A",IF(D555&gt;=7,"B","C")))</f>
        <v>C</v>
      </c>
      <c r="D555" s="6" t="n">
        <f aca="false">E555+F555+G555</f>
        <v>4</v>
      </c>
      <c r="E555" s="6" t="n">
        <v>1</v>
      </c>
      <c r="F555" s="6" t="n">
        <v>0</v>
      </c>
      <c r="G555" s="8" t="n">
        <v>3</v>
      </c>
      <c r="H555" s="6" t="s">
        <v>1644</v>
      </c>
      <c r="I555" s="6" t="s">
        <v>1445</v>
      </c>
      <c r="J555" s="2" t="s">
        <v>3064</v>
      </c>
      <c r="K555" s="2" t="s">
        <v>3065</v>
      </c>
      <c r="L555" s="2" t="s">
        <v>652</v>
      </c>
      <c r="M555" s="2"/>
      <c r="N555" s="2" t="s">
        <v>1668</v>
      </c>
      <c r="O555" s="2" t="s">
        <v>3066</v>
      </c>
      <c r="P555" s="2" t="s">
        <v>3067</v>
      </c>
      <c r="Q555" s="6" t="s">
        <v>642</v>
      </c>
      <c r="R555" s="6" t="s">
        <v>106</v>
      </c>
      <c r="S555" s="9" t="s">
        <v>3068</v>
      </c>
      <c r="T555" s="6"/>
      <c r="U555" s="6"/>
      <c r="V555" s="10"/>
      <c r="W555" s="10" t="s">
        <v>88</v>
      </c>
      <c r="X555" s="10"/>
      <c r="Y555" s="10"/>
    </row>
    <row r="556" customFormat="false" ht="23.85" hidden="false" customHeight="false" outlineLevel="0" collapsed="false">
      <c r="A556" s="6" t="n">
        <v>555</v>
      </c>
      <c r="B556" s="7" t="s">
        <v>3069</v>
      </c>
      <c r="C556" s="6" t="str">
        <f aca="false">IF(U556&lt;&gt;"","Client",IF(D556&gt;=9,"A",IF(D556&gt;=7,"B","C")))</f>
        <v>C</v>
      </c>
      <c r="D556" s="6" t="n">
        <f aca="false">E556+F556+G556</f>
        <v>4</v>
      </c>
      <c r="E556" s="6" t="n">
        <v>2</v>
      </c>
      <c r="F556" s="6" t="n">
        <v>0</v>
      </c>
      <c r="G556" s="8" t="n">
        <v>2</v>
      </c>
      <c r="H556" s="6" t="s">
        <v>507</v>
      </c>
      <c r="I556" s="6" t="s">
        <v>1445</v>
      </c>
      <c r="J556" s="2" t="s">
        <v>3070</v>
      </c>
      <c r="K556" s="2" t="s">
        <v>880</v>
      </c>
      <c r="L556" s="2" t="s">
        <v>102</v>
      </c>
      <c r="M556" s="2"/>
      <c r="N556" s="2" t="s">
        <v>247</v>
      </c>
      <c r="O556" s="2" t="s">
        <v>881</v>
      </c>
      <c r="P556" s="2" t="s">
        <v>3071</v>
      </c>
      <c r="Q556" s="6" t="s">
        <v>2022</v>
      </c>
      <c r="R556" s="6" t="s">
        <v>106</v>
      </c>
      <c r="S556" s="9" t="s">
        <v>884</v>
      </c>
      <c r="T556" s="6"/>
      <c r="U556" s="6"/>
      <c r="V556" s="10"/>
      <c r="W556" s="10" t="s">
        <v>88</v>
      </c>
      <c r="X556" s="10"/>
      <c r="Y556" s="10"/>
    </row>
    <row r="557" customFormat="false" ht="23.85" hidden="false" customHeight="false" outlineLevel="0" collapsed="false">
      <c r="A557" s="6" t="n">
        <v>556</v>
      </c>
      <c r="B557" s="7" t="s">
        <v>3072</v>
      </c>
      <c r="C557" s="6" t="str">
        <f aca="false">IF(U557&lt;&gt;"","Client",IF(D557&gt;=9,"A",IF(D557&gt;=7,"B","C")))</f>
        <v>C</v>
      </c>
      <c r="D557" s="6" t="n">
        <f aca="false">E557+F557+G557</f>
        <v>4</v>
      </c>
      <c r="E557" s="6" t="n">
        <v>2</v>
      </c>
      <c r="F557" s="6" t="n">
        <v>0</v>
      </c>
      <c r="G557" s="8" t="n">
        <v>2</v>
      </c>
      <c r="H557" s="6" t="s">
        <v>507</v>
      </c>
      <c r="I557" s="6" t="s">
        <v>1445</v>
      </c>
      <c r="J557" s="2" t="s">
        <v>3073</v>
      </c>
      <c r="K557" s="2" t="s">
        <v>3074</v>
      </c>
      <c r="L557" s="2" t="s">
        <v>167</v>
      </c>
      <c r="M557" s="2"/>
      <c r="N557" s="2" t="s">
        <v>247</v>
      </c>
      <c r="O557" s="2" t="s">
        <v>832</v>
      </c>
      <c r="P557" s="2" t="s">
        <v>3075</v>
      </c>
      <c r="Q557" s="6" t="s">
        <v>160</v>
      </c>
      <c r="R557" s="6" t="s">
        <v>85</v>
      </c>
      <c r="S557" s="9" t="s">
        <v>3076</v>
      </c>
      <c r="T557" s="6"/>
      <c r="U557" s="6"/>
      <c r="V557" s="10"/>
      <c r="W557" s="10" t="s">
        <v>88</v>
      </c>
      <c r="X557" s="10"/>
      <c r="Y557" s="10"/>
    </row>
    <row r="558" customFormat="false" ht="23.85" hidden="false" customHeight="false" outlineLevel="0" collapsed="false">
      <c r="A558" s="6" t="n">
        <v>557</v>
      </c>
      <c r="B558" s="7" t="s">
        <v>3077</v>
      </c>
      <c r="C558" s="6" t="str">
        <f aca="false">IF(U558&lt;&gt;"","Client",IF(D558&gt;=9,"A",IF(D558&gt;=7,"B","C")))</f>
        <v>C</v>
      </c>
      <c r="D558" s="6" t="n">
        <f aca="false">E558+F558+G558</f>
        <v>4</v>
      </c>
      <c r="E558" s="6" t="n">
        <v>2</v>
      </c>
      <c r="F558" s="6" t="n">
        <v>0</v>
      </c>
      <c r="G558" s="8" t="n">
        <v>2</v>
      </c>
      <c r="H558" s="6" t="s">
        <v>507</v>
      </c>
      <c r="I558" s="6" t="s">
        <v>1445</v>
      </c>
      <c r="J558" s="2" t="s">
        <v>3078</v>
      </c>
      <c r="K558" s="2" t="s">
        <v>3079</v>
      </c>
      <c r="L558" s="2" t="s">
        <v>167</v>
      </c>
      <c r="M558" s="2"/>
      <c r="N558" s="2" t="s">
        <v>802</v>
      </c>
      <c r="O558" s="2" t="s">
        <v>3080</v>
      </c>
      <c r="P558" s="2" t="s">
        <v>3081</v>
      </c>
      <c r="Q558" s="6" t="s">
        <v>504</v>
      </c>
      <c r="R558" s="6" t="s">
        <v>85</v>
      </c>
      <c r="S558" s="9" t="s">
        <v>3082</v>
      </c>
      <c r="T558" s="6"/>
      <c r="U558" s="6"/>
      <c r="V558" s="10"/>
      <c r="W558" s="10" t="s">
        <v>88</v>
      </c>
      <c r="X558" s="10"/>
      <c r="Y558" s="10"/>
    </row>
    <row r="559" customFormat="false" ht="23.85" hidden="false" customHeight="false" outlineLevel="0" collapsed="false">
      <c r="A559" s="6" t="n">
        <v>558</v>
      </c>
      <c r="B559" s="7" t="s">
        <v>3083</v>
      </c>
      <c r="C559" s="6" t="str">
        <f aca="false">IF(U559&lt;&gt;"","Client",IF(D559&gt;=9,"A",IF(D559&gt;=7,"B","C")))</f>
        <v>C</v>
      </c>
      <c r="D559" s="6" t="n">
        <f aca="false">E559+F559+G559</f>
        <v>4</v>
      </c>
      <c r="E559" s="6" t="n">
        <v>2</v>
      </c>
      <c r="F559" s="6" t="n">
        <v>0</v>
      </c>
      <c r="G559" s="8" t="n">
        <v>2</v>
      </c>
      <c r="H559" s="6" t="s">
        <v>507</v>
      </c>
      <c r="I559" s="6" t="s">
        <v>1445</v>
      </c>
      <c r="J559" s="2" t="s">
        <v>3084</v>
      </c>
      <c r="K559" s="2" t="s">
        <v>3085</v>
      </c>
      <c r="L559" s="2" t="s">
        <v>127</v>
      </c>
      <c r="M559" s="2"/>
      <c r="N559" s="2" t="s">
        <v>247</v>
      </c>
      <c r="O559" s="2" t="s">
        <v>3086</v>
      </c>
      <c r="P559" s="2" t="s">
        <v>3087</v>
      </c>
      <c r="Q559" s="6" t="s">
        <v>834</v>
      </c>
      <c r="R559" s="6" t="s">
        <v>106</v>
      </c>
      <c r="S559" s="9" t="s">
        <v>3088</v>
      </c>
      <c r="T559" s="6"/>
      <c r="U559" s="6"/>
      <c r="V559" s="10"/>
      <c r="W559" s="10" t="s">
        <v>88</v>
      </c>
      <c r="X559" s="10"/>
      <c r="Y559" s="10"/>
    </row>
    <row r="560" customFormat="false" ht="23.85" hidden="false" customHeight="false" outlineLevel="0" collapsed="false">
      <c r="A560" s="6" t="n">
        <v>559</v>
      </c>
      <c r="B560" s="7" t="s">
        <v>3089</v>
      </c>
      <c r="C560" s="6" t="str">
        <f aca="false">IF(U560&lt;&gt;"","Client",IF(D560&gt;=9,"A",IF(D560&gt;=7,"B","C")))</f>
        <v>C</v>
      </c>
      <c r="D560" s="6" t="n">
        <f aca="false">E560+F560+G560</f>
        <v>4</v>
      </c>
      <c r="E560" s="6" t="n">
        <v>2</v>
      </c>
      <c r="F560" s="6" t="n">
        <v>0</v>
      </c>
      <c r="G560" s="8" t="n">
        <v>2</v>
      </c>
      <c r="H560" s="6" t="s">
        <v>507</v>
      </c>
      <c r="I560" s="6" t="s">
        <v>1445</v>
      </c>
      <c r="J560" s="2" t="s">
        <v>3090</v>
      </c>
      <c r="K560" s="2" t="s">
        <v>724</v>
      </c>
      <c r="L560" s="2" t="s">
        <v>102</v>
      </c>
      <c r="M560" s="2"/>
      <c r="N560" s="2" t="s">
        <v>247</v>
      </c>
      <c r="O560" s="2" t="s">
        <v>1719</v>
      </c>
      <c r="P560" s="2" t="s">
        <v>1720</v>
      </c>
      <c r="Q560" s="6" t="s">
        <v>97</v>
      </c>
      <c r="R560" s="6" t="s">
        <v>98</v>
      </c>
      <c r="S560" s="9" t="s">
        <v>108</v>
      </c>
      <c r="T560" s="6"/>
      <c r="U560" s="6"/>
      <c r="V560" s="10"/>
      <c r="W560" s="10" t="s">
        <v>88</v>
      </c>
      <c r="X560" s="10"/>
      <c r="Y560" s="10"/>
    </row>
    <row r="561" customFormat="false" ht="23.85" hidden="false" customHeight="false" outlineLevel="0" collapsed="false">
      <c r="A561" s="6" t="n">
        <v>560</v>
      </c>
      <c r="B561" s="7" t="s">
        <v>3091</v>
      </c>
      <c r="C561" s="6" t="str">
        <f aca="false">IF(U561&lt;&gt;"","Client",IF(D561&gt;=9,"A",IF(D561&gt;=7,"B","C")))</f>
        <v>C</v>
      </c>
      <c r="D561" s="6" t="n">
        <f aca="false">E561+F561+G561</f>
        <v>4</v>
      </c>
      <c r="E561" s="6" t="n">
        <v>2</v>
      </c>
      <c r="F561" s="6" t="n">
        <v>0</v>
      </c>
      <c r="G561" s="8" t="n">
        <v>2</v>
      </c>
      <c r="H561" s="6" t="s">
        <v>1127</v>
      </c>
      <c r="I561" s="6" t="s">
        <v>1445</v>
      </c>
      <c r="J561" s="2" t="s">
        <v>3091</v>
      </c>
      <c r="K561" s="2" t="s">
        <v>1255</v>
      </c>
      <c r="L561" s="2" t="s">
        <v>127</v>
      </c>
      <c r="M561" s="2"/>
      <c r="N561" s="2" t="s">
        <v>802</v>
      </c>
      <c r="O561" s="2" t="s">
        <v>1256</v>
      </c>
      <c r="P561" s="2" t="s">
        <v>3092</v>
      </c>
      <c r="Q561" s="6" t="s">
        <v>97</v>
      </c>
      <c r="R561" s="6" t="s">
        <v>106</v>
      </c>
      <c r="S561" s="9" t="s">
        <v>1258</v>
      </c>
      <c r="T561" s="6"/>
      <c r="U561" s="6"/>
      <c r="V561" s="10"/>
      <c r="W561" s="10" t="s">
        <v>88</v>
      </c>
      <c r="X561" s="10"/>
      <c r="Y561" s="10"/>
    </row>
    <row r="562" customFormat="false" ht="23.85" hidden="false" customHeight="false" outlineLevel="0" collapsed="false">
      <c r="A562" s="6" t="n">
        <v>561</v>
      </c>
      <c r="B562" s="7" t="s">
        <v>3093</v>
      </c>
      <c r="C562" s="6" t="str">
        <f aca="false">IF(U562&lt;&gt;"","Client",IF(D562&gt;=9,"A",IF(D562&gt;=7,"B","C")))</f>
        <v>C</v>
      </c>
      <c r="D562" s="6" t="n">
        <f aca="false">E562+F562+G562</f>
        <v>4</v>
      </c>
      <c r="E562" s="6" t="n">
        <v>2</v>
      </c>
      <c r="F562" s="6" t="n">
        <v>0</v>
      </c>
      <c r="G562" s="8" t="n">
        <v>2</v>
      </c>
      <c r="H562" s="6" t="s">
        <v>507</v>
      </c>
      <c r="I562" s="6" t="s">
        <v>1445</v>
      </c>
      <c r="J562" s="2" t="s">
        <v>3093</v>
      </c>
      <c r="K562" s="2" t="s">
        <v>3094</v>
      </c>
      <c r="L562" s="2" t="s">
        <v>652</v>
      </c>
      <c r="M562" s="2"/>
      <c r="N562" s="2" t="s">
        <v>247</v>
      </c>
      <c r="O562" s="2" t="s">
        <v>3095</v>
      </c>
      <c r="P562" s="2" t="s">
        <v>3096</v>
      </c>
      <c r="Q562" s="6" t="s">
        <v>383</v>
      </c>
      <c r="R562" s="6" t="s">
        <v>106</v>
      </c>
      <c r="S562" s="9" t="s">
        <v>3097</v>
      </c>
      <c r="T562" s="6"/>
      <c r="U562" s="6"/>
      <c r="V562" s="10"/>
      <c r="W562" s="10" t="s">
        <v>88</v>
      </c>
      <c r="X562" s="10"/>
      <c r="Y562" s="10"/>
    </row>
    <row r="563" customFormat="false" ht="23.85" hidden="false" customHeight="false" outlineLevel="0" collapsed="false">
      <c r="A563" s="6" t="n">
        <v>562</v>
      </c>
      <c r="B563" s="7" t="s">
        <v>3098</v>
      </c>
      <c r="C563" s="6" t="str">
        <f aca="false">IF(U563&lt;&gt;"","Client",IF(D563&gt;=9,"A",IF(D563&gt;=7,"B","C")))</f>
        <v>C</v>
      </c>
      <c r="D563" s="6" t="n">
        <f aca="false">E563+F563+G563</f>
        <v>4</v>
      </c>
      <c r="E563" s="6" t="n">
        <v>2</v>
      </c>
      <c r="F563" s="6" t="n">
        <v>0</v>
      </c>
      <c r="G563" s="8" t="n">
        <v>2</v>
      </c>
      <c r="H563" s="6" t="s">
        <v>507</v>
      </c>
      <c r="I563" s="6" t="s">
        <v>1445</v>
      </c>
      <c r="J563" s="2" t="s">
        <v>3099</v>
      </c>
      <c r="K563" s="2" t="s">
        <v>92</v>
      </c>
      <c r="L563" s="2" t="s">
        <v>93</v>
      </c>
      <c r="M563" s="2"/>
      <c r="N563" s="2" t="s">
        <v>219</v>
      </c>
      <c r="O563" s="2" t="s">
        <v>3100</v>
      </c>
      <c r="P563" s="2" t="s">
        <v>3101</v>
      </c>
      <c r="Q563" s="6" t="s">
        <v>123</v>
      </c>
      <c r="R563" s="6" t="s">
        <v>98</v>
      </c>
      <c r="S563" s="9" t="s">
        <v>3102</v>
      </c>
      <c r="T563" s="6"/>
      <c r="U563" s="6"/>
      <c r="V563" s="10"/>
      <c r="W563" s="10" t="s">
        <v>88</v>
      </c>
      <c r="X563" s="10"/>
      <c r="Y563" s="10"/>
    </row>
    <row r="564" customFormat="false" ht="23.85" hidden="false" customHeight="false" outlineLevel="0" collapsed="false">
      <c r="A564" s="6" t="n">
        <v>563</v>
      </c>
      <c r="B564" s="7" t="s">
        <v>3103</v>
      </c>
      <c r="C564" s="6" t="str">
        <f aca="false">IF(U564&lt;&gt;"","Client",IF(D564&gt;=9,"A",IF(D564&gt;=7,"B","C")))</f>
        <v>C</v>
      </c>
      <c r="D564" s="6" t="n">
        <f aca="false">E564+F564+G564</f>
        <v>4</v>
      </c>
      <c r="E564" s="6" t="n">
        <v>3</v>
      </c>
      <c r="F564" s="6" t="n">
        <v>0</v>
      </c>
      <c r="G564" s="8" t="n">
        <v>1</v>
      </c>
      <c r="H564" s="6" t="s">
        <v>153</v>
      </c>
      <c r="I564" s="6" t="s">
        <v>1445</v>
      </c>
      <c r="J564" s="2" t="s">
        <v>2601</v>
      </c>
      <c r="K564" s="2" t="s">
        <v>3104</v>
      </c>
      <c r="L564" s="2" t="s">
        <v>167</v>
      </c>
      <c r="M564" s="2"/>
      <c r="N564" s="2" t="s">
        <v>530</v>
      </c>
      <c r="O564" s="2" t="s">
        <v>3105</v>
      </c>
      <c r="P564" s="2" t="s">
        <v>3106</v>
      </c>
      <c r="Q564" s="6" t="s">
        <v>97</v>
      </c>
      <c r="R564" s="6" t="s">
        <v>85</v>
      </c>
      <c r="S564" s="9" t="s">
        <v>3107</v>
      </c>
      <c r="T564" s="6"/>
      <c r="U564" s="6"/>
      <c r="V564" s="10"/>
      <c r="W564" s="10" t="s">
        <v>88</v>
      </c>
      <c r="X564" s="10"/>
      <c r="Y564" s="10"/>
    </row>
    <row r="565" customFormat="false" ht="15" hidden="false" customHeight="false" outlineLevel="0" collapsed="false">
      <c r="A565" s="6" t="n">
        <v>564</v>
      </c>
      <c r="B565" s="7" t="s">
        <v>3108</v>
      </c>
      <c r="C565" s="6" t="str">
        <f aca="false">IF(U565&lt;&gt;"","Client",IF(D565&gt;=9,"A",IF(D565&gt;=7,"B","C")))</f>
        <v>C</v>
      </c>
      <c r="D565" s="6" t="n">
        <f aca="false">E565+F565+G565</f>
        <v>4</v>
      </c>
      <c r="E565" s="6" t="n">
        <v>3</v>
      </c>
      <c r="F565" s="6" t="n">
        <v>0</v>
      </c>
      <c r="G565" s="8" t="n">
        <v>1</v>
      </c>
      <c r="H565" s="6" t="s">
        <v>182</v>
      </c>
      <c r="I565" s="6" t="s">
        <v>1445</v>
      </c>
      <c r="J565" s="2" t="s">
        <v>3108</v>
      </c>
      <c r="K565" s="2" t="s">
        <v>92</v>
      </c>
      <c r="L565" s="2" t="s">
        <v>93</v>
      </c>
      <c r="M565" s="2"/>
      <c r="N565" s="2" t="s">
        <v>521</v>
      </c>
      <c r="O565" s="2"/>
      <c r="P565" s="2" t="s">
        <v>3109</v>
      </c>
      <c r="Q565" s="6" t="s">
        <v>97</v>
      </c>
      <c r="R565" s="6" t="s">
        <v>98</v>
      </c>
      <c r="S565" s="6"/>
      <c r="T565" s="6"/>
      <c r="U565" s="6"/>
      <c r="V565" s="10"/>
      <c r="W565" s="10" t="s">
        <v>88</v>
      </c>
      <c r="X565" s="10"/>
      <c r="Y565" s="10"/>
    </row>
    <row r="566" customFormat="false" ht="15" hidden="false" customHeight="false" outlineLevel="0" collapsed="false">
      <c r="A566" s="6" t="n">
        <v>565</v>
      </c>
      <c r="B566" s="7" t="s">
        <v>3110</v>
      </c>
      <c r="C566" s="6" t="str">
        <f aca="false">IF(U566&lt;&gt;"","Client",IF(D566&gt;=9,"A",IF(D566&gt;=7,"B","C")))</f>
        <v>C</v>
      </c>
      <c r="D566" s="6" t="n">
        <f aca="false">E566+F566+G566</f>
        <v>4</v>
      </c>
      <c r="E566" s="6" t="n">
        <v>3</v>
      </c>
      <c r="F566" s="6" t="n">
        <v>0</v>
      </c>
      <c r="G566" s="8" t="n">
        <v>1</v>
      </c>
      <c r="H566" s="6" t="s">
        <v>182</v>
      </c>
      <c r="I566" s="6" t="s">
        <v>1445</v>
      </c>
      <c r="J566" s="2" t="s">
        <v>708</v>
      </c>
      <c r="K566" s="2" t="s">
        <v>724</v>
      </c>
      <c r="L566" s="2" t="s">
        <v>102</v>
      </c>
      <c r="M566" s="2"/>
      <c r="N566" s="2" t="s">
        <v>530</v>
      </c>
      <c r="O566" s="2" t="s">
        <v>3111</v>
      </c>
      <c r="P566" s="2" t="s">
        <v>3112</v>
      </c>
      <c r="Q566" s="6" t="s">
        <v>642</v>
      </c>
      <c r="R566" s="6" t="s">
        <v>106</v>
      </c>
      <c r="S566" s="9" t="s">
        <v>3113</v>
      </c>
      <c r="T566" s="6"/>
      <c r="U566" s="6"/>
      <c r="V566" s="10"/>
      <c r="W566" s="10" t="s">
        <v>88</v>
      </c>
      <c r="X566" s="10"/>
      <c r="Y566" s="10"/>
    </row>
    <row r="567" customFormat="false" ht="15" hidden="false" customHeight="false" outlineLevel="0" collapsed="false">
      <c r="A567" s="6" t="n">
        <v>566</v>
      </c>
      <c r="B567" s="7" t="s">
        <v>3114</v>
      </c>
      <c r="C567" s="6" t="str">
        <f aca="false">IF(U567&lt;&gt;"","Client",IF(D567&gt;=9,"A",IF(D567&gt;=7,"B","C")))</f>
        <v>C</v>
      </c>
      <c r="D567" s="6" t="n">
        <f aca="false">E567+F567+G567</f>
        <v>4</v>
      </c>
      <c r="E567" s="6" t="n">
        <v>3</v>
      </c>
      <c r="F567" s="6" t="n">
        <v>0</v>
      </c>
      <c r="G567" s="8" t="n">
        <v>1</v>
      </c>
      <c r="H567" s="6" t="s">
        <v>164</v>
      </c>
      <c r="I567" s="6" t="s">
        <v>1445</v>
      </c>
      <c r="J567" s="2" t="s">
        <v>3115</v>
      </c>
      <c r="K567" s="2" t="s">
        <v>3116</v>
      </c>
      <c r="L567" s="2" t="s">
        <v>102</v>
      </c>
      <c r="M567" s="2"/>
      <c r="N567" s="2" t="s">
        <v>538</v>
      </c>
      <c r="O567" s="2" t="s">
        <v>3117</v>
      </c>
      <c r="P567" s="2" t="s">
        <v>3118</v>
      </c>
      <c r="Q567" s="6" t="s">
        <v>2214</v>
      </c>
      <c r="R567" s="6" t="s">
        <v>98</v>
      </c>
      <c r="S567" s="9" t="s">
        <v>3119</v>
      </c>
      <c r="T567" s="6"/>
      <c r="U567" s="6"/>
      <c r="V567" s="10"/>
      <c r="W567" s="10" t="s">
        <v>88</v>
      </c>
      <c r="X567" s="10"/>
      <c r="Y567" s="10"/>
    </row>
    <row r="568" customFormat="false" ht="35.05" hidden="false" customHeight="false" outlineLevel="0" collapsed="false">
      <c r="A568" s="6" t="n">
        <v>567</v>
      </c>
      <c r="B568" s="7" t="s">
        <v>3120</v>
      </c>
      <c r="C568" s="6" t="str">
        <f aca="false">IF(U568&lt;&gt;"","Client",IF(D568&gt;=9,"A",IF(D568&gt;=7,"B","C")))</f>
        <v>C</v>
      </c>
      <c r="D568" s="6" t="n">
        <f aca="false">E568+F568+G568</f>
        <v>4</v>
      </c>
      <c r="E568" s="6" t="n">
        <v>3</v>
      </c>
      <c r="F568" s="6" t="n">
        <v>0</v>
      </c>
      <c r="G568" s="8" t="n">
        <v>1</v>
      </c>
      <c r="H568" s="6" t="s">
        <v>182</v>
      </c>
      <c r="I568" s="6" t="s">
        <v>1445</v>
      </c>
      <c r="J568" s="2" t="s">
        <v>1228</v>
      </c>
      <c r="K568" s="2" t="s">
        <v>92</v>
      </c>
      <c r="L568" s="2" t="s">
        <v>93</v>
      </c>
      <c r="M568" s="2" t="s">
        <v>3121</v>
      </c>
      <c r="N568" s="2" t="s">
        <v>521</v>
      </c>
      <c r="O568" s="2" t="s">
        <v>3122</v>
      </c>
      <c r="P568" s="2" t="s">
        <v>3123</v>
      </c>
      <c r="Q568" s="6" t="s">
        <v>97</v>
      </c>
      <c r="R568" s="6" t="s">
        <v>85</v>
      </c>
      <c r="S568" s="9" t="s">
        <v>2964</v>
      </c>
      <c r="T568" s="9" t="s">
        <v>3124</v>
      </c>
      <c r="U568" s="6"/>
      <c r="V568" s="10"/>
      <c r="W568" s="10" t="s">
        <v>88</v>
      </c>
      <c r="X568" s="10"/>
      <c r="Y568" s="10"/>
    </row>
    <row r="569" customFormat="false" ht="23.85" hidden="false" customHeight="false" outlineLevel="0" collapsed="false">
      <c r="A569" s="6" t="n">
        <v>568</v>
      </c>
      <c r="B569" s="7" t="s">
        <v>3125</v>
      </c>
      <c r="C569" s="6" t="str">
        <f aca="false">IF(U569&lt;&gt;"","Client",IF(D569&gt;=9,"A",IF(D569&gt;=7,"B","C")))</f>
        <v>C</v>
      </c>
      <c r="D569" s="6" t="n">
        <f aca="false">E569+F569+G569</f>
        <v>4</v>
      </c>
      <c r="E569" s="6" t="n">
        <v>3</v>
      </c>
      <c r="F569" s="6" t="n">
        <v>0</v>
      </c>
      <c r="G569" s="8" t="n">
        <v>1</v>
      </c>
      <c r="H569" s="6" t="s">
        <v>153</v>
      </c>
      <c r="I569" s="6" t="s">
        <v>1445</v>
      </c>
      <c r="J569" s="2" t="s">
        <v>1260</v>
      </c>
      <c r="K569" s="2" t="s">
        <v>3126</v>
      </c>
      <c r="L569" s="2" t="s">
        <v>3127</v>
      </c>
      <c r="M569" s="2"/>
      <c r="N569" s="2" t="s">
        <v>1275</v>
      </c>
      <c r="O569" s="2" t="s">
        <v>3128</v>
      </c>
      <c r="P569" s="2" t="s">
        <v>3129</v>
      </c>
      <c r="Q569" s="6" t="s">
        <v>130</v>
      </c>
      <c r="R569" s="6" t="s">
        <v>106</v>
      </c>
      <c r="S569" s="9" t="s">
        <v>210</v>
      </c>
      <c r="T569" s="9" t="s">
        <v>3130</v>
      </c>
      <c r="U569" s="6"/>
      <c r="V569" s="10"/>
      <c r="W569" s="10" t="s">
        <v>88</v>
      </c>
      <c r="X569" s="10"/>
      <c r="Y569" s="10"/>
    </row>
    <row r="570" customFormat="false" ht="15" hidden="false" customHeight="false" outlineLevel="0" collapsed="false">
      <c r="A570" s="6" t="n">
        <v>569</v>
      </c>
      <c r="B570" s="7" t="s">
        <v>3131</v>
      </c>
      <c r="C570" s="6" t="str">
        <f aca="false">IF(U570&lt;&gt;"","Client",IF(D570&gt;=9,"A",IF(D570&gt;=7,"B","C")))</f>
        <v>C</v>
      </c>
      <c r="D570" s="6" t="n">
        <f aca="false">E570+F570+G570</f>
        <v>4</v>
      </c>
      <c r="E570" s="6" t="n">
        <v>3</v>
      </c>
      <c r="F570" s="6" t="n">
        <v>0</v>
      </c>
      <c r="G570" s="8" t="n">
        <v>1</v>
      </c>
      <c r="H570" s="6" t="s">
        <v>153</v>
      </c>
      <c r="I570" s="6" t="s">
        <v>1445</v>
      </c>
      <c r="J570" s="2" t="s">
        <v>3132</v>
      </c>
      <c r="K570" s="2" t="s">
        <v>3133</v>
      </c>
      <c r="L570" s="2" t="s">
        <v>102</v>
      </c>
      <c r="M570" s="2"/>
      <c r="N570" s="2" t="s">
        <v>1275</v>
      </c>
      <c r="O570" s="2" t="s">
        <v>3134</v>
      </c>
      <c r="P570" s="2" t="s">
        <v>3135</v>
      </c>
      <c r="Q570" s="6" t="s">
        <v>411</v>
      </c>
      <c r="R570" s="6" t="s">
        <v>106</v>
      </c>
      <c r="S570" s="9" t="s">
        <v>3136</v>
      </c>
      <c r="T570" s="6"/>
      <c r="U570" s="6"/>
      <c r="V570" s="10"/>
      <c r="W570" s="10" t="s">
        <v>88</v>
      </c>
      <c r="X570" s="10"/>
      <c r="Y570" s="10"/>
    </row>
    <row r="571" customFormat="false" ht="23.85" hidden="false" customHeight="false" outlineLevel="0" collapsed="false">
      <c r="A571" s="6" t="n">
        <v>570</v>
      </c>
      <c r="B571" s="7" t="s">
        <v>3137</v>
      </c>
      <c r="C571" s="6" t="str">
        <f aca="false">IF(U571&lt;&gt;"","Client",IF(D571&gt;=9,"A",IF(D571&gt;=7,"B","C")))</f>
        <v>C</v>
      </c>
      <c r="D571" s="6" t="n">
        <f aca="false">E571+F571+G571</f>
        <v>4</v>
      </c>
      <c r="E571" s="6" t="n">
        <v>4</v>
      </c>
      <c r="F571" s="6" t="n">
        <v>0</v>
      </c>
      <c r="G571" s="8" t="n">
        <v>0</v>
      </c>
      <c r="H571" s="6" t="s">
        <v>239</v>
      </c>
      <c r="I571" s="6" t="s">
        <v>1445</v>
      </c>
      <c r="J571" s="2" t="s">
        <v>3138</v>
      </c>
      <c r="K571" s="2" t="s">
        <v>2043</v>
      </c>
      <c r="L571" s="2" t="s">
        <v>127</v>
      </c>
      <c r="M571" s="2"/>
      <c r="N571" s="2"/>
      <c r="O571" s="2" t="s">
        <v>3139</v>
      </c>
      <c r="P571" s="2" t="s">
        <v>3140</v>
      </c>
      <c r="Q571" s="6" t="s">
        <v>1401</v>
      </c>
      <c r="R571" s="6" t="s">
        <v>106</v>
      </c>
      <c r="S571" s="9" t="s">
        <v>3141</v>
      </c>
      <c r="T571" s="6"/>
      <c r="U571" s="6"/>
      <c r="V571" s="10"/>
      <c r="W571" s="10" t="s">
        <v>88</v>
      </c>
      <c r="X571" s="10"/>
      <c r="Y571" s="10"/>
    </row>
    <row r="572" customFormat="false" ht="23.85" hidden="false" customHeight="false" outlineLevel="0" collapsed="false">
      <c r="A572" s="6" t="n">
        <v>571</v>
      </c>
      <c r="B572" s="7" t="s">
        <v>3142</v>
      </c>
      <c r="C572" s="6" t="str">
        <f aca="false">IF(U572&lt;&gt;"","Client",IF(D572&gt;=9,"A",IF(D572&gt;=7,"B","C")))</f>
        <v>C</v>
      </c>
      <c r="D572" s="6" t="n">
        <f aca="false">E572+F572+G572</f>
        <v>4</v>
      </c>
      <c r="E572" s="6" t="n">
        <v>4</v>
      </c>
      <c r="F572" s="6" t="n">
        <v>0</v>
      </c>
      <c r="G572" s="8" t="n">
        <v>0</v>
      </c>
      <c r="H572" s="6" t="s">
        <v>239</v>
      </c>
      <c r="I572" s="6" t="s">
        <v>1445</v>
      </c>
      <c r="J572" s="2" t="s">
        <v>3143</v>
      </c>
      <c r="K572" s="2" t="s">
        <v>3144</v>
      </c>
      <c r="L572" s="2" t="s">
        <v>127</v>
      </c>
      <c r="M572" s="2"/>
      <c r="N572" s="2"/>
      <c r="O572" s="2"/>
      <c r="P572" s="2" t="s">
        <v>3145</v>
      </c>
      <c r="Q572" s="6" t="s">
        <v>143</v>
      </c>
      <c r="R572" s="6" t="s">
        <v>85</v>
      </c>
      <c r="S572" s="9" t="s">
        <v>397</v>
      </c>
      <c r="T572" s="6"/>
      <c r="U572" s="6"/>
      <c r="V572" s="10"/>
      <c r="W572" s="10" t="s">
        <v>88</v>
      </c>
      <c r="X572" s="10"/>
      <c r="Y572" s="10"/>
    </row>
    <row r="573" customFormat="false" ht="15" hidden="false" customHeight="false" outlineLevel="0" collapsed="false">
      <c r="A573" s="6" t="n">
        <v>572</v>
      </c>
      <c r="B573" s="7" t="s">
        <v>3146</v>
      </c>
      <c r="C573" s="6" t="str">
        <f aca="false">IF(U573&lt;&gt;"","Client",IF(D573&gt;=9,"A",IF(D573&gt;=7,"B","C")))</f>
        <v>C</v>
      </c>
      <c r="D573" s="6" t="n">
        <f aca="false">E573+F573+G573</f>
        <v>4</v>
      </c>
      <c r="E573" s="6" t="n">
        <v>4</v>
      </c>
      <c r="F573" s="6" t="n">
        <v>0</v>
      </c>
      <c r="G573" s="8" t="n">
        <v>0</v>
      </c>
      <c r="H573" s="6" t="s">
        <v>118</v>
      </c>
      <c r="I573" s="6" t="s">
        <v>1445</v>
      </c>
      <c r="J573" s="2" t="s">
        <v>288</v>
      </c>
      <c r="K573" s="2" t="s">
        <v>730</v>
      </c>
      <c r="L573" s="2" t="s">
        <v>102</v>
      </c>
      <c r="M573" s="2"/>
      <c r="N573" s="2"/>
      <c r="O573" s="2" t="s">
        <v>3147</v>
      </c>
      <c r="P573" s="2" t="s">
        <v>3148</v>
      </c>
      <c r="Q573" s="6" t="s">
        <v>504</v>
      </c>
      <c r="R573" s="6" t="s">
        <v>106</v>
      </c>
      <c r="S573" s="9" t="s">
        <v>1449</v>
      </c>
      <c r="T573" s="6"/>
      <c r="U573" s="6"/>
      <c r="V573" s="10"/>
      <c r="W573" s="10" t="s">
        <v>88</v>
      </c>
      <c r="X573" s="10"/>
      <c r="Y573" s="10"/>
    </row>
    <row r="574" customFormat="false" ht="23.85" hidden="false" customHeight="false" outlineLevel="0" collapsed="false">
      <c r="A574" s="6" t="n">
        <v>573</v>
      </c>
      <c r="B574" s="7" t="s">
        <v>3149</v>
      </c>
      <c r="C574" s="6" t="str">
        <f aca="false">IF(U574&lt;&gt;"","Client",IF(D574&gt;=9,"A",IF(D574&gt;=7,"B","C")))</f>
        <v>C</v>
      </c>
      <c r="D574" s="6" t="n">
        <f aca="false">E574+F574+G574</f>
        <v>4</v>
      </c>
      <c r="E574" s="6" t="n">
        <v>4</v>
      </c>
      <c r="F574" s="6" t="n">
        <v>0</v>
      </c>
      <c r="G574" s="8" t="n">
        <v>0</v>
      </c>
      <c r="H574" s="6" t="s">
        <v>239</v>
      </c>
      <c r="I574" s="6" t="s">
        <v>1445</v>
      </c>
      <c r="J574" s="2" t="s">
        <v>3150</v>
      </c>
      <c r="K574" s="2" t="s">
        <v>724</v>
      </c>
      <c r="L574" s="2" t="s">
        <v>102</v>
      </c>
      <c r="M574" s="2"/>
      <c r="N574" s="2"/>
      <c r="O574" s="2"/>
      <c r="P574" s="2" t="s">
        <v>3151</v>
      </c>
      <c r="Q574" s="6" t="s">
        <v>504</v>
      </c>
      <c r="R574" s="6" t="s">
        <v>106</v>
      </c>
      <c r="S574" s="9" t="s">
        <v>3152</v>
      </c>
      <c r="T574" s="6"/>
      <c r="U574" s="6"/>
      <c r="V574" s="10"/>
      <c r="W574" s="10" t="s">
        <v>88</v>
      </c>
      <c r="X574" s="10"/>
      <c r="Y574" s="10"/>
    </row>
    <row r="575" customFormat="false" ht="23.85" hidden="false" customHeight="false" outlineLevel="0" collapsed="false">
      <c r="A575" s="6" t="n">
        <v>574</v>
      </c>
      <c r="B575" s="7" t="s">
        <v>3153</v>
      </c>
      <c r="C575" s="6" t="str">
        <f aca="false">IF(U575&lt;&gt;"","Client",IF(D575&gt;=9,"A",IF(D575&gt;=7,"B","C")))</f>
        <v>C</v>
      </c>
      <c r="D575" s="6" t="n">
        <f aca="false">E575+F575+G575</f>
        <v>4</v>
      </c>
      <c r="E575" s="6" t="n">
        <v>4</v>
      </c>
      <c r="F575" s="6" t="n">
        <v>0</v>
      </c>
      <c r="G575" s="8" t="n">
        <v>0</v>
      </c>
      <c r="H575" s="6" t="s">
        <v>90</v>
      </c>
      <c r="I575" s="6" t="s">
        <v>1445</v>
      </c>
      <c r="J575" s="2" t="s">
        <v>928</v>
      </c>
      <c r="K575" s="2" t="s">
        <v>3154</v>
      </c>
      <c r="L575" s="2" t="s">
        <v>167</v>
      </c>
      <c r="M575" s="2"/>
      <c r="N575" s="2"/>
      <c r="O575" s="2" t="s">
        <v>3155</v>
      </c>
      <c r="P575" s="2" t="s">
        <v>3156</v>
      </c>
      <c r="Q575" s="6" t="s">
        <v>1401</v>
      </c>
      <c r="R575" s="6" t="s">
        <v>85</v>
      </c>
      <c r="S575" s="9" t="s">
        <v>3157</v>
      </c>
      <c r="T575" s="6"/>
      <c r="U575" s="6"/>
      <c r="V575" s="10"/>
      <c r="W575" s="10" t="s">
        <v>88</v>
      </c>
      <c r="X575" s="10"/>
      <c r="Y575" s="10"/>
    </row>
    <row r="576" customFormat="false" ht="23.85" hidden="false" customHeight="false" outlineLevel="0" collapsed="false">
      <c r="A576" s="6" t="n">
        <v>575</v>
      </c>
      <c r="B576" s="7" t="s">
        <v>3158</v>
      </c>
      <c r="C576" s="6" t="str">
        <f aca="false">IF(U576&lt;&gt;"","Client",IF(D576&gt;=9,"A",IF(D576&gt;=7,"B","C")))</f>
        <v>C</v>
      </c>
      <c r="D576" s="6" t="n">
        <f aca="false">E576+F576+G576</f>
        <v>4</v>
      </c>
      <c r="E576" s="6" t="n">
        <v>4</v>
      </c>
      <c r="F576" s="6" t="n">
        <v>0</v>
      </c>
      <c r="G576" s="8" t="n">
        <v>0</v>
      </c>
      <c r="H576" s="6" t="s">
        <v>239</v>
      </c>
      <c r="I576" s="6" t="s">
        <v>1445</v>
      </c>
      <c r="J576" s="2" t="s">
        <v>3138</v>
      </c>
      <c r="K576" s="2" t="s">
        <v>3159</v>
      </c>
      <c r="L576" s="2" t="s">
        <v>112</v>
      </c>
      <c r="M576" s="2"/>
      <c r="N576" s="2" t="s">
        <v>1043</v>
      </c>
      <c r="O576" s="2" t="s">
        <v>3160</v>
      </c>
      <c r="P576" s="2" t="s">
        <v>3161</v>
      </c>
      <c r="Q576" s="6" t="s">
        <v>308</v>
      </c>
      <c r="R576" s="6" t="s">
        <v>85</v>
      </c>
      <c r="S576" s="9" t="s">
        <v>309</v>
      </c>
      <c r="T576" s="9" t="s">
        <v>3162</v>
      </c>
      <c r="U576" s="6"/>
      <c r="V576" s="10"/>
      <c r="W576" s="10" t="s">
        <v>88</v>
      </c>
      <c r="X576" s="10"/>
      <c r="Y576" s="10"/>
    </row>
    <row r="577" customFormat="false" ht="23.85" hidden="false" customHeight="false" outlineLevel="0" collapsed="false">
      <c r="A577" s="6" t="n">
        <v>576</v>
      </c>
      <c r="B577" s="7" t="s">
        <v>3163</v>
      </c>
      <c r="C577" s="6" t="str">
        <f aca="false">IF(U577&lt;&gt;"","Client",IF(D577&gt;=9,"A",IF(D577&gt;=7,"B","C")))</f>
        <v>C</v>
      </c>
      <c r="D577" s="6" t="n">
        <f aca="false">E577+F577+G577</f>
        <v>4</v>
      </c>
      <c r="E577" s="6" t="n">
        <v>4</v>
      </c>
      <c r="F577" s="6" t="n">
        <v>0</v>
      </c>
      <c r="G577" s="8" t="n">
        <v>0</v>
      </c>
      <c r="H577" s="6" t="s">
        <v>239</v>
      </c>
      <c r="I577" s="6" t="s">
        <v>1445</v>
      </c>
      <c r="J577" s="2" t="s">
        <v>3163</v>
      </c>
      <c r="K577" s="2" t="s">
        <v>3164</v>
      </c>
      <c r="L577" s="2" t="s">
        <v>127</v>
      </c>
      <c r="M577" s="2"/>
      <c r="N577" s="2" t="s">
        <v>1533</v>
      </c>
      <c r="O577" s="2" t="s">
        <v>3165</v>
      </c>
      <c r="P577" s="2" t="s">
        <v>3166</v>
      </c>
      <c r="Q577" s="6" t="s">
        <v>160</v>
      </c>
      <c r="R577" s="6" t="s">
        <v>85</v>
      </c>
      <c r="S577" s="9" t="s">
        <v>3167</v>
      </c>
      <c r="T577" s="9" t="s">
        <v>3168</v>
      </c>
      <c r="U577" s="6"/>
      <c r="V577" s="10"/>
      <c r="W577" s="10" t="s">
        <v>88</v>
      </c>
      <c r="X577" s="10"/>
      <c r="Y577" s="10"/>
    </row>
    <row r="578" customFormat="false" ht="15" hidden="false" customHeight="false" outlineLevel="0" collapsed="false">
      <c r="A578" s="6" t="n">
        <v>577</v>
      </c>
      <c r="B578" s="7" t="s">
        <v>3169</v>
      </c>
      <c r="C578" s="6" t="str">
        <f aca="false">IF(U578&lt;&gt;"","Client",IF(D578&gt;=9,"A",IF(D578&gt;=7,"B","C")))</f>
        <v>C</v>
      </c>
      <c r="D578" s="6" t="n">
        <f aca="false">E578+F578+G578</f>
        <v>4</v>
      </c>
      <c r="E578" s="6" t="n">
        <v>4</v>
      </c>
      <c r="F578" s="6" t="n">
        <v>0</v>
      </c>
      <c r="G578" s="8" t="n">
        <v>0</v>
      </c>
      <c r="H578" s="6" t="s">
        <v>239</v>
      </c>
      <c r="I578" s="6" t="s">
        <v>1445</v>
      </c>
      <c r="J578" s="2" t="s">
        <v>3170</v>
      </c>
      <c r="K578" s="2" t="s">
        <v>3171</v>
      </c>
      <c r="L578" s="2" t="s">
        <v>127</v>
      </c>
      <c r="M578" s="2"/>
      <c r="N578" s="2"/>
      <c r="O578" s="2"/>
      <c r="P578" s="2" t="s">
        <v>3172</v>
      </c>
      <c r="Q578" s="6" t="s">
        <v>143</v>
      </c>
      <c r="R578" s="6" t="s">
        <v>106</v>
      </c>
      <c r="S578" s="9" t="s">
        <v>1715</v>
      </c>
      <c r="T578" s="6"/>
      <c r="U578" s="6"/>
      <c r="V578" s="10"/>
      <c r="W578" s="10" t="s">
        <v>88</v>
      </c>
      <c r="X578" s="10"/>
      <c r="Y578" s="10"/>
    </row>
    <row r="579" customFormat="false" ht="15" hidden="false" customHeight="false" outlineLevel="0" collapsed="false">
      <c r="A579" s="6" t="n">
        <v>578</v>
      </c>
      <c r="B579" s="7" t="s">
        <v>3173</v>
      </c>
      <c r="C579" s="6" t="str">
        <f aca="false">IF(U579&lt;&gt;"","Client",IF(D579&gt;=9,"A",IF(D579&gt;=7,"B","C")))</f>
        <v>C</v>
      </c>
      <c r="D579" s="6" t="n">
        <f aca="false">E579+F579+G579</f>
        <v>4</v>
      </c>
      <c r="E579" s="6" t="n">
        <v>4</v>
      </c>
      <c r="F579" s="6" t="n">
        <v>0</v>
      </c>
      <c r="G579" s="8" t="n">
        <v>0</v>
      </c>
      <c r="H579" s="6" t="s">
        <v>239</v>
      </c>
      <c r="I579" s="6" t="s">
        <v>1445</v>
      </c>
      <c r="J579" s="2" t="s">
        <v>3174</v>
      </c>
      <c r="K579" s="2" t="s">
        <v>2268</v>
      </c>
      <c r="L579" s="2" t="s">
        <v>102</v>
      </c>
      <c r="M579" s="2"/>
      <c r="N579" s="2"/>
      <c r="O579" s="2" t="s">
        <v>3175</v>
      </c>
      <c r="P579" s="2" t="s">
        <v>3176</v>
      </c>
      <c r="Q579" s="6" t="s">
        <v>3177</v>
      </c>
      <c r="R579" s="6" t="s">
        <v>106</v>
      </c>
      <c r="S579" s="9" t="s">
        <v>3178</v>
      </c>
      <c r="T579" s="6"/>
      <c r="U579" s="6"/>
      <c r="V579" s="10"/>
      <c r="W579" s="10" t="s">
        <v>88</v>
      </c>
      <c r="X579" s="10"/>
      <c r="Y579" s="10"/>
    </row>
    <row r="580" customFormat="false" ht="23.85" hidden="false" customHeight="false" outlineLevel="0" collapsed="false">
      <c r="A580" s="6" t="n">
        <v>579</v>
      </c>
      <c r="B580" s="7" t="s">
        <v>3179</v>
      </c>
      <c r="C580" s="6" t="str">
        <f aca="false">IF(U580&lt;&gt;"","Client",IF(D580&gt;=9,"A",IF(D580&gt;=7,"B","C")))</f>
        <v>C</v>
      </c>
      <c r="D580" s="6" t="n">
        <f aca="false">E580+F580+G580</f>
        <v>4</v>
      </c>
      <c r="E580" s="6" t="n">
        <v>4</v>
      </c>
      <c r="F580" s="6" t="n">
        <v>0</v>
      </c>
      <c r="G580" s="8" t="n">
        <v>0</v>
      </c>
      <c r="H580" s="6" t="s">
        <v>239</v>
      </c>
      <c r="I580" s="6" t="s">
        <v>1445</v>
      </c>
      <c r="J580" s="2" t="s">
        <v>3179</v>
      </c>
      <c r="K580" s="2" t="s">
        <v>3180</v>
      </c>
      <c r="L580" s="2" t="s">
        <v>127</v>
      </c>
      <c r="M580" s="2"/>
      <c r="N580" s="2"/>
      <c r="O580" s="2"/>
      <c r="P580" s="2" t="s">
        <v>3181</v>
      </c>
      <c r="Q580" s="6" t="s">
        <v>389</v>
      </c>
      <c r="R580" s="6" t="s">
        <v>106</v>
      </c>
      <c r="S580" s="9" t="s">
        <v>3182</v>
      </c>
      <c r="T580" s="6"/>
      <c r="U580" s="6"/>
      <c r="V580" s="10"/>
      <c r="W580" s="10" t="s">
        <v>88</v>
      </c>
      <c r="X580" s="10"/>
      <c r="Y580" s="10"/>
    </row>
    <row r="581" customFormat="false" ht="23.85" hidden="false" customHeight="false" outlineLevel="0" collapsed="false">
      <c r="A581" s="6" t="n">
        <v>580</v>
      </c>
      <c r="B581" s="7" t="s">
        <v>3183</v>
      </c>
      <c r="C581" s="6" t="str">
        <f aca="false">IF(U581&lt;&gt;"","Client",IF(D581&gt;=9,"A",IF(D581&gt;=7,"B","C")))</f>
        <v>C</v>
      </c>
      <c r="D581" s="6" t="n">
        <f aca="false">E581+F581+G581</f>
        <v>4</v>
      </c>
      <c r="E581" s="6" t="n">
        <v>4</v>
      </c>
      <c r="F581" s="6" t="n">
        <v>0</v>
      </c>
      <c r="G581" s="8" t="n">
        <v>0</v>
      </c>
      <c r="H581" s="6" t="s">
        <v>90</v>
      </c>
      <c r="I581" s="6" t="s">
        <v>1445</v>
      </c>
      <c r="J581" s="2" t="s">
        <v>3184</v>
      </c>
      <c r="K581" s="2" t="s">
        <v>2092</v>
      </c>
      <c r="L581" s="2" t="s">
        <v>127</v>
      </c>
      <c r="M581" s="2"/>
      <c r="N581" s="2"/>
      <c r="O581" s="2"/>
      <c r="P581" s="2" t="s">
        <v>3185</v>
      </c>
      <c r="Q581" s="6" t="s">
        <v>143</v>
      </c>
      <c r="R581" s="6" t="s">
        <v>106</v>
      </c>
      <c r="S581" s="9" t="s">
        <v>1715</v>
      </c>
      <c r="T581" s="6"/>
      <c r="U581" s="6"/>
      <c r="V581" s="10"/>
      <c r="W581" s="10" t="s">
        <v>88</v>
      </c>
      <c r="X581" s="10"/>
      <c r="Y581" s="10"/>
    </row>
    <row r="582" customFormat="false" ht="23.85" hidden="false" customHeight="false" outlineLevel="0" collapsed="false">
      <c r="A582" s="6" t="n">
        <v>581</v>
      </c>
      <c r="B582" s="7" t="s">
        <v>3186</v>
      </c>
      <c r="C582" s="6" t="str">
        <f aca="false">IF(U582&lt;&gt;"","Client",IF(D582&gt;=9,"A",IF(D582&gt;=7,"B","C")))</f>
        <v>C</v>
      </c>
      <c r="D582" s="6" t="n">
        <f aca="false">E582+F582+G582</f>
        <v>4</v>
      </c>
      <c r="E582" s="6" t="n">
        <v>4</v>
      </c>
      <c r="F582" s="6" t="n">
        <v>0</v>
      </c>
      <c r="G582" s="8" t="n">
        <v>0</v>
      </c>
      <c r="H582" s="6" t="s">
        <v>239</v>
      </c>
      <c r="I582" s="6" t="s">
        <v>1445</v>
      </c>
      <c r="J582" s="2" t="s">
        <v>481</v>
      </c>
      <c r="K582" s="2" t="s">
        <v>3187</v>
      </c>
      <c r="L582" s="2" t="s">
        <v>127</v>
      </c>
      <c r="M582" s="2"/>
      <c r="N582" s="2"/>
      <c r="O582" s="2" t="s">
        <v>3188</v>
      </c>
      <c r="P582" s="2" t="s">
        <v>3189</v>
      </c>
      <c r="Q582" s="6" t="s">
        <v>143</v>
      </c>
      <c r="R582" s="6" t="s">
        <v>106</v>
      </c>
      <c r="S582" s="9" t="s">
        <v>3190</v>
      </c>
      <c r="T582" s="6"/>
      <c r="U582" s="6"/>
      <c r="V582" s="10"/>
      <c r="W582" s="10" t="s">
        <v>88</v>
      </c>
      <c r="X582" s="10"/>
      <c r="Y582" s="10"/>
    </row>
    <row r="583" customFormat="false" ht="23.85" hidden="false" customHeight="false" outlineLevel="0" collapsed="false">
      <c r="A583" s="6" t="n">
        <v>582</v>
      </c>
      <c r="B583" s="7" t="s">
        <v>3191</v>
      </c>
      <c r="C583" s="6" t="str">
        <f aca="false">IF(U583&lt;&gt;"","Client",IF(D583&gt;=9,"A",IF(D583&gt;=7,"B","C")))</f>
        <v>C</v>
      </c>
      <c r="D583" s="6" t="n">
        <f aca="false">E583+F583+G583</f>
        <v>4</v>
      </c>
      <c r="E583" s="6" t="n">
        <v>4</v>
      </c>
      <c r="F583" s="6" t="n">
        <v>0</v>
      </c>
      <c r="G583" s="8" t="n">
        <v>0</v>
      </c>
      <c r="H583" s="6" t="s">
        <v>239</v>
      </c>
      <c r="I583" s="6" t="s">
        <v>1445</v>
      </c>
      <c r="J583" s="2" t="s">
        <v>3191</v>
      </c>
      <c r="K583" s="2" t="s">
        <v>3192</v>
      </c>
      <c r="L583" s="2" t="s">
        <v>127</v>
      </c>
      <c r="M583" s="2"/>
      <c r="N583" s="2"/>
      <c r="O583" s="2" t="s">
        <v>3193</v>
      </c>
      <c r="P583" s="2" t="s">
        <v>3194</v>
      </c>
      <c r="Q583" s="6" t="s">
        <v>308</v>
      </c>
      <c r="R583" s="6" t="s">
        <v>85</v>
      </c>
      <c r="S583" s="9" t="s">
        <v>3195</v>
      </c>
      <c r="T583" s="6"/>
      <c r="U583" s="6"/>
      <c r="V583" s="10"/>
      <c r="W583" s="10" t="s">
        <v>88</v>
      </c>
      <c r="X583" s="10"/>
      <c r="Y583" s="10"/>
    </row>
    <row r="584" customFormat="false" ht="23.85" hidden="false" customHeight="false" outlineLevel="0" collapsed="false">
      <c r="A584" s="6" t="n">
        <v>583</v>
      </c>
      <c r="B584" s="7" t="s">
        <v>3196</v>
      </c>
      <c r="C584" s="6" t="str">
        <f aca="false">IF(U584&lt;&gt;"","Client",IF(D584&gt;=9,"A",IF(D584&gt;=7,"B","C")))</f>
        <v>C</v>
      </c>
      <c r="D584" s="6" t="n">
        <f aca="false">E584+F584+G584</f>
        <v>4</v>
      </c>
      <c r="E584" s="6" t="n">
        <v>4</v>
      </c>
      <c r="F584" s="6" t="n">
        <v>0</v>
      </c>
      <c r="G584" s="8" t="n">
        <v>0</v>
      </c>
      <c r="H584" s="6" t="s">
        <v>239</v>
      </c>
      <c r="I584" s="6" t="s">
        <v>1445</v>
      </c>
      <c r="J584" s="2" t="s">
        <v>3197</v>
      </c>
      <c r="K584" s="2" t="s">
        <v>3198</v>
      </c>
      <c r="L584" s="2" t="s">
        <v>127</v>
      </c>
      <c r="M584" s="2"/>
      <c r="N584" s="2"/>
      <c r="O584" s="2"/>
      <c r="P584" s="2" t="s">
        <v>3199</v>
      </c>
      <c r="Q584" s="6" t="s">
        <v>1774</v>
      </c>
      <c r="R584" s="6" t="s">
        <v>106</v>
      </c>
      <c r="S584" s="9" t="s">
        <v>3200</v>
      </c>
      <c r="T584" s="6"/>
      <c r="U584" s="6"/>
      <c r="V584" s="10"/>
      <c r="W584" s="10" t="s">
        <v>88</v>
      </c>
      <c r="X584" s="10"/>
      <c r="Y584" s="10"/>
    </row>
    <row r="585" customFormat="false" ht="23.85" hidden="false" customHeight="false" outlineLevel="0" collapsed="false">
      <c r="A585" s="6" t="n">
        <v>584</v>
      </c>
      <c r="B585" s="7" t="s">
        <v>3201</v>
      </c>
      <c r="C585" s="6" t="str">
        <f aca="false">IF(U585&lt;&gt;"","Client",IF(D585&gt;=9,"A",IF(D585&gt;=7,"B","C")))</f>
        <v>C</v>
      </c>
      <c r="D585" s="6" t="n">
        <f aca="false">E585+F585+G585</f>
        <v>3</v>
      </c>
      <c r="E585" s="6" t="n">
        <v>1</v>
      </c>
      <c r="F585" s="6" t="n">
        <v>2</v>
      </c>
      <c r="G585" s="8" t="n">
        <v>0</v>
      </c>
      <c r="H585" s="6" t="s">
        <v>1215</v>
      </c>
      <c r="I585" s="6" t="s">
        <v>287</v>
      </c>
      <c r="J585" s="2" t="s">
        <v>3201</v>
      </c>
      <c r="K585" s="2" t="s">
        <v>3202</v>
      </c>
      <c r="L585" s="2" t="s">
        <v>127</v>
      </c>
      <c r="M585" s="2"/>
      <c r="N585" s="2" t="s">
        <v>1533</v>
      </c>
      <c r="O585" s="2"/>
      <c r="P585" s="2" t="s">
        <v>3203</v>
      </c>
      <c r="Q585" s="6" t="s">
        <v>160</v>
      </c>
      <c r="R585" s="6" t="s">
        <v>85</v>
      </c>
      <c r="S585" s="9" t="s">
        <v>3204</v>
      </c>
      <c r="T585" s="6"/>
      <c r="U585" s="6"/>
      <c r="V585" s="10"/>
      <c r="W585" s="10" t="s">
        <v>88</v>
      </c>
      <c r="X585" s="10"/>
      <c r="Y585" s="10"/>
    </row>
    <row r="586" customFormat="false" ht="15" hidden="false" customHeight="false" outlineLevel="0" collapsed="false">
      <c r="A586" s="6" t="n">
        <v>585</v>
      </c>
      <c r="B586" s="7" t="s">
        <v>3205</v>
      </c>
      <c r="C586" s="6" t="str">
        <f aca="false">IF(U586&lt;&gt;"","Client",IF(D586&gt;=9,"A",IF(D586&gt;=7,"B","C")))</f>
        <v>C</v>
      </c>
      <c r="D586" s="6" t="n">
        <f aca="false">E586+F586+G586</f>
        <v>3</v>
      </c>
      <c r="E586" s="6" t="n">
        <v>1</v>
      </c>
      <c r="F586" s="6" t="n">
        <v>2</v>
      </c>
      <c r="G586" s="8" t="n">
        <v>0</v>
      </c>
      <c r="H586" s="6" t="s">
        <v>2312</v>
      </c>
      <c r="I586" s="6" t="s">
        <v>287</v>
      </c>
      <c r="J586" s="2" t="s">
        <v>3206</v>
      </c>
      <c r="K586" s="2" t="s">
        <v>3207</v>
      </c>
      <c r="L586" s="2" t="s">
        <v>127</v>
      </c>
      <c r="M586" s="2"/>
      <c r="N586" s="2"/>
      <c r="O586" s="2"/>
      <c r="P586" s="2" t="s">
        <v>3208</v>
      </c>
      <c r="Q586" s="6" t="s">
        <v>461</v>
      </c>
      <c r="R586" s="6" t="s">
        <v>85</v>
      </c>
      <c r="S586" s="9" t="s">
        <v>3209</v>
      </c>
      <c r="T586" s="6"/>
      <c r="U586" s="6"/>
      <c r="V586" s="10"/>
      <c r="W586" s="10" t="s">
        <v>88</v>
      </c>
      <c r="X586" s="10"/>
      <c r="Y586" s="10"/>
    </row>
    <row r="587" customFormat="false" ht="23.85" hidden="false" customHeight="false" outlineLevel="0" collapsed="false">
      <c r="A587" s="6" t="n">
        <v>586</v>
      </c>
      <c r="B587" s="7" t="s">
        <v>3210</v>
      </c>
      <c r="C587" s="6" t="str">
        <f aca="false">IF(U587&lt;&gt;"","Client",IF(D587&gt;=9,"A",IF(D587&gt;=7,"B","C")))</f>
        <v>C</v>
      </c>
      <c r="D587" s="6" t="n">
        <f aca="false">E587+F587+G587</f>
        <v>3</v>
      </c>
      <c r="E587" s="6" t="n">
        <v>1</v>
      </c>
      <c r="F587" s="6" t="n">
        <v>2</v>
      </c>
      <c r="G587" s="8" t="n">
        <v>0</v>
      </c>
      <c r="H587" s="6" t="s">
        <v>2312</v>
      </c>
      <c r="I587" s="6" t="s">
        <v>287</v>
      </c>
      <c r="J587" s="2" t="s">
        <v>3211</v>
      </c>
      <c r="K587" s="2" t="s">
        <v>3212</v>
      </c>
      <c r="L587" s="2" t="s">
        <v>127</v>
      </c>
      <c r="M587" s="2"/>
      <c r="N587" s="2"/>
      <c r="O587" s="2"/>
      <c r="P587" s="2" t="s">
        <v>3213</v>
      </c>
      <c r="Q587" s="6" t="s">
        <v>84</v>
      </c>
      <c r="R587" s="6" t="s">
        <v>106</v>
      </c>
      <c r="S587" s="9" t="s">
        <v>3214</v>
      </c>
      <c r="T587" s="6"/>
      <c r="U587" s="6"/>
      <c r="V587" s="10"/>
      <c r="W587" s="10" t="s">
        <v>88</v>
      </c>
      <c r="X587" s="10"/>
      <c r="Y587" s="10"/>
    </row>
    <row r="588" customFormat="false" ht="15" hidden="false" customHeight="false" outlineLevel="0" collapsed="false">
      <c r="A588" s="6" t="n">
        <v>587</v>
      </c>
      <c r="B588" s="7" t="s">
        <v>3215</v>
      </c>
      <c r="C588" s="6" t="str">
        <f aca="false">IF(U588&lt;&gt;"","Client",IF(D588&gt;=9,"A",IF(D588&gt;=7,"B","C")))</f>
        <v>C</v>
      </c>
      <c r="D588" s="6" t="n">
        <f aca="false">E588+F588+G588</f>
        <v>3</v>
      </c>
      <c r="E588" s="6" t="n">
        <v>1</v>
      </c>
      <c r="F588" s="6" t="n">
        <v>2</v>
      </c>
      <c r="G588" s="8" t="n">
        <v>0</v>
      </c>
      <c r="H588" s="6" t="s">
        <v>1583</v>
      </c>
      <c r="I588" s="6" t="s">
        <v>287</v>
      </c>
      <c r="J588" s="2" t="s">
        <v>3216</v>
      </c>
      <c r="K588" s="2" t="s">
        <v>3164</v>
      </c>
      <c r="L588" s="2" t="s">
        <v>127</v>
      </c>
      <c r="M588" s="2"/>
      <c r="N588" s="2" t="s">
        <v>1533</v>
      </c>
      <c r="O588" s="2"/>
      <c r="P588" s="2" t="s">
        <v>3217</v>
      </c>
      <c r="Q588" s="6" t="s">
        <v>97</v>
      </c>
      <c r="R588" s="6" t="s">
        <v>85</v>
      </c>
      <c r="S588" s="9" t="s">
        <v>3218</v>
      </c>
      <c r="T588" s="6"/>
      <c r="U588" s="6"/>
      <c r="V588" s="10"/>
      <c r="W588" s="10" t="s">
        <v>88</v>
      </c>
      <c r="X588" s="10"/>
      <c r="Y588" s="10"/>
    </row>
    <row r="589" customFormat="false" ht="23.85" hidden="false" customHeight="false" outlineLevel="0" collapsed="false">
      <c r="A589" s="6" t="n">
        <v>588</v>
      </c>
      <c r="B589" s="7" t="s">
        <v>3219</v>
      </c>
      <c r="C589" s="6" t="str">
        <f aca="false">IF(U589&lt;&gt;"","Client",IF(D589&gt;=9,"A",IF(D589&gt;=7,"B","C")))</f>
        <v>C</v>
      </c>
      <c r="D589" s="6" t="n">
        <f aca="false">E589+F589+G589</f>
        <v>3</v>
      </c>
      <c r="E589" s="6" t="n">
        <v>1</v>
      </c>
      <c r="F589" s="6" t="n">
        <v>2</v>
      </c>
      <c r="G589" s="8" t="n">
        <v>0</v>
      </c>
      <c r="H589" s="6" t="s">
        <v>1583</v>
      </c>
      <c r="I589" s="6" t="s">
        <v>287</v>
      </c>
      <c r="J589" s="2" t="s">
        <v>3220</v>
      </c>
      <c r="K589" s="2" t="s">
        <v>3221</v>
      </c>
      <c r="L589" s="2" t="s">
        <v>127</v>
      </c>
      <c r="M589" s="2"/>
      <c r="N589" s="2"/>
      <c r="O589" s="2"/>
      <c r="P589" s="2" t="s">
        <v>3222</v>
      </c>
      <c r="Q589" s="6" t="s">
        <v>143</v>
      </c>
      <c r="R589" s="6" t="s">
        <v>106</v>
      </c>
      <c r="S589" s="9" t="s">
        <v>3223</v>
      </c>
      <c r="T589" s="6"/>
      <c r="U589" s="6"/>
      <c r="V589" s="10"/>
      <c r="W589" s="10" t="s">
        <v>88</v>
      </c>
      <c r="X589" s="10"/>
      <c r="Y589" s="10"/>
    </row>
    <row r="590" customFormat="false" ht="23.85" hidden="false" customHeight="false" outlineLevel="0" collapsed="false">
      <c r="A590" s="6" t="n">
        <v>589</v>
      </c>
      <c r="B590" s="7" t="s">
        <v>3224</v>
      </c>
      <c r="C590" s="6" t="str">
        <f aca="false">IF(U590&lt;&gt;"","Client",IF(D590&gt;=9,"A",IF(D590&gt;=7,"B","C")))</f>
        <v>C</v>
      </c>
      <c r="D590" s="6" t="n">
        <f aca="false">E590+F590+G590</f>
        <v>3</v>
      </c>
      <c r="E590" s="6" t="n">
        <v>1</v>
      </c>
      <c r="F590" s="6" t="n">
        <v>2</v>
      </c>
      <c r="G590" s="8" t="n">
        <v>0</v>
      </c>
      <c r="H590" s="6" t="s">
        <v>1215</v>
      </c>
      <c r="I590" s="6" t="s">
        <v>287</v>
      </c>
      <c r="J590" s="2" t="s">
        <v>2294</v>
      </c>
      <c r="K590" s="2" t="s">
        <v>1159</v>
      </c>
      <c r="L590" s="2" t="s">
        <v>167</v>
      </c>
      <c r="M590" s="2"/>
      <c r="N590" s="2"/>
      <c r="O590" s="2"/>
      <c r="P590" s="2" t="s">
        <v>3225</v>
      </c>
      <c r="Q590" s="6" t="s">
        <v>160</v>
      </c>
      <c r="R590" s="6" t="s">
        <v>85</v>
      </c>
      <c r="S590" s="9" t="s">
        <v>3226</v>
      </c>
      <c r="T590" s="6"/>
      <c r="U590" s="6"/>
      <c r="V590" s="10"/>
      <c r="W590" s="10" t="s">
        <v>88</v>
      </c>
      <c r="X590" s="10"/>
      <c r="Y590" s="10"/>
    </row>
    <row r="591" customFormat="false" ht="23.85" hidden="false" customHeight="false" outlineLevel="0" collapsed="false">
      <c r="A591" s="6" t="n">
        <v>590</v>
      </c>
      <c r="B591" s="7" t="s">
        <v>3227</v>
      </c>
      <c r="C591" s="6" t="str">
        <f aca="false">IF(U591&lt;&gt;"","Client",IF(D591&gt;=9,"A",IF(D591&gt;=7,"B","C")))</f>
        <v>C</v>
      </c>
      <c r="D591" s="6" t="n">
        <f aca="false">E591+F591+G591</f>
        <v>3</v>
      </c>
      <c r="E591" s="6" t="n">
        <v>1</v>
      </c>
      <c r="F591" s="6" t="n">
        <v>2</v>
      </c>
      <c r="G591" s="8" t="n">
        <v>0</v>
      </c>
      <c r="H591" s="6" t="s">
        <v>1583</v>
      </c>
      <c r="I591" s="6" t="s">
        <v>287</v>
      </c>
      <c r="J591" s="2" t="s">
        <v>3228</v>
      </c>
      <c r="K591" s="2" t="s">
        <v>819</v>
      </c>
      <c r="L591" s="2" t="s">
        <v>127</v>
      </c>
      <c r="M591" s="2"/>
      <c r="N591" s="2"/>
      <c r="O591" s="2" t="s">
        <v>3229</v>
      </c>
      <c r="P591" s="2" t="s">
        <v>3230</v>
      </c>
      <c r="Q591" s="6" t="s">
        <v>411</v>
      </c>
      <c r="R591" s="6" t="s">
        <v>85</v>
      </c>
      <c r="S591" s="9" t="s">
        <v>3231</v>
      </c>
      <c r="T591" s="6"/>
      <c r="U591" s="6"/>
      <c r="V591" s="10"/>
      <c r="W591" s="10" t="s">
        <v>88</v>
      </c>
      <c r="X591" s="10"/>
      <c r="Y591" s="10"/>
    </row>
    <row r="592" customFormat="false" ht="23.85" hidden="false" customHeight="false" outlineLevel="0" collapsed="false">
      <c r="A592" s="6" t="n">
        <v>591</v>
      </c>
      <c r="B592" s="7" t="s">
        <v>3232</v>
      </c>
      <c r="C592" s="6" t="str">
        <f aca="false">IF(U592&lt;&gt;"","Client",IF(D592&gt;=9,"A",IF(D592&gt;=7,"B","C")))</f>
        <v>C</v>
      </c>
      <c r="D592" s="6" t="n">
        <f aca="false">E592+F592+G592</f>
        <v>3</v>
      </c>
      <c r="E592" s="6" t="n">
        <v>1</v>
      </c>
      <c r="F592" s="6" t="n">
        <v>2</v>
      </c>
      <c r="G592" s="8" t="n">
        <v>0</v>
      </c>
      <c r="H592" s="6" t="s">
        <v>1598</v>
      </c>
      <c r="I592" s="6" t="s">
        <v>287</v>
      </c>
      <c r="J592" s="2" t="s">
        <v>708</v>
      </c>
      <c r="K592" s="2" t="s">
        <v>3233</v>
      </c>
      <c r="L592" s="2" t="s">
        <v>167</v>
      </c>
      <c r="M592" s="2"/>
      <c r="N592" s="2"/>
      <c r="O592" s="2"/>
      <c r="P592" s="2" t="s">
        <v>3234</v>
      </c>
      <c r="Q592" s="6" t="s">
        <v>84</v>
      </c>
      <c r="R592" s="6" t="s">
        <v>85</v>
      </c>
      <c r="S592" s="9" t="s">
        <v>3235</v>
      </c>
      <c r="T592" s="6"/>
      <c r="U592" s="6"/>
      <c r="V592" s="10"/>
      <c r="W592" s="10" t="s">
        <v>88</v>
      </c>
      <c r="X592" s="10"/>
      <c r="Y592" s="10"/>
    </row>
    <row r="593" customFormat="false" ht="15" hidden="false" customHeight="false" outlineLevel="0" collapsed="false">
      <c r="A593" s="6" t="n">
        <v>592</v>
      </c>
      <c r="B593" s="7" t="s">
        <v>3236</v>
      </c>
      <c r="C593" s="6" t="str">
        <f aca="false">IF(U593&lt;&gt;"","Client",IF(D593&gt;=9,"A",IF(D593&gt;=7,"B","C")))</f>
        <v>C</v>
      </c>
      <c r="D593" s="6" t="n">
        <f aca="false">E593+F593+G593</f>
        <v>3</v>
      </c>
      <c r="E593" s="6" t="n">
        <v>1</v>
      </c>
      <c r="F593" s="6" t="n">
        <v>2</v>
      </c>
      <c r="G593" s="8" t="n">
        <v>0</v>
      </c>
      <c r="H593" s="6" t="s">
        <v>1583</v>
      </c>
      <c r="I593" s="6" t="s">
        <v>287</v>
      </c>
      <c r="J593" s="2" t="s">
        <v>3237</v>
      </c>
      <c r="K593" s="2" t="s">
        <v>3238</v>
      </c>
      <c r="L593" s="2" t="s">
        <v>127</v>
      </c>
      <c r="M593" s="2"/>
      <c r="N593" s="2"/>
      <c r="O593" s="2"/>
      <c r="P593" s="2" t="s">
        <v>3239</v>
      </c>
      <c r="Q593" s="6" t="s">
        <v>84</v>
      </c>
      <c r="R593" s="6" t="s">
        <v>85</v>
      </c>
      <c r="S593" s="9" t="s">
        <v>1650</v>
      </c>
      <c r="T593" s="6"/>
      <c r="U593" s="6"/>
      <c r="V593" s="10"/>
      <c r="W593" s="10" t="s">
        <v>88</v>
      </c>
      <c r="X593" s="10"/>
      <c r="Y593" s="10"/>
    </row>
    <row r="594" customFormat="false" ht="35.05" hidden="false" customHeight="false" outlineLevel="0" collapsed="false">
      <c r="A594" s="6" t="n">
        <v>593</v>
      </c>
      <c r="B594" s="7" t="s">
        <v>3240</v>
      </c>
      <c r="C594" s="6" t="str">
        <f aca="false">IF(U594&lt;&gt;"","Client",IF(D594&gt;=9,"A",IF(D594&gt;=7,"B","C")))</f>
        <v>C</v>
      </c>
      <c r="D594" s="6" t="n">
        <f aca="false">E594+F594+G594</f>
        <v>3</v>
      </c>
      <c r="E594" s="6" t="n">
        <v>1</v>
      </c>
      <c r="F594" s="6" t="n">
        <v>2</v>
      </c>
      <c r="G594" s="8" t="n">
        <v>0</v>
      </c>
      <c r="H594" s="6" t="s">
        <v>1583</v>
      </c>
      <c r="I594" s="6" t="s">
        <v>287</v>
      </c>
      <c r="J594" s="2" t="s">
        <v>3241</v>
      </c>
      <c r="K594" s="2" t="s">
        <v>3242</v>
      </c>
      <c r="L594" s="2" t="s">
        <v>1539</v>
      </c>
      <c r="M594" s="2"/>
      <c r="N594" s="2" t="s">
        <v>1929</v>
      </c>
      <c r="O594" s="2" t="s">
        <v>3243</v>
      </c>
      <c r="P594" s="2" t="s">
        <v>3244</v>
      </c>
      <c r="Q594" s="6" t="s">
        <v>256</v>
      </c>
      <c r="R594" s="6" t="s">
        <v>85</v>
      </c>
      <c r="S594" s="9" t="s">
        <v>3245</v>
      </c>
      <c r="T594" s="9" t="s">
        <v>3246</v>
      </c>
      <c r="U594" s="6"/>
      <c r="V594" s="10"/>
      <c r="W594" s="10" t="s">
        <v>88</v>
      </c>
      <c r="X594" s="10"/>
      <c r="Y594" s="10"/>
    </row>
    <row r="595" customFormat="false" ht="23.85" hidden="false" customHeight="false" outlineLevel="0" collapsed="false">
      <c r="A595" s="6" t="n">
        <v>594</v>
      </c>
      <c r="B595" s="7" t="s">
        <v>3247</v>
      </c>
      <c r="C595" s="6" t="str">
        <f aca="false">IF(U595&lt;&gt;"","Client",IF(D595&gt;=9,"A",IF(D595&gt;=7,"B","C")))</f>
        <v>C</v>
      </c>
      <c r="D595" s="6" t="n">
        <f aca="false">E595+F595+G595</f>
        <v>3</v>
      </c>
      <c r="E595" s="6" t="n">
        <v>1</v>
      </c>
      <c r="F595" s="6" t="n">
        <v>2</v>
      </c>
      <c r="G595" s="8" t="n">
        <v>0</v>
      </c>
      <c r="H595" s="6" t="s">
        <v>1215</v>
      </c>
      <c r="I595" s="6" t="s">
        <v>287</v>
      </c>
      <c r="J595" s="2" t="s">
        <v>3248</v>
      </c>
      <c r="K595" s="2" t="s">
        <v>3249</v>
      </c>
      <c r="L595" s="2" t="s">
        <v>167</v>
      </c>
      <c r="M595" s="2"/>
      <c r="N595" s="2"/>
      <c r="O595" s="2"/>
      <c r="P595" s="2" t="s">
        <v>3250</v>
      </c>
      <c r="Q595" s="6" t="s">
        <v>160</v>
      </c>
      <c r="R595" s="6" t="s">
        <v>85</v>
      </c>
      <c r="S595" s="9" t="s">
        <v>3251</v>
      </c>
      <c r="T595" s="6"/>
      <c r="U595" s="6"/>
      <c r="V595" s="10"/>
      <c r="W595" s="10" t="s">
        <v>88</v>
      </c>
      <c r="X595" s="10"/>
      <c r="Y595" s="10"/>
    </row>
    <row r="596" customFormat="false" ht="23.85" hidden="false" customHeight="false" outlineLevel="0" collapsed="false">
      <c r="A596" s="6" t="n">
        <v>595</v>
      </c>
      <c r="B596" s="7" t="s">
        <v>3252</v>
      </c>
      <c r="C596" s="6" t="str">
        <f aca="false">IF(U596&lt;&gt;"","Client",IF(D596&gt;=9,"A",IF(D596&gt;=7,"B","C")))</f>
        <v>C</v>
      </c>
      <c r="D596" s="6" t="n">
        <f aca="false">E596+F596+G596</f>
        <v>3</v>
      </c>
      <c r="E596" s="6" t="n">
        <v>1</v>
      </c>
      <c r="F596" s="6" t="n">
        <v>2</v>
      </c>
      <c r="G596" s="8" t="n">
        <v>0</v>
      </c>
      <c r="H596" s="6" t="s">
        <v>1215</v>
      </c>
      <c r="I596" s="6" t="s">
        <v>287</v>
      </c>
      <c r="J596" s="2" t="s">
        <v>3253</v>
      </c>
      <c r="K596" s="2" t="s">
        <v>3254</v>
      </c>
      <c r="L596" s="2" t="s">
        <v>290</v>
      </c>
      <c r="M596" s="2"/>
      <c r="N596" s="2"/>
      <c r="O596" s="2" t="s">
        <v>3255</v>
      </c>
      <c r="P596" s="2" t="s">
        <v>3256</v>
      </c>
      <c r="Q596" s="6" t="s">
        <v>256</v>
      </c>
      <c r="R596" s="6" t="s">
        <v>106</v>
      </c>
      <c r="S596" s="9" t="s">
        <v>3257</v>
      </c>
      <c r="T596" s="9" t="s">
        <v>3258</v>
      </c>
      <c r="U596" s="6"/>
      <c r="V596" s="10"/>
      <c r="W596" s="10" t="s">
        <v>88</v>
      </c>
      <c r="X596" s="10"/>
      <c r="Y596" s="10"/>
    </row>
    <row r="597" customFormat="false" ht="23.85" hidden="false" customHeight="false" outlineLevel="0" collapsed="false">
      <c r="A597" s="6" t="n">
        <v>596</v>
      </c>
      <c r="B597" s="7" t="s">
        <v>3259</v>
      </c>
      <c r="C597" s="6" t="str">
        <f aca="false">IF(U597&lt;&gt;"","Client",IF(D597&gt;=9,"A",IF(D597&gt;=7,"B","C")))</f>
        <v>C</v>
      </c>
      <c r="D597" s="6" t="n">
        <f aca="false">E597+F597+G597</f>
        <v>3</v>
      </c>
      <c r="E597" s="6" t="n">
        <v>1</v>
      </c>
      <c r="F597" s="6" t="n">
        <v>2</v>
      </c>
      <c r="G597" s="8" t="n">
        <v>0</v>
      </c>
      <c r="H597" s="6" t="s">
        <v>1598</v>
      </c>
      <c r="I597" s="6" t="s">
        <v>287</v>
      </c>
      <c r="J597" s="2" t="s">
        <v>3260</v>
      </c>
      <c r="K597" s="2" t="s">
        <v>3261</v>
      </c>
      <c r="L597" s="2" t="s">
        <v>290</v>
      </c>
      <c r="M597" s="2"/>
      <c r="N597" s="2" t="s">
        <v>1526</v>
      </c>
      <c r="O597" s="2" t="s">
        <v>3262</v>
      </c>
      <c r="P597" s="2" t="s">
        <v>3263</v>
      </c>
      <c r="Q597" s="6" t="s">
        <v>160</v>
      </c>
      <c r="R597" s="6" t="s">
        <v>85</v>
      </c>
      <c r="S597" s="9" t="s">
        <v>3264</v>
      </c>
      <c r="T597" s="9" t="s">
        <v>3265</v>
      </c>
      <c r="U597" s="6"/>
      <c r="V597" s="10"/>
      <c r="W597" s="10" t="s">
        <v>88</v>
      </c>
      <c r="X597" s="10"/>
      <c r="Y597" s="10"/>
    </row>
    <row r="598" customFormat="false" ht="23.85" hidden="false" customHeight="false" outlineLevel="0" collapsed="false">
      <c r="A598" s="6" t="n">
        <v>597</v>
      </c>
      <c r="B598" s="7" t="s">
        <v>3266</v>
      </c>
      <c r="C598" s="6" t="str">
        <f aca="false">IF(U598&lt;&gt;"","Client",IF(D598&gt;=9,"A",IF(D598&gt;=7,"B","C")))</f>
        <v>C</v>
      </c>
      <c r="D598" s="6" t="n">
        <f aca="false">E598+F598+G598</f>
        <v>3</v>
      </c>
      <c r="E598" s="6" t="n">
        <v>1</v>
      </c>
      <c r="F598" s="6" t="n">
        <v>2</v>
      </c>
      <c r="G598" s="8" t="n">
        <v>0</v>
      </c>
      <c r="H598" s="6" t="s">
        <v>1598</v>
      </c>
      <c r="I598" s="6" t="s">
        <v>287</v>
      </c>
      <c r="J598" s="2" t="s">
        <v>3267</v>
      </c>
      <c r="K598" s="2" t="s">
        <v>3268</v>
      </c>
      <c r="L598" s="2" t="s">
        <v>127</v>
      </c>
      <c r="M598" s="2"/>
      <c r="N598" s="2" t="s">
        <v>1533</v>
      </c>
      <c r="O598" s="2" t="s">
        <v>3269</v>
      </c>
      <c r="P598" s="2" t="s">
        <v>3270</v>
      </c>
      <c r="Q598" s="6" t="s">
        <v>130</v>
      </c>
      <c r="R598" s="6" t="s">
        <v>85</v>
      </c>
      <c r="S598" s="9" t="s">
        <v>3271</v>
      </c>
      <c r="T598" s="6"/>
      <c r="U598" s="6"/>
      <c r="V598" s="10"/>
      <c r="W598" s="10" t="s">
        <v>88</v>
      </c>
      <c r="X598" s="10"/>
      <c r="Y598" s="10"/>
    </row>
    <row r="599" customFormat="false" ht="23.85" hidden="false" customHeight="false" outlineLevel="0" collapsed="false">
      <c r="A599" s="6" t="n">
        <v>598</v>
      </c>
      <c r="B599" s="7" t="s">
        <v>3272</v>
      </c>
      <c r="C599" s="6" t="str">
        <f aca="false">IF(U599&lt;&gt;"","Client",IF(D599&gt;=9,"A",IF(D599&gt;=7,"B","C")))</f>
        <v>C</v>
      </c>
      <c r="D599" s="6" t="n">
        <f aca="false">E599+F599+G599</f>
        <v>3</v>
      </c>
      <c r="E599" s="6" t="n">
        <v>1</v>
      </c>
      <c r="F599" s="6" t="n">
        <v>2</v>
      </c>
      <c r="G599" s="8" t="n">
        <v>0</v>
      </c>
      <c r="H599" s="6" t="s">
        <v>1215</v>
      </c>
      <c r="I599" s="6" t="s">
        <v>287</v>
      </c>
      <c r="J599" s="2" t="s">
        <v>3272</v>
      </c>
      <c r="K599" s="2" t="s">
        <v>3273</v>
      </c>
      <c r="L599" s="2" t="s">
        <v>744</v>
      </c>
      <c r="M599" s="2"/>
      <c r="N599" s="2"/>
      <c r="O599" s="2"/>
      <c r="P599" s="2" t="s">
        <v>3274</v>
      </c>
      <c r="Q599" s="6" t="s">
        <v>461</v>
      </c>
      <c r="R599" s="6" t="s">
        <v>85</v>
      </c>
      <c r="S599" s="9" t="s">
        <v>3275</v>
      </c>
      <c r="T599" s="9" t="s">
        <v>3276</v>
      </c>
      <c r="U599" s="6"/>
      <c r="V599" s="10"/>
      <c r="W599" s="10" t="s">
        <v>88</v>
      </c>
      <c r="X599" s="10"/>
      <c r="Y599" s="10"/>
    </row>
    <row r="600" customFormat="false" ht="46.25" hidden="false" customHeight="false" outlineLevel="0" collapsed="false">
      <c r="A600" s="6" t="n">
        <v>599</v>
      </c>
      <c r="B600" s="7" t="s">
        <v>3277</v>
      </c>
      <c r="C600" s="6" t="str">
        <f aca="false">IF(U600&lt;&gt;"","Client",IF(D600&gt;=9,"A",IF(D600&gt;=7,"B","C")))</f>
        <v>C</v>
      </c>
      <c r="D600" s="6" t="n">
        <f aca="false">E600+F600+G600</f>
        <v>3</v>
      </c>
      <c r="E600" s="6" t="n">
        <v>1</v>
      </c>
      <c r="F600" s="6" t="n">
        <v>2</v>
      </c>
      <c r="G600" s="8" t="n">
        <v>0</v>
      </c>
      <c r="H600" s="6" t="s">
        <v>2312</v>
      </c>
      <c r="I600" s="6" t="s">
        <v>287</v>
      </c>
      <c r="J600" s="2" t="s">
        <v>3278</v>
      </c>
      <c r="K600" s="2" t="s">
        <v>3279</v>
      </c>
      <c r="L600" s="2" t="s">
        <v>127</v>
      </c>
      <c r="M600" s="2"/>
      <c r="N600" s="2" t="s">
        <v>1043</v>
      </c>
      <c r="O600" s="2" t="s">
        <v>3280</v>
      </c>
      <c r="P600" s="2" t="s">
        <v>3281</v>
      </c>
      <c r="Q600" s="6" t="s">
        <v>97</v>
      </c>
      <c r="R600" s="6" t="s">
        <v>85</v>
      </c>
      <c r="S600" s="9" t="s">
        <v>3282</v>
      </c>
      <c r="T600" s="9" t="s">
        <v>1258</v>
      </c>
      <c r="U600" s="6"/>
      <c r="V600" s="10"/>
      <c r="W600" s="10" t="s">
        <v>88</v>
      </c>
      <c r="X600" s="10"/>
      <c r="Y600" s="10"/>
    </row>
    <row r="601" customFormat="false" ht="15" hidden="false" customHeight="false" outlineLevel="0" collapsed="false">
      <c r="A601" s="6" t="n">
        <v>600</v>
      </c>
      <c r="B601" s="7" t="s">
        <v>3283</v>
      </c>
      <c r="C601" s="6" t="str">
        <f aca="false">IF(U601&lt;&gt;"","Client",IF(D601&gt;=9,"A",IF(D601&gt;=7,"B","C")))</f>
        <v>C</v>
      </c>
      <c r="D601" s="6" t="n">
        <f aca="false">E601+F601+G601</f>
        <v>3</v>
      </c>
      <c r="E601" s="6" t="n">
        <v>1</v>
      </c>
      <c r="F601" s="6" t="n">
        <v>2</v>
      </c>
      <c r="G601" s="8" t="n">
        <v>0</v>
      </c>
      <c r="H601" s="6" t="s">
        <v>1583</v>
      </c>
      <c r="I601" s="6" t="s">
        <v>287</v>
      </c>
      <c r="J601" s="2" t="s">
        <v>3284</v>
      </c>
      <c r="K601" s="2" t="s">
        <v>3285</v>
      </c>
      <c r="L601" s="2" t="s">
        <v>127</v>
      </c>
      <c r="M601" s="2"/>
      <c r="N601" s="2"/>
      <c r="O601" s="2"/>
      <c r="P601" s="2" t="s">
        <v>3286</v>
      </c>
      <c r="Q601" s="6" t="s">
        <v>504</v>
      </c>
      <c r="R601" s="6" t="s">
        <v>85</v>
      </c>
      <c r="S601" s="9" t="s">
        <v>3287</v>
      </c>
      <c r="T601" s="6"/>
      <c r="U601" s="6"/>
      <c r="V601" s="10"/>
      <c r="W601" s="10" t="s">
        <v>88</v>
      </c>
      <c r="X601" s="10"/>
      <c r="Y601" s="10"/>
    </row>
    <row r="602" customFormat="false" ht="23.85" hidden="false" customHeight="false" outlineLevel="0" collapsed="false">
      <c r="A602" s="6" t="n">
        <v>601</v>
      </c>
      <c r="B602" s="7" t="s">
        <v>3288</v>
      </c>
      <c r="C602" s="6" t="str">
        <f aca="false">IF(U602&lt;&gt;"","Client",IF(D602&gt;=9,"A",IF(D602&gt;=7,"B","C")))</f>
        <v>C</v>
      </c>
      <c r="D602" s="6" t="n">
        <f aca="false">E602+F602+G602</f>
        <v>3</v>
      </c>
      <c r="E602" s="6" t="n">
        <v>1</v>
      </c>
      <c r="F602" s="6" t="n">
        <v>2</v>
      </c>
      <c r="G602" s="8" t="n">
        <v>0</v>
      </c>
      <c r="H602" s="6" t="s">
        <v>1215</v>
      </c>
      <c r="I602" s="6" t="s">
        <v>287</v>
      </c>
      <c r="J602" s="2" t="s">
        <v>3289</v>
      </c>
      <c r="K602" s="2" t="s">
        <v>3290</v>
      </c>
      <c r="L602" s="2" t="s">
        <v>652</v>
      </c>
      <c r="M602" s="2"/>
      <c r="N602" s="2"/>
      <c r="O602" s="2"/>
      <c r="P602" s="2" t="s">
        <v>3291</v>
      </c>
      <c r="Q602" s="6" t="s">
        <v>308</v>
      </c>
      <c r="R602" s="6" t="s">
        <v>85</v>
      </c>
      <c r="S602" s="9" t="s">
        <v>3292</v>
      </c>
      <c r="T602" s="6"/>
      <c r="U602" s="6"/>
      <c r="V602" s="10"/>
      <c r="W602" s="10" t="s">
        <v>88</v>
      </c>
      <c r="X602" s="10"/>
      <c r="Y602" s="10"/>
    </row>
    <row r="603" customFormat="false" ht="23.85" hidden="false" customHeight="false" outlineLevel="0" collapsed="false">
      <c r="A603" s="6" t="n">
        <v>602</v>
      </c>
      <c r="B603" s="7" t="s">
        <v>3293</v>
      </c>
      <c r="C603" s="6" t="str">
        <f aca="false">IF(U603&lt;&gt;"","Client",IF(D603&gt;=9,"A",IF(D603&gt;=7,"B","C")))</f>
        <v>C</v>
      </c>
      <c r="D603" s="6" t="n">
        <f aca="false">E603+F603+G603</f>
        <v>3</v>
      </c>
      <c r="E603" s="6" t="n">
        <v>1</v>
      </c>
      <c r="F603" s="6" t="n">
        <v>2</v>
      </c>
      <c r="G603" s="8" t="n">
        <v>0</v>
      </c>
      <c r="H603" s="6" t="s">
        <v>1583</v>
      </c>
      <c r="I603" s="6" t="s">
        <v>287</v>
      </c>
      <c r="J603" s="2" t="s">
        <v>3294</v>
      </c>
      <c r="K603" s="2" t="s">
        <v>3295</v>
      </c>
      <c r="L603" s="2" t="s">
        <v>127</v>
      </c>
      <c r="M603" s="2"/>
      <c r="N603" s="2"/>
      <c r="O603" s="2"/>
      <c r="P603" s="2" t="s">
        <v>3296</v>
      </c>
      <c r="Q603" s="6" t="s">
        <v>150</v>
      </c>
      <c r="R603" s="6" t="s">
        <v>85</v>
      </c>
      <c r="S603" s="9" t="s">
        <v>3297</v>
      </c>
      <c r="T603" s="9" t="s">
        <v>3298</v>
      </c>
      <c r="U603" s="6"/>
      <c r="V603" s="10"/>
      <c r="W603" s="10" t="s">
        <v>88</v>
      </c>
      <c r="X603" s="10"/>
      <c r="Y603" s="10"/>
    </row>
    <row r="604" customFormat="false" ht="23.85" hidden="false" customHeight="false" outlineLevel="0" collapsed="false">
      <c r="A604" s="6" t="n">
        <v>603</v>
      </c>
      <c r="B604" s="7" t="s">
        <v>3299</v>
      </c>
      <c r="C604" s="6" t="str">
        <f aca="false">IF(U604&lt;&gt;"","Client",IF(D604&gt;=9,"A",IF(D604&gt;=7,"B","C")))</f>
        <v>C</v>
      </c>
      <c r="D604" s="6" t="n">
        <f aca="false">E604+F604+G604</f>
        <v>3</v>
      </c>
      <c r="E604" s="6" t="n">
        <v>1</v>
      </c>
      <c r="F604" s="6" t="n">
        <v>2</v>
      </c>
      <c r="G604" s="8" t="n">
        <v>0</v>
      </c>
      <c r="H604" s="6" t="s">
        <v>1215</v>
      </c>
      <c r="I604" s="6" t="s">
        <v>287</v>
      </c>
      <c r="J604" s="2" t="s">
        <v>3300</v>
      </c>
      <c r="K604" s="2" t="s">
        <v>3301</v>
      </c>
      <c r="L604" s="2" t="s">
        <v>102</v>
      </c>
      <c r="M604" s="2" t="s">
        <v>3302</v>
      </c>
      <c r="N604" s="2" t="s">
        <v>1043</v>
      </c>
      <c r="O604" s="2" t="s">
        <v>3303</v>
      </c>
      <c r="P604" s="2" t="s">
        <v>3304</v>
      </c>
      <c r="Q604" s="6" t="s">
        <v>97</v>
      </c>
      <c r="R604" s="6" t="s">
        <v>85</v>
      </c>
      <c r="S604" s="9" t="s">
        <v>3305</v>
      </c>
      <c r="T604" s="9" t="s">
        <v>3306</v>
      </c>
      <c r="U604" s="6"/>
      <c r="V604" s="10"/>
      <c r="W604" s="10" t="s">
        <v>88</v>
      </c>
      <c r="X604" s="10"/>
      <c r="Y604" s="10"/>
    </row>
    <row r="605" customFormat="false" ht="15" hidden="false" customHeight="false" outlineLevel="0" collapsed="false">
      <c r="A605" s="6" t="n">
        <v>604</v>
      </c>
      <c r="B605" s="7" t="s">
        <v>3307</v>
      </c>
      <c r="C605" s="6" t="str">
        <f aca="false">IF(U605&lt;&gt;"","Client",IF(D605&gt;=9,"A",IF(D605&gt;=7,"B","C")))</f>
        <v>C</v>
      </c>
      <c r="D605" s="6" t="n">
        <f aca="false">E605+F605+G605</f>
        <v>3</v>
      </c>
      <c r="E605" s="6" t="n">
        <v>1</v>
      </c>
      <c r="F605" s="6" t="n">
        <v>2</v>
      </c>
      <c r="G605" s="8" t="n">
        <v>0</v>
      </c>
      <c r="H605" s="6" t="s">
        <v>1583</v>
      </c>
      <c r="I605" s="6" t="s">
        <v>287</v>
      </c>
      <c r="J605" s="2" t="s">
        <v>3308</v>
      </c>
      <c r="K605" s="2" t="s">
        <v>724</v>
      </c>
      <c r="L605" s="2" t="s">
        <v>102</v>
      </c>
      <c r="M605" s="2"/>
      <c r="N605" s="2"/>
      <c r="O605" s="2"/>
      <c r="P605" s="2" t="s">
        <v>3309</v>
      </c>
      <c r="Q605" s="6" t="s">
        <v>1943</v>
      </c>
      <c r="R605" s="6" t="s">
        <v>106</v>
      </c>
      <c r="S605" s="9" t="s">
        <v>3310</v>
      </c>
      <c r="T605" s="6"/>
      <c r="U605" s="6"/>
      <c r="V605" s="10"/>
      <c r="W605" s="10" t="s">
        <v>88</v>
      </c>
      <c r="X605" s="10"/>
      <c r="Y605" s="10"/>
    </row>
    <row r="606" customFormat="false" ht="23.85" hidden="false" customHeight="false" outlineLevel="0" collapsed="false">
      <c r="A606" s="6" t="n">
        <v>605</v>
      </c>
      <c r="B606" s="7" t="s">
        <v>3311</v>
      </c>
      <c r="C606" s="6" t="str">
        <f aca="false">IF(U606&lt;&gt;"","Client",IF(D606&gt;=9,"A",IF(D606&gt;=7,"B","C")))</f>
        <v>C</v>
      </c>
      <c r="D606" s="6" t="n">
        <f aca="false">E606+F606+G606</f>
        <v>3</v>
      </c>
      <c r="E606" s="6" t="n">
        <v>1</v>
      </c>
      <c r="F606" s="6" t="n">
        <v>2</v>
      </c>
      <c r="G606" s="8" t="n">
        <v>0</v>
      </c>
      <c r="H606" s="6" t="s">
        <v>1215</v>
      </c>
      <c r="I606" s="6" t="s">
        <v>287</v>
      </c>
      <c r="J606" s="2" t="s">
        <v>3312</v>
      </c>
      <c r="K606" s="2" t="s">
        <v>3313</v>
      </c>
      <c r="L606" s="2" t="s">
        <v>1539</v>
      </c>
      <c r="M606" s="2"/>
      <c r="N606" s="2"/>
      <c r="O606" s="2"/>
      <c r="P606" s="2" t="s">
        <v>3314</v>
      </c>
      <c r="Q606" s="6" t="s">
        <v>256</v>
      </c>
      <c r="R606" s="6" t="s">
        <v>106</v>
      </c>
      <c r="S606" s="9" t="s">
        <v>3315</v>
      </c>
      <c r="T606" s="6"/>
      <c r="U606" s="6"/>
      <c r="V606" s="10"/>
      <c r="W606" s="10" t="s">
        <v>88</v>
      </c>
      <c r="X606" s="10"/>
      <c r="Y606" s="10"/>
    </row>
    <row r="607" customFormat="false" ht="15" hidden="false" customHeight="false" outlineLevel="0" collapsed="false">
      <c r="A607" s="6" t="n">
        <v>606</v>
      </c>
      <c r="B607" s="7" t="s">
        <v>3316</v>
      </c>
      <c r="C607" s="6" t="str">
        <f aca="false">IF(U607&lt;&gt;"","Client",IF(D607&gt;=9,"A",IF(D607&gt;=7,"B","C")))</f>
        <v>C</v>
      </c>
      <c r="D607" s="6" t="n">
        <f aca="false">E607+F607+G607</f>
        <v>3</v>
      </c>
      <c r="E607" s="6" t="n">
        <v>1</v>
      </c>
      <c r="F607" s="6" t="n">
        <v>2</v>
      </c>
      <c r="G607" s="8" t="n">
        <v>0</v>
      </c>
      <c r="H607" s="6" t="s">
        <v>1583</v>
      </c>
      <c r="I607" s="6" t="s">
        <v>287</v>
      </c>
      <c r="J607" s="2" t="s">
        <v>3317</v>
      </c>
      <c r="K607" s="2" t="s">
        <v>537</v>
      </c>
      <c r="L607" s="2" t="s">
        <v>127</v>
      </c>
      <c r="M607" s="2"/>
      <c r="N607" s="2"/>
      <c r="O607" s="2" t="s">
        <v>3318</v>
      </c>
      <c r="P607" s="2" t="s">
        <v>3319</v>
      </c>
      <c r="Q607" s="6" t="s">
        <v>448</v>
      </c>
      <c r="R607" s="6" t="s">
        <v>85</v>
      </c>
      <c r="S607" s="9" t="s">
        <v>3320</v>
      </c>
      <c r="T607" s="6"/>
      <c r="U607" s="6"/>
      <c r="V607" s="10"/>
      <c r="W607" s="10" t="s">
        <v>88</v>
      </c>
      <c r="X607" s="10"/>
      <c r="Y607" s="10"/>
    </row>
    <row r="608" customFormat="false" ht="23.85" hidden="false" customHeight="false" outlineLevel="0" collapsed="false">
      <c r="A608" s="6" t="n">
        <v>607</v>
      </c>
      <c r="B608" s="7" t="s">
        <v>3321</v>
      </c>
      <c r="C608" s="6" t="str">
        <f aca="false">IF(U608&lt;&gt;"","Client",IF(D608&gt;=9,"A",IF(D608&gt;=7,"B","C")))</f>
        <v>C</v>
      </c>
      <c r="D608" s="6" t="n">
        <f aca="false">E608+F608+G608</f>
        <v>3</v>
      </c>
      <c r="E608" s="6" t="n">
        <v>1</v>
      </c>
      <c r="F608" s="6" t="n">
        <v>2</v>
      </c>
      <c r="G608" s="8" t="n">
        <v>0</v>
      </c>
      <c r="H608" s="6" t="s">
        <v>2312</v>
      </c>
      <c r="I608" s="6" t="s">
        <v>287</v>
      </c>
      <c r="J608" s="2" t="s">
        <v>3322</v>
      </c>
      <c r="K608" s="2" t="s">
        <v>3323</v>
      </c>
      <c r="L608" s="2" t="s">
        <v>127</v>
      </c>
      <c r="M608" s="2"/>
      <c r="N608" s="2" t="s">
        <v>1043</v>
      </c>
      <c r="O608" s="2" t="s">
        <v>3324</v>
      </c>
      <c r="P608" s="2" t="s">
        <v>3325</v>
      </c>
      <c r="Q608" s="6" t="s">
        <v>130</v>
      </c>
      <c r="R608" s="6" t="s">
        <v>85</v>
      </c>
      <c r="S608" s="9" t="s">
        <v>3326</v>
      </c>
      <c r="T608" s="6"/>
      <c r="U608" s="6"/>
      <c r="V608" s="10"/>
      <c r="W608" s="10" t="s">
        <v>88</v>
      </c>
      <c r="X608" s="10"/>
      <c r="Y608" s="10"/>
    </row>
    <row r="609" customFormat="false" ht="23.85" hidden="false" customHeight="false" outlineLevel="0" collapsed="false">
      <c r="A609" s="6" t="n">
        <v>608</v>
      </c>
      <c r="B609" s="7" t="s">
        <v>3327</v>
      </c>
      <c r="C609" s="6" t="str">
        <f aca="false">IF(U609&lt;&gt;"","Client",IF(D609&gt;=9,"A",IF(D609&gt;=7,"B","C")))</f>
        <v>C</v>
      </c>
      <c r="D609" s="6" t="n">
        <f aca="false">E609+F609+G609</f>
        <v>3</v>
      </c>
      <c r="E609" s="6" t="n">
        <v>1</v>
      </c>
      <c r="F609" s="6" t="n">
        <v>2</v>
      </c>
      <c r="G609" s="8" t="n">
        <v>0</v>
      </c>
      <c r="H609" s="6" t="s">
        <v>1215</v>
      </c>
      <c r="I609" s="6" t="s">
        <v>287</v>
      </c>
      <c r="J609" s="2" t="s">
        <v>3327</v>
      </c>
      <c r="K609" s="2" t="s">
        <v>2818</v>
      </c>
      <c r="L609" s="2" t="s">
        <v>652</v>
      </c>
      <c r="M609" s="2"/>
      <c r="N609" s="2"/>
      <c r="O609" s="2" t="s">
        <v>3328</v>
      </c>
      <c r="P609" s="2" t="s">
        <v>3329</v>
      </c>
      <c r="Q609" s="6" t="s">
        <v>256</v>
      </c>
      <c r="R609" s="6" t="s">
        <v>85</v>
      </c>
      <c r="S609" s="9" t="s">
        <v>2821</v>
      </c>
      <c r="T609" s="6"/>
      <c r="U609" s="6"/>
      <c r="V609" s="10"/>
      <c r="W609" s="10" t="s">
        <v>88</v>
      </c>
      <c r="X609" s="10"/>
      <c r="Y609" s="10"/>
    </row>
    <row r="610" customFormat="false" ht="15" hidden="false" customHeight="false" outlineLevel="0" collapsed="false">
      <c r="A610" s="6" t="n">
        <v>609</v>
      </c>
      <c r="B610" s="7" t="s">
        <v>3330</v>
      </c>
      <c r="C610" s="6" t="str">
        <f aca="false">IF(U610&lt;&gt;"","Client",IF(D610&gt;=9,"A",IF(D610&gt;=7,"B","C")))</f>
        <v>C</v>
      </c>
      <c r="D610" s="6" t="n">
        <f aca="false">E610+F610+G610</f>
        <v>3</v>
      </c>
      <c r="E610" s="6" t="n">
        <v>1</v>
      </c>
      <c r="F610" s="6" t="n">
        <v>2</v>
      </c>
      <c r="G610" s="8" t="n">
        <v>0</v>
      </c>
      <c r="H610" s="6" t="s">
        <v>1598</v>
      </c>
      <c r="I610" s="6" t="s">
        <v>287</v>
      </c>
      <c r="J610" s="2" t="s">
        <v>2850</v>
      </c>
      <c r="K610" s="2" t="s">
        <v>2143</v>
      </c>
      <c r="L610" s="2" t="s">
        <v>127</v>
      </c>
      <c r="M610" s="2"/>
      <c r="N610" s="2"/>
      <c r="O610" s="2"/>
      <c r="P610" s="2" t="s">
        <v>3331</v>
      </c>
      <c r="Q610" s="6" t="s">
        <v>97</v>
      </c>
      <c r="R610" s="6" t="s">
        <v>106</v>
      </c>
      <c r="S610" s="9" t="s">
        <v>2145</v>
      </c>
      <c r="T610" s="6"/>
      <c r="U610" s="6"/>
      <c r="V610" s="10"/>
      <c r="W610" s="10" t="s">
        <v>88</v>
      </c>
      <c r="X610" s="10"/>
      <c r="Y610" s="10"/>
    </row>
    <row r="611" customFormat="false" ht="15" hidden="false" customHeight="false" outlineLevel="0" collapsed="false">
      <c r="A611" s="6" t="n">
        <v>610</v>
      </c>
      <c r="B611" s="7" t="s">
        <v>3332</v>
      </c>
      <c r="C611" s="6" t="str">
        <f aca="false">IF(U611&lt;&gt;"","Client",IF(D611&gt;=9,"A",IF(D611&gt;=7,"B","C")))</f>
        <v>C</v>
      </c>
      <c r="D611" s="6" t="n">
        <f aca="false">E611+F611+G611</f>
        <v>3</v>
      </c>
      <c r="E611" s="6" t="n">
        <v>1</v>
      </c>
      <c r="F611" s="6" t="n">
        <v>2</v>
      </c>
      <c r="G611" s="8" t="n">
        <v>0</v>
      </c>
      <c r="H611" s="6" t="s">
        <v>1215</v>
      </c>
      <c r="I611" s="6" t="s">
        <v>287</v>
      </c>
      <c r="J611" s="2" t="s">
        <v>3333</v>
      </c>
      <c r="K611" s="2" t="s">
        <v>3334</v>
      </c>
      <c r="L611" s="2" t="s">
        <v>127</v>
      </c>
      <c r="M611" s="2"/>
      <c r="N611" s="2"/>
      <c r="O611" s="2"/>
      <c r="P611" s="2" t="s">
        <v>3335</v>
      </c>
      <c r="Q611" s="6" t="s">
        <v>160</v>
      </c>
      <c r="R611" s="6" t="s">
        <v>85</v>
      </c>
      <c r="S611" s="9" t="s">
        <v>3336</v>
      </c>
      <c r="T611" s="6"/>
      <c r="U611" s="6"/>
      <c r="V611" s="10"/>
      <c r="W611" s="10" t="s">
        <v>88</v>
      </c>
      <c r="X611" s="10"/>
      <c r="Y611" s="10"/>
    </row>
    <row r="612" customFormat="false" ht="23.85" hidden="false" customHeight="false" outlineLevel="0" collapsed="false">
      <c r="A612" s="6" t="n">
        <v>611</v>
      </c>
      <c r="B612" s="7" t="s">
        <v>3337</v>
      </c>
      <c r="C612" s="6" t="str">
        <f aca="false">IF(U612&lt;&gt;"","Client",IF(D612&gt;=9,"A",IF(D612&gt;=7,"B","C")))</f>
        <v>C</v>
      </c>
      <c r="D612" s="6" t="n">
        <f aca="false">E612+F612+G612</f>
        <v>3</v>
      </c>
      <c r="E612" s="6" t="n">
        <v>1</v>
      </c>
      <c r="F612" s="6" t="n">
        <v>2</v>
      </c>
      <c r="G612" s="8" t="n">
        <v>0</v>
      </c>
      <c r="H612" s="6" t="s">
        <v>1215</v>
      </c>
      <c r="I612" s="6" t="s">
        <v>287</v>
      </c>
      <c r="J612" s="2" t="s">
        <v>3337</v>
      </c>
      <c r="K612" s="2" t="s">
        <v>3338</v>
      </c>
      <c r="L612" s="2" t="s">
        <v>112</v>
      </c>
      <c r="M612" s="2"/>
      <c r="N612" s="2"/>
      <c r="O612" s="2" t="s">
        <v>3339</v>
      </c>
      <c r="P612" s="2" t="s">
        <v>3340</v>
      </c>
      <c r="Q612" s="6" t="s">
        <v>143</v>
      </c>
      <c r="R612" s="6" t="s">
        <v>106</v>
      </c>
      <c r="S612" s="9" t="s">
        <v>3341</v>
      </c>
      <c r="T612" s="9" t="s">
        <v>3342</v>
      </c>
      <c r="U612" s="6"/>
      <c r="V612" s="10"/>
      <c r="W612" s="10" t="s">
        <v>88</v>
      </c>
      <c r="X612" s="10"/>
      <c r="Y612" s="10"/>
    </row>
    <row r="613" customFormat="false" ht="15" hidden="false" customHeight="false" outlineLevel="0" collapsed="false">
      <c r="A613" s="6" t="n">
        <v>612</v>
      </c>
      <c r="B613" s="7" t="s">
        <v>3343</v>
      </c>
      <c r="C613" s="6" t="str">
        <f aca="false">IF(U613&lt;&gt;"","Client",IF(D613&gt;=9,"A",IF(D613&gt;=7,"B","C")))</f>
        <v>C</v>
      </c>
      <c r="D613" s="6" t="n">
        <f aca="false">E613+F613+G613</f>
        <v>3</v>
      </c>
      <c r="E613" s="6" t="n">
        <v>1</v>
      </c>
      <c r="F613" s="6" t="n">
        <v>2</v>
      </c>
      <c r="G613" s="8" t="n">
        <v>0</v>
      </c>
      <c r="H613" s="6" t="s">
        <v>1583</v>
      </c>
      <c r="I613" s="6" t="s">
        <v>287</v>
      </c>
      <c r="J613" s="2" t="s">
        <v>3344</v>
      </c>
      <c r="K613" s="2" t="s">
        <v>3345</v>
      </c>
      <c r="L613" s="2" t="s">
        <v>1921</v>
      </c>
      <c r="M613" s="2"/>
      <c r="N613" s="2"/>
      <c r="O613" s="2"/>
      <c r="P613" s="2" t="s">
        <v>3346</v>
      </c>
      <c r="Q613" s="6" t="s">
        <v>517</v>
      </c>
      <c r="R613" s="6" t="s">
        <v>106</v>
      </c>
      <c r="S613" s="9" t="s">
        <v>3347</v>
      </c>
      <c r="T613" s="9" t="s">
        <v>3348</v>
      </c>
      <c r="U613" s="6"/>
      <c r="V613" s="10"/>
      <c r="W613" s="10" t="s">
        <v>88</v>
      </c>
      <c r="X613" s="10"/>
      <c r="Y613" s="10"/>
    </row>
    <row r="614" customFormat="false" ht="23.85" hidden="false" customHeight="false" outlineLevel="0" collapsed="false">
      <c r="A614" s="6" t="n">
        <v>613</v>
      </c>
      <c r="B614" s="7" t="s">
        <v>3349</v>
      </c>
      <c r="C614" s="6" t="str">
        <f aca="false">IF(U614&lt;&gt;"","Client",IF(D614&gt;=9,"A",IF(D614&gt;=7,"B","C")))</f>
        <v>C</v>
      </c>
      <c r="D614" s="6" t="n">
        <f aca="false">E614+F614+G614</f>
        <v>3</v>
      </c>
      <c r="E614" s="6" t="n">
        <v>1</v>
      </c>
      <c r="F614" s="6" t="n">
        <v>2</v>
      </c>
      <c r="G614" s="8" t="n">
        <v>0</v>
      </c>
      <c r="H614" s="6" t="s">
        <v>1215</v>
      </c>
      <c r="I614" s="6" t="s">
        <v>287</v>
      </c>
      <c r="J614" s="2" t="s">
        <v>3350</v>
      </c>
      <c r="K614" s="2" t="s">
        <v>3351</v>
      </c>
      <c r="L614" s="2" t="s">
        <v>127</v>
      </c>
      <c r="M614" s="2"/>
      <c r="N614" s="2"/>
      <c r="O614" s="2"/>
      <c r="P614" s="2" t="s">
        <v>3352</v>
      </c>
      <c r="Q614" s="6" t="s">
        <v>123</v>
      </c>
      <c r="R614" s="6" t="s">
        <v>85</v>
      </c>
      <c r="S614" s="9" t="s">
        <v>3353</v>
      </c>
      <c r="T614" s="6"/>
      <c r="U614" s="6"/>
      <c r="V614" s="10"/>
      <c r="W614" s="10" t="s">
        <v>88</v>
      </c>
      <c r="X614" s="10"/>
      <c r="Y614" s="10"/>
    </row>
    <row r="615" customFormat="false" ht="23.85" hidden="false" customHeight="false" outlineLevel="0" collapsed="false">
      <c r="A615" s="6" t="n">
        <v>614</v>
      </c>
      <c r="B615" s="7" t="s">
        <v>3354</v>
      </c>
      <c r="C615" s="6" t="str">
        <f aca="false">IF(U615&lt;&gt;"","Client",IF(D615&gt;=9,"A",IF(D615&gt;=7,"B","C")))</f>
        <v>C</v>
      </c>
      <c r="D615" s="6" t="n">
        <f aca="false">E615+F615+G615</f>
        <v>3</v>
      </c>
      <c r="E615" s="6" t="n">
        <v>1</v>
      </c>
      <c r="F615" s="6" t="n">
        <v>2</v>
      </c>
      <c r="G615" s="8" t="n">
        <v>0</v>
      </c>
      <c r="H615" s="6" t="s">
        <v>1583</v>
      </c>
      <c r="I615" s="6" t="s">
        <v>287</v>
      </c>
      <c r="J615" s="2" t="s">
        <v>3355</v>
      </c>
      <c r="K615" s="2" t="s">
        <v>3356</v>
      </c>
      <c r="L615" s="2" t="s">
        <v>1175</v>
      </c>
      <c r="M615" s="2"/>
      <c r="N615" s="2"/>
      <c r="O615" s="2"/>
      <c r="P615" s="2" t="s">
        <v>3357</v>
      </c>
      <c r="Q615" s="6" t="s">
        <v>160</v>
      </c>
      <c r="R615" s="6" t="s">
        <v>106</v>
      </c>
      <c r="S615" s="9" t="s">
        <v>3358</v>
      </c>
      <c r="T615" s="6"/>
      <c r="U615" s="6"/>
      <c r="V615" s="10"/>
      <c r="W615" s="10" t="s">
        <v>88</v>
      </c>
      <c r="X615" s="10"/>
      <c r="Y615" s="10"/>
    </row>
    <row r="616" customFormat="false" ht="15" hidden="false" customHeight="false" outlineLevel="0" collapsed="false">
      <c r="A616" s="6" t="n">
        <v>615</v>
      </c>
      <c r="B616" s="7" t="s">
        <v>3359</v>
      </c>
      <c r="C616" s="6" t="str">
        <f aca="false">IF(U616&lt;&gt;"","Client",IF(D616&gt;=9,"A",IF(D616&gt;=7,"B","C")))</f>
        <v>C</v>
      </c>
      <c r="D616" s="6" t="n">
        <f aca="false">E616+F616+G616</f>
        <v>3</v>
      </c>
      <c r="E616" s="6" t="n">
        <v>1</v>
      </c>
      <c r="F616" s="6" t="n">
        <v>2</v>
      </c>
      <c r="G616" s="8" t="n">
        <v>0</v>
      </c>
      <c r="H616" s="6" t="s">
        <v>1215</v>
      </c>
      <c r="I616" s="6" t="s">
        <v>287</v>
      </c>
      <c r="J616" s="2" t="s">
        <v>3360</v>
      </c>
      <c r="K616" s="2" t="s">
        <v>2907</v>
      </c>
      <c r="L616" s="2" t="s">
        <v>102</v>
      </c>
      <c r="M616" s="2"/>
      <c r="N616" s="2"/>
      <c r="O616" s="2" t="s">
        <v>3361</v>
      </c>
      <c r="P616" s="2" t="s">
        <v>3362</v>
      </c>
      <c r="Q616" s="6" t="s">
        <v>308</v>
      </c>
      <c r="R616" s="6" t="s">
        <v>106</v>
      </c>
      <c r="S616" s="9" t="s">
        <v>3363</v>
      </c>
      <c r="T616" s="6"/>
      <c r="U616" s="6"/>
      <c r="V616" s="10"/>
      <c r="W616" s="10" t="s">
        <v>88</v>
      </c>
      <c r="X616" s="10"/>
      <c r="Y616" s="10"/>
    </row>
    <row r="617" customFormat="false" ht="15" hidden="false" customHeight="false" outlineLevel="0" collapsed="false">
      <c r="A617" s="6" t="n">
        <v>616</v>
      </c>
      <c r="B617" s="7" t="s">
        <v>3364</v>
      </c>
      <c r="C617" s="6" t="str">
        <f aca="false">IF(U617&lt;&gt;"","Client",IF(D617&gt;=9,"A",IF(D617&gt;=7,"B","C")))</f>
        <v>C</v>
      </c>
      <c r="D617" s="6" t="n">
        <f aca="false">E617+F617+G617</f>
        <v>3</v>
      </c>
      <c r="E617" s="6" t="n">
        <v>1</v>
      </c>
      <c r="F617" s="6" t="n">
        <v>2</v>
      </c>
      <c r="G617" s="8" t="n">
        <v>0</v>
      </c>
      <c r="H617" s="6" t="s">
        <v>1215</v>
      </c>
      <c r="I617" s="6" t="s">
        <v>287</v>
      </c>
      <c r="J617" s="2" t="s">
        <v>3364</v>
      </c>
      <c r="K617" s="2" t="s">
        <v>3365</v>
      </c>
      <c r="L617" s="2" t="s">
        <v>127</v>
      </c>
      <c r="M617" s="2"/>
      <c r="N617" s="2"/>
      <c r="O617" s="2"/>
      <c r="P617" s="2" t="s">
        <v>3366</v>
      </c>
      <c r="Q617" s="6" t="s">
        <v>123</v>
      </c>
      <c r="R617" s="6" t="s">
        <v>85</v>
      </c>
      <c r="S617" s="9" t="s">
        <v>3367</v>
      </c>
      <c r="T617" s="6"/>
      <c r="U617" s="6"/>
      <c r="V617" s="10"/>
      <c r="W617" s="10" t="s">
        <v>88</v>
      </c>
      <c r="X617" s="10"/>
      <c r="Y617" s="10"/>
    </row>
    <row r="618" customFormat="false" ht="23.85" hidden="false" customHeight="false" outlineLevel="0" collapsed="false">
      <c r="A618" s="6" t="n">
        <v>617</v>
      </c>
      <c r="B618" s="7" t="s">
        <v>3368</v>
      </c>
      <c r="C618" s="6" t="str">
        <f aca="false">IF(U618&lt;&gt;"","Client",IF(D618&gt;=9,"A",IF(D618&gt;=7,"B","C")))</f>
        <v>C</v>
      </c>
      <c r="D618" s="6" t="n">
        <f aca="false">E618+F618+G618</f>
        <v>3</v>
      </c>
      <c r="E618" s="6" t="n">
        <v>1</v>
      </c>
      <c r="F618" s="6" t="n">
        <v>2</v>
      </c>
      <c r="G618" s="8" t="n">
        <v>0</v>
      </c>
      <c r="H618" s="6" t="s">
        <v>1215</v>
      </c>
      <c r="I618" s="6" t="s">
        <v>287</v>
      </c>
      <c r="J618" s="2" t="s">
        <v>3369</v>
      </c>
      <c r="K618" s="2" t="s">
        <v>3370</v>
      </c>
      <c r="L618" s="2" t="s">
        <v>652</v>
      </c>
      <c r="M618" s="2"/>
      <c r="N618" s="2"/>
      <c r="O618" s="2" t="s">
        <v>3371</v>
      </c>
      <c r="P618" s="2" t="s">
        <v>3372</v>
      </c>
      <c r="Q618" s="6" t="s">
        <v>84</v>
      </c>
      <c r="R618" s="6" t="s">
        <v>106</v>
      </c>
      <c r="S618" s="9" t="s">
        <v>3373</v>
      </c>
      <c r="T618" s="6"/>
      <c r="U618" s="6"/>
      <c r="V618" s="10"/>
      <c r="W618" s="10" t="s">
        <v>88</v>
      </c>
      <c r="X618" s="10"/>
      <c r="Y618" s="10"/>
    </row>
    <row r="619" customFormat="false" ht="23.85" hidden="false" customHeight="false" outlineLevel="0" collapsed="false">
      <c r="A619" s="6" t="n">
        <v>618</v>
      </c>
      <c r="B619" s="7" t="s">
        <v>3374</v>
      </c>
      <c r="C619" s="6" t="str">
        <f aca="false">IF(U619&lt;&gt;"","Client",IF(D619&gt;=9,"A",IF(D619&gt;=7,"B","C")))</f>
        <v>C</v>
      </c>
      <c r="D619" s="6" t="n">
        <f aca="false">E619+F619+G619</f>
        <v>3</v>
      </c>
      <c r="E619" s="6" t="n">
        <v>1</v>
      </c>
      <c r="F619" s="6" t="n">
        <v>2</v>
      </c>
      <c r="G619" s="8" t="n">
        <v>0</v>
      </c>
      <c r="H619" s="6" t="s">
        <v>1583</v>
      </c>
      <c r="I619" s="6" t="s">
        <v>287</v>
      </c>
      <c r="J619" s="2" t="s">
        <v>3375</v>
      </c>
      <c r="K619" s="2" t="s">
        <v>3376</v>
      </c>
      <c r="L619" s="2" t="s">
        <v>1683</v>
      </c>
      <c r="M619" s="2"/>
      <c r="N619" s="2"/>
      <c r="O619" s="2"/>
      <c r="P619" s="2" t="s">
        <v>3377</v>
      </c>
      <c r="Q619" s="6" t="s">
        <v>84</v>
      </c>
      <c r="R619" s="6" t="s">
        <v>106</v>
      </c>
      <c r="S619" s="9" t="s">
        <v>3378</v>
      </c>
      <c r="T619" s="9" t="s">
        <v>3379</v>
      </c>
      <c r="U619" s="6"/>
      <c r="V619" s="10"/>
      <c r="W619" s="10" t="s">
        <v>88</v>
      </c>
      <c r="X619" s="10"/>
      <c r="Y619" s="10"/>
    </row>
    <row r="620" customFormat="false" ht="23.85" hidden="false" customHeight="false" outlineLevel="0" collapsed="false">
      <c r="A620" s="6" t="n">
        <v>619</v>
      </c>
      <c r="B620" s="7" t="s">
        <v>3380</v>
      </c>
      <c r="C620" s="6" t="str">
        <f aca="false">IF(U620&lt;&gt;"","Client",IF(D620&gt;=9,"A",IF(D620&gt;=7,"B","C")))</f>
        <v>C</v>
      </c>
      <c r="D620" s="6" t="n">
        <f aca="false">E620+F620+G620</f>
        <v>3</v>
      </c>
      <c r="E620" s="6" t="n">
        <v>1</v>
      </c>
      <c r="F620" s="6" t="n">
        <v>2</v>
      </c>
      <c r="G620" s="8" t="n">
        <v>0</v>
      </c>
      <c r="H620" s="6" t="s">
        <v>1583</v>
      </c>
      <c r="I620" s="6" t="s">
        <v>287</v>
      </c>
      <c r="J620" s="2" t="s">
        <v>3381</v>
      </c>
      <c r="K620" s="2" t="s">
        <v>3382</v>
      </c>
      <c r="L620" s="2" t="s">
        <v>127</v>
      </c>
      <c r="M620" s="2"/>
      <c r="N620" s="2"/>
      <c r="O620" s="2" t="s">
        <v>3383</v>
      </c>
      <c r="P620" s="2" t="s">
        <v>3384</v>
      </c>
      <c r="Q620" s="6" t="s">
        <v>84</v>
      </c>
      <c r="R620" s="6" t="s">
        <v>106</v>
      </c>
      <c r="S620" s="9" t="s">
        <v>3385</v>
      </c>
      <c r="T620" s="6"/>
      <c r="U620" s="6"/>
      <c r="V620" s="10"/>
      <c r="W620" s="10" t="s">
        <v>88</v>
      </c>
      <c r="X620" s="10"/>
      <c r="Y620" s="10"/>
    </row>
    <row r="621" customFormat="false" ht="23.85" hidden="false" customHeight="false" outlineLevel="0" collapsed="false">
      <c r="A621" s="6" t="n">
        <v>620</v>
      </c>
      <c r="B621" s="7" t="s">
        <v>3386</v>
      </c>
      <c r="C621" s="6" t="str">
        <f aca="false">IF(U621&lt;&gt;"","Client",IF(D621&gt;=9,"A",IF(D621&gt;=7,"B","C")))</f>
        <v>C</v>
      </c>
      <c r="D621" s="6" t="n">
        <f aca="false">E621+F621+G621</f>
        <v>3</v>
      </c>
      <c r="E621" s="6" t="n">
        <v>1</v>
      </c>
      <c r="F621" s="6" t="n">
        <v>2</v>
      </c>
      <c r="G621" s="8" t="n">
        <v>0</v>
      </c>
      <c r="H621" s="6" t="s">
        <v>1583</v>
      </c>
      <c r="I621" s="6" t="s">
        <v>287</v>
      </c>
      <c r="J621" s="2" t="s">
        <v>3387</v>
      </c>
      <c r="K621" s="2" t="s">
        <v>1241</v>
      </c>
      <c r="L621" s="2" t="s">
        <v>652</v>
      </c>
      <c r="M621" s="2"/>
      <c r="N621" s="2"/>
      <c r="O621" s="2"/>
      <c r="P621" s="2" t="s">
        <v>3388</v>
      </c>
      <c r="Q621" s="6" t="s">
        <v>1455</v>
      </c>
      <c r="R621" s="6" t="s">
        <v>106</v>
      </c>
      <c r="S621" s="9" t="s">
        <v>1737</v>
      </c>
      <c r="T621" s="6"/>
      <c r="U621" s="6"/>
      <c r="V621" s="10"/>
      <c r="W621" s="10" t="s">
        <v>88</v>
      </c>
      <c r="X621" s="10"/>
      <c r="Y621" s="10"/>
    </row>
    <row r="622" customFormat="false" ht="23.85" hidden="false" customHeight="false" outlineLevel="0" collapsed="false">
      <c r="A622" s="6" t="n">
        <v>621</v>
      </c>
      <c r="B622" s="7" t="s">
        <v>3389</v>
      </c>
      <c r="C622" s="6" t="str">
        <f aca="false">IF(U622&lt;&gt;"","Client",IF(D622&gt;=9,"A",IF(D622&gt;=7,"B","C")))</f>
        <v>C</v>
      </c>
      <c r="D622" s="6" t="n">
        <f aca="false">E622+F622+G622</f>
        <v>3</v>
      </c>
      <c r="E622" s="6" t="n">
        <v>1</v>
      </c>
      <c r="F622" s="6" t="n">
        <v>2</v>
      </c>
      <c r="G622" s="8" t="n">
        <v>0</v>
      </c>
      <c r="H622" s="6" t="s">
        <v>1215</v>
      </c>
      <c r="I622" s="6" t="s">
        <v>287</v>
      </c>
      <c r="J622" s="2" t="s">
        <v>3070</v>
      </c>
      <c r="K622" s="2" t="s">
        <v>3390</v>
      </c>
      <c r="L622" s="2" t="s">
        <v>102</v>
      </c>
      <c r="M622" s="2"/>
      <c r="N622" s="2"/>
      <c r="O622" s="2" t="s">
        <v>3339</v>
      </c>
      <c r="P622" s="2" t="s">
        <v>3391</v>
      </c>
      <c r="Q622" s="6" t="s">
        <v>2856</v>
      </c>
      <c r="R622" s="6" t="s">
        <v>106</v>
      </c>
      <c r="S622" s="9" t="s">
        <v>3392</v>
      </c>
      <c r="T622" s="6"/>
      <c r="U622" s="6"/>
      <c r="V622" s="10"/>
      <c r="W622" s="10" t="s">
        <v>88</v>
      </c>
      <c r="X622" s="10"/>
      <c r="Y622" s="10"/>
    </row>
    <row r="623" customFormat="false" ht="23.85" hidden="false" customHeight="false" outlineLevel="0" collapsed="false">
      <c r="A623" s="6" t="n">
        <v>622</v>
      </c>
      <c r="B623" s="7" t="s">
        <v>3393</v>
      </c>
      <c r="C623" s="6" t="str">
        <f aca="false">IF(U623&lt;&gt;"","Client",IF(D623&gt;=9,"A",IF(D623&gt;=7,"B","C")))</f>
        <v>C</v>
      </c>
      <c r="D623" s="6" t="n">
        <f aca="false">E623+F623+G623</f>
        <v>3</v>
      </c>
      <c r="E623" s="6" t="n">
        <v>1</v>
      </c>
      <c r="F623" s="6" t="n">
        <v>2</v>
      </c>
      <c r="G623" s="8" t="n">
        <v>0</v>
      </c>
      <c r="H623" s="6" t="s">
        <v>1583</v>
      </c>
      <c r="I623" s="6" t="s">
        <v>287</v>
      </c>
      <c r="J623" s="2" t="s">
        <v>3394</v>
      </c>
      <c r="K623" s="2" t="s">
        <v>2947</v>
      </c>
      <c r="L623" s="2" t="s">
        <v>127</v>
      </c>
      <c r="M623" s="2"/>
      <c r="N623" s="2" t="s">
        <v>1533</v>
      </c>
      <c r="O623" s="2"/>
      <c r="P623" s="2" t="s">
        <v>3395</v>
      </c>
      <c r="Q623" s="6" t="s">
        <v>256</v>
      </c>
      <c r="R623" s="6" t="s">
        <v>85</v>
      </c>
      <c r="S623" s="9" t="s">
        <v>3396</v>
      </c>
      <c r="T623" s="6"/>
      <c r="U623" s="6"/>
      <c r="V623" s="10"/>
      <c r="W623" s="10" t="s">
        <v>88</v>
      </c>
      <c r="X623" s="10"/>
      <c r="Y623" s="10"/>
    </row>
    <row r="624" customFormat="false" ht="23.85" hidden="false" customHeight="false" outlineLevel="0" collapsed="false">
      <c r="A624" s="6" t="n">
        <v>623</v>
      </c>
      <c r="B624" s="7" t="s">
        <v>3397</v>
      </c>
      <c r="C624" s="6" t="str">
        <f aca="false">IF(U624&lt;&gt;"","Client",IF(D624&gt;=9,"A",IF(D624&gt;=7,"B","C")))</f>
        <v>C</v>
      </c>
      <c r="D624" s="6" t="n">
        <f aca="false">E624+F624+G624</f>
        <v>3</v>
      </c>
      <c r="E624" s="6" t="n">
        <v>1</v>
      </c>
      <c r="F624" s="6" t="n">
        <v>2</v>
      </c>
      <c r="G624" s="8" t="n">
        <v>0</v>
      </c>
      <c r="H624" s="6" t="s">
        <v>1583</v>
      </c>
      <c r="I624" s="6" t="s">
        <v>287</v>
      </c>
      <c r="J624" s="2" t="s">
        <v>3398</v>
      </c>
      <c r="K624" s="2" t="s">
        <v>3399</v>
      </c>
      <c r="L624" s="2" t="s">
        <v>127</v>
      </c>
      <c r="M624" s="2"/>
      <c r="N624" s="2"/>
      <c r="O624" s="2"/>
      <c r="P624" s="2" t="s">
        <v>3400</v>
      </c>
      <c r="Q624" s="6" t="s">
        <v>97</v>
      </c>
      <c r="R624" s="6" t="s">
        <v>106</v>
      </c>
      <c r="S624" s="9" t="s">
        <v>1083</v>
      </c>
      <c r="T624" s="6"/>
      <c r="U624" s="6"/>
      <c r="V624" s="10"/>
      <c r="W624" s="10" t="s">
        <v>88</v>
      </c>
      <c r="X624" s="10"/>
      <c r="Y624" s="10"/>
    </row>
    <row r="625" customFormat="false" ht="23.85" hidden="false" customHeight="false" outlineLevel="0" collapsed="false">
      <c r="A625" s="6" t="n">
        <v>624</v>
      </c>
      <c r="B625" s="7" t="s">
        <v>3401</v>
      </c>
      <c r="C625" s="6" t="str">
        <f aca="false">IF(U625&lt;&gt;"","Client",IF(D625&gt;=9,"A",IF(D625&gt;=7,"B","C")))</f>
        <v>C</v>
      </c>
      <c r="D625" s="6" t="n">
        <f aca="false">E625+F625+G625</f>
        <v>3</v>
      </c>
      <c r="E625" s="6" t="n">
        <v>1</v>
      </c>
      <c r="F625" s="6" t="n">
        <v>2</v>
      </c>
      <c r="G625" s="8" t="n">
        <v>0</v>
      </c>
      <c r="H625" s="6" t="s">
        <v>1583</v>
      </c>
      <c r="I625" s="6" t="s">
        <v>287</v>
      </c>
      <c r="J625" s="2" t="s">
        <v>3402</v>
      </c>
      <c r="K625" s="2" t="s">
        <v>3403</v>
      </c>
      <c r="L625" s="2" t="s">
        <v>127</v>
      </c>
      <c r="M625" s="2"/>
      <c r="N625" s="2"/>
      <c r="O625" s="2"/>
      <c r="P625" s="2" t="s">
        <v>3404</v>
      </c>
      <c r="Q625" s="6" t="s">
        <v>504</v>
      </c>
      <c r="R625" s="6" t="s">
        <v>106</v>
      </c>
      <c r="S625" s="9" t="s">
        <v>3405</v>
      </c>
      <c r="T625" s="6"/>
      <c r="U625" s="6"/>
      <c r="V625" s="10"/>
      <c r="W625" s="10" t="s">
        <v>88</v>
      </c>
      <c r="X625" s="10"/>
      <c r="Y625" s="10"/>
    </row>
    <row r="626" customFormat="false" ht="35.05" hidden="false" customHeight="false" outlineLevel="0" collapsed="false">
      <c r="A626" s="6" t="n">
        <v>625</v>
      </c>
      <c r="B626" s="7" t="s">
        <v>3406</v>
      </c>
      <c r="C626" s="6" t="str">
        <f aca="false">IF(U626&lt;&gt;"","Client",IF(D626&gt;=9,"A",IF(D626&gt;=7,"B","C")))</f>
        <v>C</v>
      </c>
      <c r="D626" s="6" t="n">
        <f aca="false">E626+F626+G626</f>
        <v>3</v>
      </c>
      <c r="E626" s="6" t="n">
        <v>1</v>
      </c>
      <c r="F626" s="6" t="n">
        <v>2</v>
      </c>
      <c r="G626" s="8" t="n">
        <v>0</v>
      </c>
      <c r="H626" s="6" t="s">
        <v>2312</v>
      </c>
      <c r="I626" s="6" t="s">
        <v>287</v>
      </c>
      <c r="J626" s="2" t="s">
        <v>3406</v>
      </c>
      <c r="K626" s="2" t="s">
        <v>3407</v>
      </c>
      <c r="L626" s="2" t="s">
        <v>112</v>
      </c>
      <c r="M626" s="2"/>
      <c r="N626" s="2" t="s">
        <v>1929</v>
      </c>
      <c r="O626" s="2" t="s">
        <v>3408</v>
      </c>
      <c r="P626" s="2" t="s">
        <v>3409</v>
      </c>
      <c r="Q626" s="6" t="s">
        <v>160</v>
      </c>
      <c r="R626" s="6" t="s">
        <v>85</v>
      </c>
      <c r="S626" s="9" t="s">
        <v>3410</v>
      </c>
      <c r="T626" s="9" t="s">
        <v>3411</v>
      </c>
      <c r="U626" s="6"/>
      <c r="V626" s="10"/>
      <c r="W626" s="10" t="s">
        <v>88</v>
      </c>
      <c r="X626" s="10"/>
      <c r="Y626" s="10"/>
    </row>
    <row r="627" customFormat="false" ht="15" hidden="false" customHeight="false" outlineLevel="0" collapsed="false">
      <c r="A627" s="6" t="n">
        <v>626</v>
      </c>
      <c r="B627" s="7" t="s">
        <v>3412</v>
      </c>
      <c r="C627" s="6" t="str">
        <f aca="false">IF(U627&lt;&gt;"","Client",IF(D627&gt;=9,"A",IF(D627&gt;=7,"B","C")))</f>
        <v>C</v>
      </c>
      <c r="D627" s="6" t="n">
        <f aca="false">E627+F627+G627</f>
        <v>3</v>
      </c>
      <c r="E627" s="6" t="n">
        <v>1</v>
      </c>
      <c r="F627" s="6" t="n">
        <v>2</v>
      </c>
      <c r="G627" s="8" t="n">
        <v>0</v>
      </c>
      <c r="H627" s="6" t="s">
        <v>1583</v>
      </c>
      <c r="I627" s="6" t="s">
        <v>287</v>
      </c>
      <c r="J627" s="2" t="s">
        <v>3413</v>
      </c>
      <c r="K627" s="2" t="s">
        <v>3414</v>
      </c>
      <c r="L627" s="2" t="s">
        <v>127</v>
      </c>
      <c r="M627" s="2"/>
      <c r="N627" s="2"/>
      <c r="O627" s="2"/>
      <c r="P627" s="2" t="s">
        <v>3415</v>
      </c>
      <c r="Q627" s="6" t="s">
        <v>461</v>
      </c>
      <c r="R627" s="6" t="s">
        <v>85</v>
      </c>
      <c r="S627" s="9" t="s">
        <v>3416</v>
      </c>
      <c r="T627" s="6"/>
      <c r="U627" s="6"/>
      <c r="V627" s="10"/>
      <c r="W627" s="10" t="s">
        <v>88</v>
      </c>
      <c r="X627" s="10"/>
      <c r="Y627" s="10"/>
    </row>
    <row r="628" customFormat="false" ht="23.85" hidden="false" customHeight="false" outlineLevel="0" collapsed="false">
      <c r="A628" s="6" t="n">
        <v>627</v>
      </c>
      <c r="B628" s="7" t="s">
        <v>3417</v>
      </c>
      <c r="C628" s="6" t="str">
        <f aca="false">IF(U628&lt;&gt;"","Client",IF(D628&gt;=9,"A",IF(D628&gt;=7,"B","C")))</f>
        <v>C</v>
      </c>
      <c r="D628" s="6" t="n">
        <f aca="false">E628+F628+G628</f>
        <v>3</v>
      </c>
      <c r="E628" s="6" t="n">
        <v>1</v>
      </c>
      <c r="F628" s="6" t="n">
        <v>2</v>
      </c>
      <c r="G628" s="8" t="n">
        <v>0</v>
      </c>
      <c r="H628" s="6" t="s">
        <v>1215</v>
      </c>
      <c r="I628" s="6" t="s">
        <v>287</v>
      </c>
      <c r="J628" s="2" t="s">
        <v>3418</v>
      </c>
      <c r="K628" s="2" t="s">
        <v>2733</v>
      </c>
      <c r="L628" s="2" t="s">
        <v>1539</v>
      </c>
      <c r="M628" s="2"/>
      <c r="N628" s="2"/>
      <c r="O628" s="2" t="s">
        <v>3419</v>
      </c>
      <c r="P628" s="2" t="s">
        <v>3420</v>
      </c>
      <c r="Q628" s="6" t="s">
        <v>504</v>
      </c>
      <c r="R628" s="6" t="s">
        <v>85</v>
      </c>
      <c r="S628" s="9" t="s">
        <v>3421</v>
      </c>
      <c r="T628" s="6"/>
      <c r="U628" s="6"/>
      <c r="V628" s="10"/>
      <c r="W628" s="10" t="s">
        <v>88</v>
      </c>
      <c r="X628" s="10"/>
      <c r="Y628" s="10"/>
    </row>
    <row r="629" customFormat="false" ht="15" hidden="false" customHeight="false" outlineLevel="0" collapsed="false">
      <c r="A629" s="6" t="n">
        <v>628</v>
      </c>
      <c r="B629" s="7" t="s">
        <v>3422</v>
      </c>
      <c r="C629" s="6" t="str">
        <f aca="false">IF(U629&lt;&gt;"","Client",IF(D629&gt;=9,"A",IF(D629&gt;=7,"B","C")))</f>
        <v>C</v>
      </c>
      <c r="D629" s="6" t="n">
        <f aca="false">E629+F629+G629</f>
        <v>3</v>
      </c>
      <c r="E629" s="6" t="n">
        <v>1</v>
      </c>
      <c r="F629" s="6" t="n">
        <v>2</v>
      </c>
      <c r="G629" s="8" t="n">
        <v>0</v>
      </c>
      <c r="H629" s="6" t="s">
        <v>1598</v>
      </c>
      <c r="I629" s="6" t="s">
        <v>287</v>
      </c>
      <c r="J629" s="2" t="s">
        <v>3423</v>
      </c>
      <c r="K629" s="2" t="s">
        <v>716</v>
      </c>
      <c r="L629" s="2" t="s">
        <v>167</v>
      </c>
      <c r="M629" s="2"/>
      <c r="N629" s="2"/>
      <c r="O629" s="2" t="s">
        <v>3424</v>
      </c>
      <c r="P629" s="2" t="s">
        <v>3425</v>
      </c>
      <c r="Q629" s="6" t="s">
        <v>308</v>
      </c>
      <c r="R629" s="6" t="s">
        <v>85</v>
      </c>
      <c r="S629" s="9" t="s">
        <v>3426</v>
      </c>
      <c r="T629" s="6"/>
      <c r="U629" s="6"/>
      <c r="V629" s="10"/>
      <c r="W629" s="10" t="s">
        <v>88</v>
      </c>
      <c r="X629" s="10"/>
      <c r="Y629" s="10"/>
    </row>
    <row r="630" customFormat="false" ht="23.85" hidden="false" customHeight="false" outlineLevel="0" collapsed="false">
      <c r="A630" s="6" t="n">
        <v>629</v>
      </c>
      <c r="B630" s="7" t="s">
        <v>3427</v>
      </c>
      <c r="C630" s="6" t="str">
        <f aca="false">IF(U630&lt;&gt;"","Client",IF(D630&gt;=9,"A",IF(D630&gt;=7,"B","C")))</f>
        <v>C</v>
      </c>
      <c r="D630" s="6" t="n">
        <f aca="false">E630+F630+G630</f>
        <v>3</v>
      </c>
      <c r="E630" s="6" t="n">
        <v>1</v>
      </c>
      <c r="F630" s="6" t="n">
        <v>2</v>
      </c>
      <c r="G630" s="8" t="n">
        <v>0</v>
      </c>
      <c r="H630" s="6" t="s">
        <v>1598</v>
      </c>
      <c r="I630" s="6" t="s">
        <v>287</v>
      </c>
      <c r="J630" s="2" t="s">
        <v>1765</v>
      </c>
      <c r="K630" s="2" t="s">
        <v>3428</v>
      </c>
      <c r="L630" s="2" t="s">
        <v>102</v>
      </c>
      <c r="M630" s="2"/>
      <c r="N630" s="2" t="s">
        <v>1483</v>
      </c>
      <c r="O630" s="2" t="s">
        <v>3429</v>
      </c>
      <c r="P630" s="2" t="s">
        <v>3430</v>
      </c>
      <c r="Q630" s="6" t="s">
        <v>160</v>
      </c>
      <c r="R630" s="6" t="s">
        <v>85</v>
      </c>
      <c r="S630" s="9" t="s">
        <v>3431</v>
      </c>
      <c r="T630" s="9" t="s">
        <v>3432</v>
      </c>
      <c r="U630" s="6"/>
      <c r="V630" s="10"/>
      <c r="W630" s="10" t="s">
        <v>88</v>
      </c>
      <c r="X630" s="10"/>
      <c r="Y630" s="10"/>
    </row>
    <row r="631" customFormat="false" ht="15" hidden="false" customHeight="false" outlineLevel="0" collapsed="false">
      <c r="A631" s="6" t="n">
        <v>630</v>
      </c>
      <c r="B631" s="7" t="s">
        <v>3433</v>
      </c>
      <c r="C631" s="6" t="str">
        <f aca="false">IF(U631&lt;&gt;"","Client",IF(D631&gt;=9,"A",IF(D631&gt;=7,"B","C")))</f>
        <v>C</v>
      </c>
      <c r="D631" s="6" t="n">
        <f aca="false">E631+F631+G631</f>
        <v>3</v>
      </c>
      <c r="E631" s="6" t="n">
        <v>1</v>
      </c>
      <c r="F631" s="6" t="n">
        <v>2</v>
      </c>
      <c r="G631" s="8" t="n">
        <v>0</v>
      </c>
      <c r="H631" s="6" t="s">
        <v>1583</v>
      </c>
      <c r="I631" s="6" t="s">
        <v>287</v>
      </c>
      <c r="J631" s="2" t="s">
        <v>3434</v>
      </c>
      <c r="K631" s="2" t="s">
        <v>3365</v>
      </c>
      <c r="L631" s="2" t="s">
        <v>127</v>
      </c>
      <c r="M631" s="2"/>
      <c r="N631" s="2" t="s">
        <v>1533</v>
      </c>
      <c r="O631" s="2"/>
      <c r="P631" s="2" t="s">
        <v>3435</v>
      </c>
      <c r="Q631" s="6" t="s">
        <v>130</v>
      </c>
      <c r="R631" s="6" t="s">
        <v>85</v>
      </c>
      <c r="S631" s="9" t="s">
        <v>3436</v>
      </c>
      <c r="T631" s="6"/>
      <c r="U631" s="6"/>
      <c r="V631" s="10"/>
      <c r="W631" s="10" t="s">
        <v>88</v>
      </c>
      <c r="X631" s="10"/>
      <c r="Y631" s="10"/>
    </row>
    <row r="632" customFormat="false" ht="23.85" hidden="false" customHeight="false" outlineLevel="0" collapsed="false">
      <c r="A632" s="6" t="n">
        <v>631</v>
      </c>
      <c r="B632" s="7" t="s">
        <v>3437</v>
      </c>
      <c r="C632" s="6" t="str">
        <f aca="false">IF(U632&lt;&gt;"","Client",IF(D632&gt;=9,"A",IF(D632&gt;=7,"B","C")))</f>
        <v>C</v>
      </c>
      <c r="D632" s="6" t="n">
        <f aca="false">E632+F632+G632</f>
        <v>3</v>
      </c>
      <c r="E632" s="6" t="n">
        <v>1</v>
      </c>
      <c r="F632" s="6" t="n">
        <v>2</v>
      </c>
      <c r="G632" s="8" t="n">
        <v>0</v>
      </c>
      <c r="H632" s="6" t="s">
        <v>1215</v>
      </c>
      <c r="I632" s="6" t="s">
        <v>287</v>
      </c>
      <c r="J632" s="2" t="s">
        <v>3437</v>
      </c>
      <c r="K632" s="2" t="s">
        <v>3438</v>
      </c>
      <c r="L632" s="2" t="s">
        <v>102</v>
      </c>
      <c r="M632" s="2"/>
      <c r="N632" s="2"/>
      <c r="O632" s="2"/>
      <c r="P632" s="2" t="s">
        <v>3439</v>
      </c>
      <c r="Q632" s="6" t="s">
        <v>411</v>
      </c>
      <c r="R632" s="6" t="s">
        <v>106</v>
      </c>
      <c r="S632" s="9" t="s">
        <v>3440</v>
      </c>
      <c r="T632" s="6"/>
      <c r="U632" s="6"/>
      <c r="V632" s="10"/>
      <c r="W632" s="10" t="s">
        <v>88</v>
      </c>
      <c r="X632" s="10"/>
      <c r="Y632" s="10"/>
    </row>
    <row r="633" customFormat="false" ht="46.25" hidden="false" customHeight="false" outlineLevel="0" collapsed="false">
      <c r="A633" s="6" t="n">
        <v>632</v>
      </c>
      <c r="B633" s="7" t="s">
        <v>3441</v>
      </c>
      <c r="C633" s="6" t="str">
        <f aca="false">IF(U633&lt;&gt;"","Client",IF(D633&gt;=9,"A",IF(D633&gt;=7,"B","C")))</f>
        <v>C</v>
      </c>
      <c r="D633" s="6" t="n">
        <f aca="false">E633+F633+G633</f>
        <v>3</v>
      </c>
      <c r="E633" s="6" t="n">
        <v>1</v>
      </c>
      <c r="F633" s="6" t="n">
        <v>2</v>
      </c>
      <c r="G633" s="8" t="n">
        <v>0</v>
      </c>
      <c r="H633" s="6" t="s">
        <v>1583</v>
      </c>
      <c r="I633" s="6" t="s">
        <v>287</v>
      </c>
      <c r="J633" s="2" t="s">
        <v>3442</v>
      </c>
      <c r="K633" s="2" t="s">
        <v>3443</v>
      </c>
      <c r="L633" s="2" t="s">
        <v>374</v>
      </c>
      <c r="M633" s="2" t="s">
        <v>3444</v>
      </c>
      <c r="N633" s="2" t="s">
        <v>1526</v>
      </c>
      <c r="O633" s="2" t="s">
        <v>3445</v>
      </c>
      <c r="P633" s="2" t="s">
        <v>3446</v>
      </c>
      <c r="Q633" s="6" t="s">
        <v>130</v>
      </c>
      <c r="R633" s="6" t="s">
        <v>85</v>
      </c>
      <c r="S633" s="9" t="s">
        <v>3447</v>
      </c>
      <c r="T633" s="9" t="s">
        <v>3448</v>
      </c>
      <c r="U633" s="6"/>
      <c r="V633" s="10"/>
      <c r="W633" s="10" t="s">
        <v>88</v>
      </c>
      <c r="X633" s="10"/>
      <c r="Y633" s="10"/>
    </row>
    <row r="634" customFormat="false" ht="35.05" hidden="false" customHeight="false" outlineLevel="0" collapsed="false">
      <c r="A634" s="6" t="n">
        <v>633</v>
      </c>
      <c r="B634" s="7" t="s">
        <v>3449</v>
      </c>
      <c r="C634" s="6" t="str">
        <f aca="false">IF(U634&lt;&gt;"","Client",IF(D634&gt;=9,"A",IF(D634&gt;=7,"B","C")))</f>
        <v>C</v>
      </c>
      <c r="D634" s="6" t="n">
        <f aca="false">E634+F634+G634</f>
        <v>3</v>
      </c>
      <c r="E634" s="6" t="n">
        <v>1</v>
      </c>
      <c r="F634" s="6" t="n">
        <v>2</v>
      </c>
      <c r="G634" s="8" t="n">
        <v>0</v>
      </c>
      <c r="H634" s="6" t="s">
        <v>1215</v>
      </c>
      <c r="I634" s="6" t="s">
        <v>287</v>
      </c>
      <c r="J634" s="2" t="s">
        <v>3450</v>
      </c>
      <c r="K634" s="2" t="s">
        <v>3451</v>
      </c>
      <c r="L634" s="2" t="s">
        <v>652</v>
      </c>
      <c r="M634" s="2"/>
      <c r="N634" s="2"/>
      <c r="O634" s="2" t="s">
        <v>3452</v>
      </c>
      <c r="P634" s="2" t="s">
        <v>3453</v>
      </c>
      <c r="Q634" s="6" t="s">
        <v>1943</v>
      </c>
      <c r="R634" s="6" t="s">
        <v>85</v>
      </c>
      <c r="S634" s="9" t="s">
        <v>3454</v>
      </c>
      <c r="T634" s="6"/>
      <c r="U634" s="6"/>
      <c r="V634" s="10"/>
      <c r="W634" s="10" t="s">
        <v>88</v>
      </c>
      <c r="X634" s="10"/>
      <c r="Y634" s="10"/>
    </row>
    <row r="635" customFormat="false" ht="23.85" hidden="false" customHeight="false" outlineLevel="0" collapsed="false">
      <c r="A635" s="6" t="n">
        <v>634</v>
      </c>
      <c r="B635" s="7" t="s">
        <v>3455</v>
      </c>
      <c r="C635" s="6" t="str">
        <f aca="false">IF(U635&lt;&gt;"","Client",IF(D635&gt;=9,"A",IF(D635&gt;=7,"B","C")))</f>
        <v>C</v>
      </c>
      <c r="D635" s="6" t="n">
        <f aca="false">E635+F635+G635</f>
        <v>3</v>
      </c>
      <c r="E635" s="6" t="n">
        <v>1</v>
      </c>
      <c r="F635" s="6" t="n">
        <v>2</v>
      </c>
      <c r="G635" s="8" t="n">
        <v>0</v>
      </c>
      <c r="H635" s="6" t="s">
        <v>3000</v>
      </c>
      <c r="I635" s="6" t="s">
        <v>287</v>
      </c>
      <c r="J635" s="2" t="s">
        <v>3455</v>
      </c>
      <c r="K635" s="2" t="s">
        <v>3456</v>
      </c>
      <c r="L635" s="2" t="s">
        <v>127</v>
      </c>
      <c r="M635" s="2"/>
      <c r="N635" s="2" t="s">
        <v>1533</v>
      </c>
      <c r="O635" s="2"/>
      <c r="P635" s="2" t="s">
        <v>3457</v>
      </c>
      <c r="Q635" s="6" t="s">
        <v>308</v>
      </c>
      <c r="R635" s="6" t="s">
        <v>85</v>
      </c>
      <c r="S635" s="9" t="s">
        <v>3458</v>
      </c>
      <c r="T635" s="6"/>
      <c r="U635" s="6"/>
      <c r="V635" s="10"/>
      <c r="W635" s="10" t="s">
        <v>88</v>
      </c>
      <c r="X635" s="10"/>
      <c r="Y635" s="10"/>
    </row>
    <row r="636" customFormat="false" ht="23.85" hidden="false" customHeight="false" outlineLevel="0" collapsed="false">
      <c r="A636" s="6" t="n">
        <v>635</v>
      </c>
      <c r="B636" s="7" t="s">
        <v>3459</v>
      </c>
      <c r="C636" s="6" t="str">
        <f aca="false">IF(U636&lt;&gt;"","Client",IF(D636&gt;=9,"A",IF(D636&gt;=7,"B","C")))</f>
        <v>C</v>
      </c>
      <c r="D636" s="6" t="n">
        <f aca="false">E636+F636+G636</f>
        <v>3</v>
      </c>
      <c r="E636" s="6" t="n">
        <v>1</v>
      </c>
      <c r="F636" s="6" t="n">
        <v>2</v>
      </c>
      <c r="G636" s="8" t="n">
        <v>0</v>
      </c>
      <c r="H636" s="6" t="s">
        <v>1215</v>
      </c>
      <c r="I636" s="6" t="s">
        <v>287</v>
      </c>
      <c r="J636" s="2" t="s">
        <v>3460</v>
      </c>
      <c r="K636" s="2" t="s">
        <v>3461</v>
      </c>
      <c r="L636" s="2" t="s">
        <v>127</v>
      </c>
      <c r="M636" s="2"/>
      <c r="N636" s="2"/>
      <c r="O636" s="2"/>
      <c r="P636" s="2" t="s">
        <v>3462</v>
      </c>
      <c r="Q636" s="6" t="s">
        <v>97</v>
      </c>
      <c r="R636" s="6" t="s">
        <v>106</v>
      </c>
      <c r="S636" s="9" t="s">
        <v>3463</v>
      </c>
      <c r="T636" s="6"/>
      <c r="U636" s="6"/>
      <c r="V636" s="10"/>
      <c r="W636" s="10" t="s">
        <v>88</v>
      </c>
      <c r="X636" s="10"/>
      <c r="Y636" s="10"/>
    </row>
    <row r="637" customFormat="false" ht="23.85" hidden="false" customHeight="false" outlineLevel="0" collapsed="false">
      <c r="A637" s="6" t="n">
        <v>636</v>
      </c>
      <c r="B637" s="7" t="s">
        <v>3464</v>
      </c>
      <c r="C637" s="6" t="str">
        <f aca="false">IF(U637&lt;&gt;"","Client",IF(D637&gt;=9,"A",IF(D637&gt;=7,"B","C")))</f>
        <v>C</v>
      </c>
      <c r="D637" s="6" t="n">
        <f aca="false">E637+F637+G637</f>
        <v>3</v>
      </c>
      <c r="E637" s="6" t="n">
        <v>1</v>
      </c>
      <c r="F637" s="6" t="n">
        <v>2</v>
      </c>
      <c r="G637" s="8" t="n">
        <v>0</v>
      </c>
      <c r="H637" s="6" t="s">
        <v>1598</v>
      </c>
      <c r="I637" s="6" t="s">
        <v>287</v>
      </c>
      <c r="J637" s="2" t="s">
        <v>2317</v>
      </c>
      <c r="K637" s="2" t="s">
        <v>716</v>
      </c>
      <c r="L637" s="2" t="s">
        <v>167</v>
      </c>
      <c r="M637" s="2"/>
      <c r="N637" s="2"/>
      <c r="O637" s="2" t="s">
        <v>3465</v>
      </c>
      <c r="P637" s="2" t="s">
        <v>3466</v>
      </c>
      <c r="Q637" s="6" t="s">
        <v>1431</v>
      </c>
      <c r="R637" s="6" t="s">
        <v>85</v>
      </c>
      <c r="S637" s="9" t="s">
        <v>3467</v>
      </c>
      <c r="T637" s="6"/>
      <c r="U637" s="6"/>
      <c r="V637" s="10"/>
      <c r="W637" s="10" t="s">
        <v>88</v>
      </c>
      <c r="X637" s="10"/>
      <c r="Y637" s="10"/>
    </row>
    <row r="638" customFormat="false" ht="23.85" hidden="false" customHeight="false" outlineLevel="0" collapsed="false">
      <c r="A638" s="6" t="n">
        <v>637</v>
      </c>
      <c r="B638" s="7" t="s">
        <v>3468</v>
      </c>
      <c r="C638" s="6" t="str">
        <f aca="false">IF(U638&lt;&gt;"","Client",IF(D638&gt;=9,"A",IF(D638&gt;=7,"B","C")))</f>
        <v>C</v>
      </c>
      <c r="D638" s="6" t="n">
        <f aca="false">E638+F638+G638</f>
        <v>3</v>
      </c>
      <c r="E638" s="6" t="n">
        <v>1</v>
      </c>
      <c r="F638" s="6" t="n">
        <v>2</v>
      </c>
      <c r="G638" s="8" t="n">
        <v>0</v>
      </c>
      <c r="H638" s="6" t="s">
        <v>1644</v>
      </c>
      <c r="I638" s="6" t="s">
        <v>287</v>
      </c>
      <c r="J638" s="2" t="s">
        <v>3469</v>
      </c>
      <c r="K638" s="2" t="s">
        <v>3470</v>
      </c>
      <c r="L638" s="2" t="s">
        <v>127</v>
      </c>
      <c r="M638" s="2"/>
      <c r="N638" s="2"/>
      <c r="O638" s="2"/>
      <c r="P638" s="2" t="s">
        <v>3471</v>
      </c>
      <c r="Q638" s="6" t="s">
        <v>178</v>
      </c>
      <c r="R638" s="6" t="s">
        <v>85</v>
      </c>
      <c r="S638" s="9" t="s">
        <v>3472</v>
      </c>
      <c r="T638" s="6"/>
      <c r="U638" s="6"/>
      <c r="V638" s="10"/>
      <c r="W638" s="10" t="s">
        <v>88</v>
      </c>
      <c r="X638" s="10"/>
      <c r="Y638" s="10"/>
    </row>
    <row r="639" customFormat="false" ht="23.85" hidden="false" customHeight="false" outlineLevel="0" collapsed="false">
      <c r="A639" s="6" t="n">
        <v>638</v>
      </c>
      <c r="B639" s="7" t="s">
        <v>3473</v>
      </c>
      <c r="C639" s="6" t="str">
        <f aca="false">IF(U639&lt;&gt;"","Client",IF(D639&gt;=9,"A",IF(D639&gt;=7,"B","C")))</f>
        <v>C</v>
      </c>
      <c r="D639" s="6" t="n">
        <f aca="false">E639+F639+G639</f>
        <v>3</v>
      </c>
      <c r="E639" s="6" t="n">
        <v>1</v>
      </c>
      <c r="F639" s="6" t="n">
        <v>2</v>
      </c>
      <c r="G639" s="8" t="n">
        <v>0</v>
      </c>
      <c r="H639" s="6" t="s">
        <v>1598</v>
      </c>
      <c r="I639" s="6" t="s">
        <v>287</v>
      </c>
      <c r="J639" s="2" t="s">
        <v>3474</v>
      </c>
      <c r="K639" s="2" t="s">
        <v>3475</v>
      </c>
      <c r="L639" s="2" t="s">
        <v>127</v>
      </c>
      <c r="M639" s="2"/>
      <c r="N639" s="2"/>
      <c r="O639" s="2"/>
      <c r="P639" s="2" t="s">
        <v>3476</v>
      </c>
      <c r="Q639" s="6" t="s">
        <v>123</v>
      </c>
      <c r="R639" s="6" t="s">
        <v>106</v>
      </c>
      <c r="S639" s="9" t="s">
        <v>3477</v>
      </c>
      <c r="T639" s="6"/>
      <c r="U639" s="6"/>
      <c r="V639" s="10"/>
      <c r="W639" s="10" t="s">
        <v>88</v>
      </c>
      <c r="X639" s="10"/>
      <c r="Y639" s="10"/>
    </row>
    <row r="640" customFormat="false" ht="23.85" hidden="false" customHeight="false" outlineLevel="0" collapsed="false">
      <c r="A640" s="6" t="n">
        <v>639</v>
      </c>
      <c r="B640" s="7" t="s">
        <v>3478</v>
      </c>
      <c r="C640" s="6" t="str">
        <f aca="false">IF(U640&lt;&gt;"","Client",IF(D640&gt;=9,"A",IF(D640&gt;=7,"B","C")))</f>
        <v>C</v>
      </c>
      <c r="D640" s="6" t="n">
        <f aca="false">E640+F640+G640</f>
        <v>3</v>
      </c>
      <c r="E640" s="6" t="n">
        <v>1</v>
      </c>
      <c r="F640" s="6" t="n">
        <v>2</v>
      </c>
      <c r="G640" s="8" t="n">
        <v>0</v>
      </c>
      <c r="H640" s="6" t="s">
        <v>1644</v>
      </c>
      <c r="I640" s="6" t="s">
        <v>287</v>
      </c>
      <c r="J640" s="2" t="s">
        <v>3479</v>
      </c>
      <c r="K640" s="2" t="s">
        <v>3480</v>
      </c>
      <c r="L640" s="2" t="s">
        <v>1362</v>
      </c>
      <c r="M640" s="2"/>
      <c r="N640" s="2"/>
      <c r="O640" s="2" t="s">
        <v>3481</v>
      </c>
      <c r="P640" s="2" t="s">
        <v>3482</v>
      </c>
      <c r="Q640" s="6" t="s">
        <v>150</v>
      </c>
      <c r="R640" s="6" t="s">
        <v>85</v>
      </c>
      <c r="S640" s="9" t="s">
        <v>3483</v>
      </c>
      <c r="T640" s="9" t="s">
        <v>3484</v>
      </c>
      <c r="U640" s="6"/>
      <c r="V640" s="10"/>
      <c r="W640" s="10" t="s">
        <v>88</v>
      </c>
      <c r="X640" s="10"/>
      <c r="Y640" s="10"/>
    </row>
    <row r="641" customFormat="false" ht="15" hidden="false" customHeight="false" outlineLevel="0" collapsed="false">
      <c r="A641" s="6" t="n">
        <v>640</v>
      </c>
      <c r="B641" s="7" t="s">
        <v>3485</v>
      </c>
      <c r="C641" s="6" t="str">
        <f aca="false">IF(U641&lt;&gt;"","Client",IF(D641&gt;=9,"A",IF(D641&gt;=7,"B","C")))</f>
        <v>C</v>
      </c>
      <c r="D641" s="6" t="n">
        <f aca="false">E641+F641+G641</f>
        <v>3</v>
      </c>
      <c r="E641" s="6" t="n">
        <v>1</v>
      </c>
      <c r="F641" s="6" t="n">
        <v>2</v>
      </c>
      <c r="G641" s="8" t="n">
        <v>0</v>
      </c>
      <c r="H641" s="6" t="s">
        <v>1583</v>
      </c>
      <c r="I641" s="6" t="s">
        <v>287</v>
      </c>
      <c r="J641" s="2" t="s">
        <v>3486</v>
      </c>
      <c r="K641" s="2" t="s">
        <v>3487</v>
      </c>
      <c r="L641" s="2" t="s">
        <v>127</v>
      </c>
      <c r="M641" s="2"/>
      <c r="N641" s="2"/>
      <c r="O641" s="2"/>
      <c r="P641" s="2" t="s">
        <v>3488</v>
      </c>
      <c r="Q641" s="6" t="s">
        <v>504</v>
      </c>
      <c r="R641" s="6" t="s">
        <v>85</v>
      </c>
      <c r="S641" s="9" t="s">
        <v>2778</v>
      </c>
      <c r="T641" s="6"/>
      <c r="U641" s="6"/>
      <c r="V641" s="10"/>
      <c r="W641" s="10" t="s">
        <v>88</v>
      </c>
      <c r="X641" s="10"/>
      <c r="Y641" s="10"/>
    </row>
    <row r="642" customFormat="false" ht="15" hidden="false" customHeight="false" outlineLevel="0" collapsed="false">
      <c r="A642" s="6" t="n">
        <v>641</v>
      </c>
      <c r="B642" s="7" t="s">
        <v>3489</v>
      </c>
      <c r="C642" s="6" t="str">
        <f aca="false">IF(U642&lt;&gt;"","Client",IF(D642&gt;=9,"A",IF(D642&gt;=7,"B","C")))</f>
        <v>C</v>
      </c>
      <c r="D642" s="6" t="n">
        <f aca="false">E642+F642+G642</f>
        <v>3</v>
      </c>
      <c r="E642" s="6" t="n">
        <v>1</v>
      </c>
      <c r="F642" s="6" t="n">
        <v>2</v>
      </c>
      <c r="G642" s="8" t="n">
        <v>0</v>
      </c>
      <c r="H642" s="6" t="s">
        <v>1598</v>
      </c>
      <c r="I642" s="6" t="s">
        <v>287</v>
      </c>
      <c r="J642" s="2" t="s">
        <v>3490</v>
      </c>
      <c r="K642" s="2" t="s">
        <v>3491</v>
      </c>
      <c r="L642" s="2" t="s">
        <v>102</v>
      </c>
      <c r="M642" s="2"/>
      <c r="N642" s="2"/>
      <c r="O642" s="2" t="s">
        <v>3339</v>
      </c>
      <c r="P642" s="2" t="s">
        <v>3492</v>
      </c>
      <c r="Q642" s="6" t="s">
        <v>1561</v>
      </c>
      <c r="R642" s="6" t="s">
        <v>106</v>
      </c>
      <c r="S642" s="9" t="s">
        <v>3493</v>
      </c>
      <c r="T642" s="6"/>
      <c r="U642" s="6"/>
      <c r="V642" s="10"/>
      <c r="W642" s="10" t="s">
        <v>88</v>
      </c>
      <c r="X642" s="10"/>
      <c r="Y642" s="10"/>
    </row>
    <row r="643" customFormat="false" ht="15" hidden="false" customHeight="false" outlineLevel="0" collapsed="false">
      <c r="A643" s="6" t="n">
        <v>642</v>
      </c>
      <c r="B643" s="7" t="s">
        <v>3494</v>
      </c>
      <c r="C643" s="6" t="str">
        <f aca="false">IF(U643&lt;&gt;"","Client",IF(D643&gt;=9,"A",IF(D643&gt;=7,"B","C")))</f>
        <v>C</v>
      </c>
      <c r="D643" s="6" t="n">
        <f aca="false">E643+F643+G643</f>
        <v>3</v>
      </c>
      <c r="E643" s="6" t="n">
        <v>1</v>
      </c>
      <c r="F643" s="6" t="n">
        <v>2</v>
      </c>
      <c r="G643" s="8" t="n">
        <v>0</v>
      </c>
      <c r="H643" s="6" t="s">
        <v>1583</v>
      </c>
      <c r="I643" s="6" t="s">
        <v>287</v>
      </c>
      <c r="J643" s="2" t="s">
        <v>3494</v>
      </c>
      <c r="K643" s="2" t="s">
        <v>3495</v>
      </c>
      <c r="L643" s="2" t="s">
        <v>127</v>
      </c>
      <c r="M643" s="2"/>
      <c r="N643" s="2"/>
      <c r="O643" s="2"/>
      <c r="P643" s="2" t="s">
        <v>3496</v>
      </c>
      <c r="Q643" s="6" t="s">
        <v>143</v>
      </c>
      <c r="R643" s="6" t="s">
        <v>106</v>
      </c>
      <c r="S643" s="9" t="s">
        <v>3342</v>
      </c>
      <c r="T643" s="6"/>
      <c r="U643" s="6"/>
      <c r="V643" s="10"/>
      <c r="W643" s="10" t="s">
        <v>88</v>
      </c>
      <c r="X643" s="10"/>
      <c r="Y643" s="10"/>
    </row>
    <row r="644" customFormat="false" ht="15" hidden="false" customHeight="false" outlineLevel="0" collapsed="false">
      <c r="A644" s="6" t="n">
        <v>643</v>
      </c>
      <c r="B644" s="7" t="s">
        <v>3497</v>
      </c>
      <c r="C644" s="6" t="str">
        <f aca="false">IF(U644&lt;&gt;"","Client",IF(D644&gt;=9,"A",IF(D644&gt;=7,"B","C")))</f>
        <v>C</v>
      </c>
      <c r="D644" s="6" t="n">
        <f aca="false">E644+F644+G644</f>
        <v>3</v>
      </c>
      <c r="E644" s="6" t="n">
        <v>1</v>
      </c>
      <c r="F644" s="6" t="n">
        <v>2</v>
      </c>
      <c r="G644" s="8" t="n">
        <v>0</v>
      </c>
      <c r="H644" s="6" t="s">
        <v>1215</v>
      </c>
      <c r="I644" s="6" t="s">
        <v>287</v>
      </c>
      <c r="J644" s="2" t="s">
        <v>263</v>
      </c>
      <c r="K644" s="2" t="s">
        <v>724</v>
      </c>
      <c r="L644" s="2" t="s">
        <v>102</v>
      </c>
      <c r="M644" s="2"/>
      <c r="N644" s="2"/>
      <c r="O644" s="2" t="s">
        <v>3498</v>
      </c>
      <c r="P644" s="2" t="s">
        <v>3499</v>
      </c>
      <c r="Q644" s="6" t="s">
        <v>281</v>
      </c>
      <c r="R644" s="6" t="s">
        <v>106</v>
      </c>
      <c r="S644" s="9" t="s">
        <v>3500</v>
      </c>
      <c r="T644" s="6"/>
      <c r="U644" s="6"/>
      <c r="V644" s="10"/>
      <c r="W644" s="10" t="s">
        <v>88</v>
      </c>
      <c r="X644" s="10"/>
      <c r="Y644" s="10"/>
    </row>
    <row r="645" customFormat="false" ht="46.25" hidden="false" customHeight="false" outlineLevel="0" collapsed="false">
      <c r="A645" s="6" t="n">
        <v>644</v>
      </c>
      <c r="B645" s="7" t="s">
        <v>3501</v>
      </c>
      <c r="C645" s="6" t="str">
        <f aca="false">IF(U645&lt;&gt;"","Client",IF(D645&gt;=9,"A",IF(D645&gt;=7,"B","C")))</f>
        <v>C</v>
      </c>
      <c r="D645" s="6" t="n">
        <f aca="false">E645+F645+G645</f>
        <v>3</v>
      </c>
      <c r="E645" s="6" t="n">
        <v>1</v>
      </c>
      <c r="F645" s="6" t="n">
        <v>2</v>
      </c>
      <c r="G645" s="8" t="n">
        <v>0</v>
      </c>
      <c r="H645" s="6" t="s">
        <v>1583</v>
      </c>
      <c r="I645" s="6" t="s">
        <v>287</v>
      </c>
      <c r="J645" s="2" t="s">
        <v>3501</v>
      </c>
      <c r="K645" s="2" t="s">
        <v>3502</v>
      </c>
      <c r="L645" s="2" t="s">
        <v>127</v>
      </c>
      <c r="M645" s="2"/>
      <c r="N645" s="2" t="s">
        <v>1502</v>
      </c>
      <c r="O645" s="2" t="s">
        <v>3503</v>
      </c>
      <c r="P645" s="2" t="s">
        <v>3504</v>
      </c>
      <c r="Q645" s="6" t="s">
        <v>97</v>
      </c>
      <c r="R645" s="6" t="s">
        <v>85</v>
      </c>
      <c r="S645" s="9" t="s">
        <v>3505</v>
      </c>
      <c r="T645" s="9" t="s">
        <v>3506</v>
      </c>
      <c r="U645" s="6"/>
      <c r="V645" s="10"/>
      <c r="W645" s="10" t="s">
        <v>88</v>
      </c>
      <c r="X645" s="10"/>
      <c r="Y645" s="10"/>
    </row>
    <row r="646" customFormat="false" ht="23.85" hidden="false" customHeight="false" outlineLevel="0" collapsed="false">
      <c r="A646" s="6" t="n">
        <v>645</v>
      </c>
      <c r="B646" s="7" t="s">
        <v>3507</v>
      </c>
      <c r="C646" s="6" t="str">
        <f aca="false">IF(U646&lt;&gt;"","Client",IF(D646&gt;=9,"A",IF(D646&gt;=7,"B","C")))</f>
        <v>C</v>
      </c>
      <c r="D646" s="6" t="n">
        <f aca="false">E646+F646+G646</f>
        <v>3</v>
      </c>
      <c r="E646" s="6" t="n">
        <v>1</v>
      </c>
      <c r="F646" s="6" t="n">
        <v>0</v>
      </c>
      <c r="G646" s="8" t="n">
        <v>2</v>
      </c>
      <c r="H646" s="6" t="s">
        <v>1598</v>
      </c>
      <c r="I646" s="6" t="s">
        <v>1445</v>
      </c>
      <c r="J646" s="2" t="s">
        <v>3507</v>
      </c>
      <c r="K646" s="2" t="s">
        <v>3508</v>
      </c>
      <c r="L646" s="2" t="s">
        <v>600</v>
      </c>
      <c r="M646" s="2" t="s">
        <v>3509</v>
      </c>
      <c r="N646" s="2" t="s">
        <v>802</v>
      </c>
      <c r="O646" s="2" t="s">
        <v>3510</v>
      </c>
      <c r="P646" s="2" t="s">
        <v>3511</v>
      </c>
      <c r="Q646" s="6" t="s">
        <v>123</v>
      </c>
      <c r="R646" s="6" t="s">
        <v>85</v>
      </c>
      <c r="S646" s="9" t="s">
        <v>3512</v>
      </c>
      <c r="T646" s="9" t="s">
        <v>3513</v>
      </c>
      <c r="U646" s="6"/>
      <c r="V646" s="10"/>
      <c r="W646" s="10" t="s">
        <v>88</v>
      </c>
      <c r="X646" s="10"/>
      <c r="Y646" s="10"/>
    </row>
    <row r="647" customFormat="false" ht="23.85" hidden="false" customHeight="false" outlineLevel="0" collapsed="false">
      <c r="A647" s="6" t="n">
        <v>646</v>
      </c>
      <c r="B647" s="7" t="s">
        <v>3514</v>
      </c>
      <c r="C647" s="6" t="str">
        <f aca="false">IF(U647&lt;&gt;"","Client",IF(D647&gt;=9,"A",IF(D647&gt;=7,"B","C")))</f>
        <v>C</v>
      </c>
      <c r="D647" s="6" t="n">
        <f aca="false">E647+F647+G647</f>
        <v>3</v>
      </c>
      <c r="E647" s="6" t="n">
        <v>1</v>
      </c>
      <c r="F647" s="6" t="n">
        <v>0</v>
      </c>
      <c r="G647" s="8" t="n">
        <v>2</v>
      </c>
      <c r="H647" s="6" t="s">
        <v>1583</v>
      </c>
      <c r="I647" s="6" t="s">
        <v>1445</v>
      </c>
      <c r="J647" s="2" t="s">
        <v>3515</v>
      </c>
      <c r="K647" s="2" t="s">
        <v>3516</v>
      </c>
      <c r="L647" s="2" t="s">
        <v>600</v>
      </c>
      <c r="M647" s="2"/>
      <c r="N647" s="2" t="s">
        <v>802</v>
      </c>
      <c r="O647" s="2" t="s">
        <v>3517</v>
      </c>
      <c r="P647" s="2" t="s">
        <v>3518</v>
      </c>
      <c r="Q647" s="6" t="s">
        <v>130</v>
      </c>
      <c r="R647" s="6" t="s">
        <v>85</v>
      </c>
      <c r="S647" s="9" t="s">
        <v>3519</v>
      </c>
      <c r="T647" s="9" t="s">
        <v>3520</v>
      </c>
      <c r="U647" s="6"/>
      <c r="V647" s="10"/>
      <c r="W647" s="10" t="s">
        <v>88</v>
      </c>
      <c r="X647" s="10"/>
      <c r="Y647" s="10"/>
    </row>
    <row r="648" customFormat="false" ht="35.05" hidden="false" customHeight="false" outlineLevel="0" collapsed="false">
      <c r="A648" s="6" t="n">
        <v>647</v>
      </c>
      <c r="B648" s="7" t="s">
        <v>3521</v>
      </c>
      <c r="C648" s="6" t="str">
        <f aca="false">IF(U648&lt;&gt;"","Client",IF(D648&gt;=9,"A",IF(D648&gt;=7,"B","C")))</f>
        <v>C</v>
      </c>
      <c r="D648" s="6" t="n">
        <f aca="false">E648+F648+G648</f>
        <v>3</v>
      </c>
      <c r="E648" s="6" t="n">
        <v>1</v>
      </c>
      <c r="F648" s="6" t="n">
        <v>0</v>
      </c>
      <c r="G648" s="8" t="n">
        <v>2</v>
      </c>
      <c r="H648" s="6" t="s">
        <v>1598</v>
      </c>
      <c r="I648" s="6" t="s">
        <v>1445</v>
      </c>
      <c r="J648" s="2" t="s">
        <v>2307</v>
      </c>
      <c r="K648" s="2" t="s">
        <v>1159</v>
      </c>
      <c r="L648" s="2" t="s">
        <v>167</v>
      </c>
      <c r="M648" s="2"/>
      <c r="N648" s="2" t="s">
        <v>247</v>
      </c>
      <c r="O648" s="2" t="s">
        <v>2308</v>
      </c>
      <c r="P648" s="2" t="s">
        <v>3522</v>
      </c>
      <c r="Q648" s="6" t="s">
        <v>332</v>
      </c>
      <c r="R648" s="6" t="s">
        <v>85</v>
      </c>
      <c r="S648" s="9" t="s">
        <v>3523</v>
      </c>
      <c r="T648" s="6"/>
      <c r="U648" s="6"/>
      <c r="V648" s="10"/>
      <c r="W648" s="10" t="s">
        <v>88</v>
      </c>
      <c r="X648" s="10"/>
      <c r="Y648" s="10"/>
    </row>
    <row r="649" customFormat="false" ht="23.85" hidden="false" customHeight="false" outlineLevel="0" collapsed="false">
      <c r="A649" s="6" t="n">
        <v>648</v>
      </c>
      <c r="B649" s="7" t="s">
        <v>3524</v>
      </c>
      <c r="C649" s="6" t="str">
        <f aca="false">IF(U649&lt;&gt;"","Client",IF(D649&gt;=9,"A",IF(D649&gt;=7,"B","C")))</f>
        <v>C</v>
      </c>
      <c r="D649" s="6" t="n">
        <f aca="false">E649+F649+G649</f>
        <v>3</v>
      </c>
      <c r="E649" s="6" t="n">
        <v>1</v>
      </c>
      <c r="F649" s="6" t="n">
        <v>0</v>
      </c>
      <c r="G649" s="8" t="n">
        <v>2</v>
      </c>
      <c r="H649" s="6" t="s">
        <v>1598</v>
      </c>
      <c r="I649" s="6" t="s">
        <v>1445</v>
      </c>
      <c r="J649" s="2" t="s">
        <v>3525</v>
      </c>
      <c r="K649" s="2" t="s">
        <v>680</v>
      </c>
      <c r="L649" s="2" t="s">
        <v>102</v>
      </c>
      <c r="M649" s="2" t="s">
        <v>1229</v>
      </c>
      <c r="N649" s="2" t="s">
        <v>802</v>
      </c>
      <c r="O649" s="2" t="s">
        <v>3526</v>
      </c>
      <c r="P649" s="2" t="s">
        <v>3527</v>
      </c>
      <c r="Q649" s="6" t="s">
        <v>1431</v>
      </c>
      <c r="R649" s="6" t="s">
        <v>85</v>
      </c>
      <c r="S649" s="9" t="s">
        <v>3528</v>
      </c>
      <c r="T649" s="9" t="s">
        <v>3529</v>
      </c>
      <c r="U649" s="6"/>
      <c r="V649" s="10"/>
      <c r="W649" s="10" t="s">
        <v>88</v>
      </c>
      <c r="X649" s="10"/>
      <c r="Y649" s="10"/>
    </row>
    <row r="650" customFormat="false" ht="23.85" hidden="false" customHeight="false" outlineLevel="0" collapsed="false">
      <c r="A650" s="6" t="n">
        <v>649</v>
      </c>
      <c r="B650" s="7" t="s">
        <v>3530</v>
      </c>
      <c r="C650" s="6" t="str">
        <f aca="false">IF(U650&lt;&gt;"","Client",IF(D650&gt;=9,"A",IF(D650&gt;=7,"B","C")))</f>
        <v>C</v>
      </c>
      <c r="D650" s="6" t="n">
        <f aca="false">E650+F650+G650</f>
        <v>3</v>
      </c>
      <c r="E650" s="6" t="n">
        <v>1</v>
      </c>
      <c r="F650" s="6" t="n">
        <v>0</v>
      </c>
      <c r="G650" s="8" t="n">
        <v>2</v>
      </c>
      <c r="H650" s="6" t="s">
        <v>1583</v>
      </c>
      <c r="I650" s="6" t="s">
        <v>1445</v>
      </c>
      <c r="J650" s="2" t="s">
        <v>3531</v>
      </c>
      <c r="K650" s="2" t="s">
        <v>3532</v>
      </c>
      <c r="L650" s="2" t="s">
        <v>652</v>
      </c>
      <c r="M650" s="2"/>
      <c r="N650" s="2" t="s">
        <v>247</v>
      </c>
      <c r="O650" s="2" t="s">
        <v>3533</v>
      </c>
      <c r="P650" s="2" t="s">
        <v>3534</v>
      </c>
      <c r="Q650" s="6" t="s">
        <v>461</v>
      </c>
      <c r="R650" s="6" t="s">
        <v>85</v>
      </c>
      <c r="S650" s="9" t="s">
        <v>3535</v>
      </c>
      <c r="T650" s="6"/>
      <c r="U650" s="6"/>
      <c r="V650" s="10"/>
      <c r="W650" s="10" t="s">
        <v>88</v>
      </c>
      <c r="X650" s="10"/>
      <c r="Y650" s="10"/>
    </row>
    <row r="651" customFormat="false" ht="23.85" hidden="false" customHeight="false" outlineLevel="0" collapsed="false">
      <c r="A651" s="6" t="n">
        <v>650</v>
      </c>
      <c r="B651" s="7" t="s">
        <v>3536</v>
      </c>
      <c r="C651" s="6" t="str">
        <f aca="false">IF(U651&lt;&gt;"","Client",IF(D651&gt;=9,"A",IF(D651&gt;=7,"B","C")))</f>
        <v>C</v>
      </c>
      <c r="D651" s="6" t="n">
        <f aca="false">E651+F651+G651</f>
        <v>3</v>
      </c>
      <c r="E651" s="6" t="n">
        <v>1</v>
      </c>
      <c r="F651" s="6" t="n">
        <v>0</v>
      </c>
      <c r="G651" s="8" t="n">
        <v>2</v>
      </c>
      <c r="H651" s="6" t="s">
        <v>2312</v>
      </c>
      <c r="I651" s="6" t="s">
        <v>1445</v>
      </c>
      <c r="J651" s="2" t="s">
        <v>3537</v>
      </c>
      <c r="K651" s="2" t="s">
        <v>1766</v>
      </c>
      <c r="L651" s="2" t="s">
        <v>102</v>
      </c>
      <c r="M651" s="2"/>
      <c r="N651" s="2" t="s">
        <v>247</v>
      </c>
      <c r="O651" s="2" t="s">
        <v>3538</v>
      </c>
      <c r="P651" s="2" t="s">
        <v>3539</v>
      </c>
      <c r="Q651" s="6" t="s">
        <v>332</v>
      </c>
      <c r="R651" s="6" t="s">
        <v>85</v>
      </c>
      <c r="S651" s="9" t="s">
        <v>3540</v>
      </c>
      <c r="T651" s="6"/>
      <c r="U651" s="6"/>
      <c r="V651" s="10"/>
      <c r="W651" s="10" t="s">
        <v>88</v>
      </c>
      <c r="X651" s="10"/>
      <c r="Y651" s="10"/>
    </row>
    <row r="652" customFormat="false" ht="23.85" hidden="false" customHeight="false" outlineLevel="0" collapsed="false">
      <c r="A652" s="6" t="n">
        <v>651</v>
      </c>
      <c r="B652" s="7" t="s">
        <v>3541</v>
      </c>
      <c r="C652" s="6" t="str">
        <f aca="false">IF(U652&lt;&gt;"","Client",IF(D652&gt;=9,"A",IF(D652&gt;=7,"B","C")))</f>
        <v>C</v>
      </c>
      <c r="D652" s="6" t="n">
        <f aca="false">E652+F652+G652</f>
        <v>3</v>
      </c>
      <c r="E652" s="6" t="n">
        <v>1</v>
      </c>
      <c r="F652" s="6" t="n">
        <v>0</v>
      </c>
      <c r="G652" s="8" t="n">
        <v>2</v>
      </c>
      <c r="H652" s="6" t="s">
        <v>1215</v>
      </c>
      <c r="I652" s="6" t="s">
        <v>1445</v>
      </c>
      <c r="J652" s="2" t="s">
        <v>3542</v>
      </c>
      <c r="K652" s="2" t="s">
        <v>1159</v>
      </c>
      <c r="L652" s="2" t="s">
        <v>167</v>
      </c>
      <c r="M652" s="2"/>
      <c r="N652" s="2" t="s">
        <v>247</v>
      </c>
      <c r="O652" s="2" t="s">
        <v>2308</v>
      </c>
      <c r="P652" s="2" t="s">
        <v>3543</v>
      </c>
      <c r="Q652" s="6" t="s">
        <v>308</v>
      </c>
      <c r="R652" s="6" t="s">
        <v>106</v>
      </c>
      <c r="S652" s="9" t="s">
        <v>3544</v>
      </c>
      <c r="T652" s="6"/>
      <c r="U652" s="6"/>
      <c r="V652" s="10"/>
      <c r="W652" s="10" t="s">
        <v>88</v>
      </c>
      <c r="X652" s="10"/>
      <c r="Y652" s="10"/>
    </row>
    <row r="653" customFormat="false" ht="23.85" hidden="false" customHeight="false" outlineLevel="0" collapsed="false">
      <c r="A653" s="6" t="n">
        <v>652</v>
      </c>
      <c r="B653" s="7" t="s">
        <v>3545</v>
      </c>
      <c r="C653" s="6" t="str">
        <f aca="false">IF(U653&lt;&gt;"","Client",IF(D653&gt;=9,"A",IF(D653&gt;=7,"B","C")))</f>
        <v>C</v>
      </c>
      <c r="D653" s="6" t="n">
        <f aca="false">E653+F653+G653</f>
        <v>3</v>
      </c>
      <c r="E653" s="6" t="n">
        <v>1</v>
      </c>
      <c r="F653" s="6" t="n">
        <v>0</v>
      </c>
      <c r="G653" s="8" t="n">
        <v>2</v>
      </c>
      <c r="H653" s="6" t="s">
        <v>1215</v>
      </c>
      <c r="I653" s="6" t="s">
        <v>1445</v>
      </c>
      <c r="J653" s="2" t="s">
        <v>3174</v>
      </c>
      <c r="K653" s="2" t="s">
        <v>3546</v>
      </c>
      <c r="L653" s="2" t="s">
        <v>102</v>
      </c>
      <c r="M653" s="2"/>
      <c r="N653" s="2" t="s">
        <v>247</v>
      </c>
      <c r="O653" s="2" t="s">
        <v>1222</v>
      </c>
      <c r="P653" s="2" t="s">
        <v>3547</v>
      </c>
      <c r="Q653" s="6" t="s">
        <v>411</v>
      </c>
      <c r="R653" s="6" t="s">
        <v>85</v>
      </c>
      <c r="S653" s="9" t="s">
        <v>3548</v>
      </c>
      <c r="T653" s="6"/>
      <c r="U653" s="6"/>
      <c r="V653" s="10"/>
      <c r="W653" s="10" t="s">
        <v>88</v>
      </c>
      <c r="X653" s="10"/>
      <c r="Y653" s="10"/>
    </row>
    <row r="654" customFormat="false" ht="23.85" hidden="false" customHeight="false" outlineLevel="0" collapsed="false">
      <c r="A654" s="6" t="n">
        <v>653</v>
      </c>
      <c r="B654" s="7" t="s">
        <v>3549</v>
      </c>
      <c r="C654" s="6" t="str">
        <f aca="false">IF(U654&lt;&gt;"","Client",IF(D654&gt;=9,"A",IF(D654&gt;=7,"B","C")))</f>
        <v>C</v>
      </c>
      <c r="D654" s="6" t="n">
        <f aca="false">E654+F654+G654</f>
        <v>3</v>
      </c>
      <c r="E654" s="6" t="n">
        <v>1</v>
      </c>
      <c r="F654" s="6" t="n">
        <v>0</v>
      </c>
      <c r="G654" s="8" t="n">
        <v>2</v>
      </c>
      <c r="H654" s="6" t="s">
        <v>1598</v>
      </c>
      <c r="I654" s="6" t="s">
        <v>1445</v>
      </c>
      <c r="J654" s="2" t="s">
        <v>708</v>
      </c>
      <c r="K654" s="2" t="s">
        <v>2302</v>
      </c>
      <c r="L654" s="2" t="s">
        <v>102</v>
      </c>
      <c r="M654" s="2"/>
      <c r="N654" s="2" t="s">
        <v>247</v>
      </c>
      <c r="O654" s="2" t="s">
        <v>1767</v>
      </c>
      <c r="P654" s="2" t="s">
        <v>3550</v>
      </c>
      <c r="Q654" s="6" t="s">
        <v>84</v>
      </c>
      <c r="R654" s="6" t="s">
        <v>106</v>
      </c>
      <c r="S654" s="9" t="s">
        <v>3551</v>
      </c>
      <c r="T654" s="6"/>
      <c r="U654" s="6"/>
      <c r="V654" s="10"/>
      <c r="W654" s="10" t="s">
        <v>88</v>
      </c>
      <c r="X654" s="10"/>
      <c r="Y654" s="10"/>
    </row>
    <row r="655" customFormat="false" ht="23.85" hidden="false" customHeight="false" outlineLevel="0" collapsed="false">
      <c r="A655" s="6" t="n">
        <v>654</v>
      </c>
      <c r="B655" s="7" t="s">
        <v>3552</v>
      </c>
      <c r="C655" s="6" t="str">
        <f aca="false">IF(U655&lt;&gt;"","Client",IF(D655&gt;=9,"A",IF(D655&gt;=7,"B","C")))</f>
        <v>C</v>
      </c>
      <c r="D655" s="6" t="n">
        <f aca="false">E655+F655+G655</f>
        <v>3</v>
      </c>
      <c r="E655" s="6" t="n">
        <v>1</v>
      </c>
      <c r="F655" s="6" t="n">
        <v>0</v>
      </c>
      <c r="G655" s="8" t="n">
        <v>2</v>
      </c>
      <c r="H655" s="6" t="s">
        <v>1644</v>
      </c>
      <c r="I655" s="6" t="s">
        <v>1445</v>
      </c>
      <c r="J655" s="2" t="s">
        <v>3553</v>
      </c>
      <c r="K655" s="2" t="s">
        <v>1190</v>
      </c>
      <c r="L655" s="2" t="s">
        <v>127</v>
      </c>
      <c r="M655" s="2"/>
      <c r="N655" s="2" t="s">
        <v>802</v>
      </c>
      <c r="O655" s="2" t="s">
        <v>1191</v>
      </c>
      <c r="P655" s="2" t="s">
        <v>3554</v>
      </c>
      <c r="Q655" s="6" t="s">
        <v>332</v>
      </c>
      <c r="R655" s="6" t="s">
        <v>85</v>
      </c>
      <c r="S655" s="9" t="s">
        <v>1193</v>
      </c>
      <c r="T655" s="6"/>
      <c r="U655" s="6"/>
      <c r="V655" s="10"/>
      <c r="W655" s="10" t="s">
        <v>88</v>
      </c>
      <c r="X655" s="10"/>
      <c r="Y655" s="10"/>
    </row>
    <row r="656" customFormat="false" ht="23.85" hidden="false" customHeight="false" outlineLevel="0" collapsed="false">
      <c r="A656" s="6" t="n">
        <v>655</v>
      </c>
      <c r="B656" s="7" t="s">
        <v>3555</v>
      </c>
      <c r="C656" s="6" t="str">
        <f aca="false">IF(U656&lt;&gt;"","Client",IF(D656&gt;=9,"A",IF(D656&gt;=7,"B","C")))</f>
        <v>C</v>
      </c>
      <c r="D656" s="6" t="n">
        <f aca="false">E656+F656+G656</f>
        <v>3</v>
      </c>
      <c r="E656" s="6" t="n">
        <v>1</v>
      </c>
      <c r="F656" s="6" t="n">
        <v>0</v>
      </c>
      <c r="G656" s="8" t="n">
        <v>2</v>
      </c>
      <c r="H656" s="6" t="s">
        <v>1215</v>
      </c>
      <c r="I656" s="6" t="s">
        <v>1445</v>
      </c>
      <c r="J656" s="2" t="s">
        <v>3450</v>
      </c>
      <c r="K656" s="2" t="s">
        <v>3556</v>
      </c>
      <c r="L656" s="2" t="s">
        <v>3557</v>
      </c>
      <c r="M656" s="2"/>
      <c r="N656" s="2" t="s">
        <v>247</v>
      </c>
      <c r="O656" s="2" t="s">
        <v>832</v>
      </c>
      <c r="P656" s="2" t="s">
        <v>3558</v>
      </c>
      <c r="Q656" s="6" t="s">
        <v>1455</v>
      </c>
      <c r="R656" s="6" t="s">
        <v>85</v>
      </c>
      <c r="S656" s="9" t="s">
        <v>3559</v>
      </c>
      <c r="T656" s="9" t="s">
        <v>3560</v>
      </c>
      <c r="U656" s="6"/>
      <c r="V656" s="10"/>
      <c r="W656" s="10" t="s">
        <v>88</v>
      </c>
      <c r="X656" s="10"/>
      <c r="Y656" s="10"/>
    </row>
    <row r="657" customFormat="false" ht="23.85" hidden="false" customHeight="false" outlineLevel="0" collapsed="false">
      <c r="A657" s="6" t="n">
        <v>656</v>
      </c>
      <c r="B657" s="7" t="s">
        <v>3561</v>
      </c>
      <c r="C657" s="6" t="str">
        <f aca="false">IF(U657&lt;&gt;"","Client",IF(D657&gt;=9,"A",IF(D657&gt;=7,"B","C")))</f>
        <v>C</v>
      </c>
      <c r="D657" s="6" t="n">
        <f aca="false">E657+F657+G657</f>
        <v>3</v>
      </c>
      <c r="E657" s="6" t="n">
        <v>1</v>
      </c>
      <c r="F657" s="6" t="n">
        <v>0</v>
      </c>
      <c r="G657" s="8" t="n">
        <v>2</v>
      </c>
      <c r="H657" s="6" t="s">
        <v>1598</v>
      </c>
      <c r="I657" s="6" t="s">
        <v>1445</v>
      </c>
      <c r="J657" s="2" t="s">
        <v>3562</v>
      </c>
      <c r="K657" s="2" t="s">
        <v>1229</v>
      </c>
      <c r="L657" s="2" t="s">
        <v>102</v>
      </c>
      <c r="M657" s="2"/>
      <c r="N657" s="2" t="s">
        <v>802</v>
      </c>
      <c r="O657" s="2" t="s">
        <v>3563</v>
      </c>
      <c r="P657" s="2" t="s">
        <v>3564</v>
      </c>
      <c r="Q657" s="6" t="s">
        <v>97</v>
      </c>
      <c r="R657" s="6" t="s">
        <v>85</v>
      </c>
      <c r="S657" s="9" t="s">
        <v>1848</v>
      </c>
      <c r="T657" s="9" t="s">
        <v>3565</v>
      </c>
      <c r="U657" s="6"/>
      <c r="V657" s="10"/>
      <c r="W657" s="10" t="s">
        <v>88</v>
      </c>
      <c r="X657" s="10"/>
      <c r="Y657" s="10"/>
    </row>
    <row r="658" customFormat="false" ht="23.85" hidden="false" customHeight="false" outlineLevel="0" collapsed="false">
      <c r="A658" s="6" t="n">
        <v>657</v>
      </c>
      <c r="B658" s="7" t="s">
        <v>3566</v>
      </c>
      <c r="C658" s="6" t="str">
        <f aca="false">IF(U658&lt;&gt;"","Client",IF(D658&gt;=9,"A",IF(D658&gt;=7,"B","C")))</f>
        <v>C</v>
      </c>
      <c r="D658" s="6" t="n">
        <f aca="false">E658+F658+G658</f>
        <v>3</v>
      </c>
      <c r="E658" s="6" t="n">
        <v>1</v>
      </c>
      <c r="F658" s="6" t="n">
        <v>0</v>
      </c>
      <c r="G658" s="8" t="n">
        <v>2</v>
      </c>
      <c r="H658" s="6" t="s">
        <v>1598</v>
      </c>
      <c r="I658" s="6" t="s">
        <v>1445</v>
      </c>
      <c r="J658" s="2" t="s">
        <v>3567</v>
      </c>
      <c r="K658" s="2" t="s">
        <v>3568</v>
      </c>
      <c r="L658" s="2" t="s">
        <v>197</v>
      </c>
      <c r="M658" s="2"/>
      <c r="N658" s="2" t="s">
        <v>247</v>
      </c>
      <c r="O658" s="2" t="s">
        <v>3569</v>
      </c>
      <c r="P658" s="2" t="s">
        <v>3570</v>
      </c>
      <c r="Q658" s="6" t="s">
        <v>511</v>
      </c>
      <c r="R658" s="6" t="s">
        <v>85</v>
      </c>
      <c r="S658" s="9" t="s">
        <v>3571</v>
      </c>
      <c r="T658" s="9" t="s">
        <v>3572</v>
      </c>
      <c r="U658" s="6"/>
      <c r="V658" s="10"/>
      <c r="W658" s="10" t="s">
        <v>88</v>
      </c>
      <c r="X658" s="10"/>
      <c r="Y658" s="10"/>
    </row>
    <row r="659" customFormat="false" ht="23.85" hidden="false" customHeight="false" outlineLevel="0" collapsed="false">
      <c r="A659" s="6" t="n">
        <v>658</v>
      </c>
      <c r="B659" s="7" t="s">
        <v>3573</v>
      </c>
      <c r="C659" s="6" t="str">
        <f aca="false">IF(U659&lt;&gt;"","Client",IF(D659&gt;=9,"A",IF(D659&gt;=7,"B","C")))</f>
        <v>C</v>
      </c>
      <c r="D659" s="6" t="n">
        <f aca="false">E659+F659+G659</f>
        <v>3</v>
      </c>
      <c r="E659" s="6" t="n">
        <v>1</v>
      </c>
      <c r="F659" s="6" t="n">
        <v>0</v>
      </c>
      <c r="G659" s="8" t="n">
        <v>2</v>
      </c>
      <c r="H659" s="6" t="s">
        <v>1598</v>
      </c>
      <c r="I659" s="6" t="s">
        <v>1445</v>
      </c>
      <c r="J659" s="2" t="s">
        <v>3542</v>
      </c>
      <c r="K659" s="2" t="s">
        <v>3574</v>
      </c>
      <c r="L659" s="2" t="s">
        <v>127</v>
      </c>
      <c r="M659" s="2"/>
      <c r="N659" s="2" t="s">
        <v>802</v>
      </c>
      <c r="O659" s="2" t="s">
        <v>1191</v>
      </c>
      <c r="P659" s="2" t="s">
        <v>3575</v>
      </c>
      <c r="Q659" s="6" t="s">
        <v>332</v>
      </c>
      <c r="R659" s="6" t="s">
        <v>85</v>
      </c>
      <c r="S659" s="9" t="s">
        <v>1193</v>
      </c>
      <c r="T659" s="6"/>
      <c r="U659" s="6"/>
      <c r="V659" s="10"/>
      <c r="W659" s="10" t="s">
        <v>88</v>
      </c>
      <c r="X659" s="10"/>
      <c r="Y659" s="10"/>
    </row>
    <row r="660" customFormat="false" ht="23.85" hidden="false" customHeight="false" outlineLevel="0" collapsed="false">
      <c r="A660" s="6" t="n">
        <v>659</v>
      </c>
      <c r="B660" s="7" t="s">
        <v>3576</v>
      </c>
      <c r="C660" s="6" t="str">
        <f aca="false">IF(U660&lt;&gt;"","Client",IF(D660&gt;=9,"A",IF(D660&gt;=7,"B","C")))</f>
        <v>C</v>
      </c>
      <c r="D660" s="6" t="n">
        <f aca="false">E660+F660+G660</f>
        <v>3</v>
      </c>
      <c r="E660" s="6" t="n">
        <v>1</v>
      </c>
      <c r="F660" s="6" t="n">
        <v>0</v>
      </c>
      <c r="G660" s="8" t="n">
        <v>2</v>
      </c>
      <c r="H660" s="6" t="s">
        <v>1598</v>
      </c>
      <c r="I660" s="6" t="s">
        <v>1445</v>
      </c>
      <c r="J660" s="2" t="s">
        <v>3577</v>
      </c>
      <c r="K660" s="2" t="s">
        <v>724</v>
      </c>
      <c r="L660" s="2" t="s">
        <v>102</v>
      </c>
      <c r="M660" s="2"/>
      <c r="N660" s="2" t="s">
        <v>247</v>
      </c>
      <c r="O660" s="2" t="s">
        <v>3578</v>
      </c>
      <c r="P660" s="2" t="s">
        <v>3579</v>
      </c>
      <c r="Q660" s="6" t="s">
        <v>84</v>
      </c>
      <c r="R660" s="6" t="s">
        <v>106</v>
      </c>
      <c r="S660" s="9" t="s">
        <v>3580</v>
      </c>
      <c r="T660" s="6"/>
      <c r="U660" s="6"/>
      <c r="V660" s="10"/>
      <c r="W660" s="10" t="s">
        <v>88</v>
      </c>
      <c r="X660" s="10"/>
      <c r="Y660" s="10"/>
    </row>
    <row r="661" customFormat="false" ht="23.85" hidden="false" customHeight="false" outlineLevel="0" collapsed="false">
      <c r="A661" s="6" t="n">
        <v>660</v>
      </c>
      <c r="B661" s="7" t="s">
        <v>3581</v>
      </c>
      <c r="C661" s="6" t="str">
        <f aca="false">IF(U661&lt;&gt;"","Client",IF(D661&gt;=9,"A",IF(D661&gt;=7,"B","C")))</f>
        <v>C</v>
      </c>
      <c r="D661" s="6" t="n">
        <f aca="false">E661+F661+G661</f>
        <v>3</v>
      </c>
      <c r="E661" s="6" t="n">
        <v>1</v>
      </c>
      <c r="F661" s="6" t="n">
        <v>0</v>
      </c>
      <c r="G661" s="8" t="n">
        <v>2</v>
      </c>
      <c r="H661" s="6" t="s">
        <v>1598</v>
      </c>
      <c r="I661" s="6" t="s">
        <v>1445</v>
      </c>
      <c r="J661" s="2" t="s">
        <v>1604</v>
      </c>
      <c r="K661" s="2" t="s">
        <v>1634</v>
      </c>
      <c r="L661" s="2" t="s">
        <v>102</v>
      </c>
      <c r="M661" s="2"/>
      <c r="N661" s="2" t="s">
        <v>247</v>
      </c>
      <c r="O661" s="2" t="s">
        <v>3582</v>
      </c>
      <c r="P661" s="2" t="s">
        <v>3583</v>
      </c>
      <c r="Q661" s="6" t="s">
        <v>511</v>
      </c>
      <c r="R661" s="6" t="s">
        <v>85</v>
      </c>
      <c r="S661" s="9" t="s">
        <v>3584</v>
      </c>
      <c r="T661" s="6"/>
      <c r="U661" s="6"/>
      <c r="V661" s="10"/>
      <c r="W661" s="10" t="s">
        <v>88</v>
      </c>
      <c r="X661" s="10"/>
      <c r="Y661" s="10"/>
    </row>
    <row r="662" customFormat="false" ht="23.85" hidden="false" customHeight="false" outlineLevel="0" collapsed="false">
      <c r="A662" s="6" t="n">
        <v>661</v>
      </c>
      <c r="B662" s="7" t="s">
        <v>3585</v>
      </c>
      <c r="C662" s="6" t="str">
        <f aca="false">IF(U662&lt;&gt;"","Client",IF(D662&gt;=9,"A",IF(D662&gt;=7,"B","C")))</f>
        <v>C</v>
      </c>
      <c r="D662" s="6" t="n">
        <f aca="false">E662+F662+G662</f>
        <v>3</v>
      </c>
      <c r="E662" s="6" t="n">
        <v>1</v>
      </c>
      <c r="F662" s="6" t="n">
        <v>0</v>
      </c>
      <c r="G662" s="8" t="n">
        <v>2</v>
      </c>
      <c r="H662" s="6" t="s">
        <v>1644</v>
      </c>
      <c r="I662" s="6" t="s">
        <v>1445</v>
      </c>
      <c r="J662" s="2" t="s">
        <v>3586</v>
      </c>
      <c r="K662" s="2" t="s">
        <v>3587</v>
      </c>
      <c r="L662" s="2" t="s">
        <v>197</v>
      </c>
      <c r="M662" s="2"/>
      <c r="N662" s="2" t="s">
        <v>247</v>
      </c>
      <c r="O662" s="2" t="s">
        <v>3588</v>
      </c>
      <c r="P662" s="2" t="s">
        <v>3589</v>
      </c>
      <c r="Q662" s="6" t="s">
        <v>160</v>
      </c>
      <c r="R662" s="6" t="s">
        <v>85</v>
      </c>
      <c r="S662" s="9" t="s">
        <v>3590</v>
      </c>
      <c r="T662" s="9" t="s">
        <v>3591</v>
      </c>
      <c r="U662" s="6"/>
      <c r="V662" s="10"/>
      <c r="W662" s="10" t="s">
        <v>88</v>
      </c>
      <c r="X662" s="10"/>
      <c r="Y662" s="10"/>
    </row>
    <row r="663" customFormat="false" ht="23.85" hidden="false" customHeight="false" outlineLevel="0" collapsed="false">
      <c r="A663" s="6" t="n">
        <v>662</v>
      </c>
      <c r="B663" s="7" t="s">
        <v>3592</v>
      </c>
      <c r="C663" s="6" t="str">
        <f aca="false">IF(U663&lt;&gt;"","Client",IF(D663&gt;=9,"A",IF(D663&gt;=7,"B","C")))</f>
        <v>C</v>
      </c>
      <c r="D663" s="6" t="n">
        <f aca="false">E663+F663+G663</f>
        <v>3</v>
      </c>
      <c r="E663" s="6" t="n">
        <v>1</v>
      </c>
      <c r="F663" s="6" t="n">
        <v>0</v>
      </c>
      <c r="G663" s="8" t="n">
        <v>2</v>
      </c>
      <c r="H663" s="6" t="s">
        <v>1215</v>
      </c>
      <c r="I663" s="6" t="s">
        <v>1445</v>
      </c>
      <c r="J663" s="2" t="s">
        <v>3593</v>
      </c>
      <c r="K663" s="2" t="s">
        <v>1766</v>
      </c>
      <c r="L663" s="2" t="s">
        <v>102</v>
      </c>
      <c r="M663" s="2"/>
      <c r="N663" s="2" t="s">
        <v>247</v>
      </c>
      <c r="O663" s="2" t="s">
        <v>1767</v>
      </c>
      <c r="P663" s="2" t="s">
        <v>1768</v>
      </c>
      <c r="Q663" s="6" t="s">
        <v>236</v>
      </c>
      <c r="R663" s="6" t="s">
        <v>85</v>
      </c>
      <c r="S663" s="9" t="s">
        <v>1769</v>
      </c>
      <c r="T663" s="6"/>
      <c r="U663" s="6"/>
      <c r="V663" s="10"/>
      <c r="W663" s="10" t="s">
        <v>88</v>
      </c>
      <c r="X663" s="10"/>
      <c r="Y663" s="10"/>
    </row>
    <row r="664" customFormat="false" ht="23.85" hidden="false" customHeight="false" outlineLevel="0" collapsed="false">
      <c r="A664" s="6" t="n">
        <v>663</v>
      </c>
      <c r="B664" s="7" t="s">
        <v>3594</v>
      </c>
      <c r="C664" s="6" t="str">
        <f aca="false">IF(U664&lt;&gt;"","Client",IF(D664&gt;=9,"A",IF(D664&gt;=7,"B","C")))</f>
        <v>C</v>
      </c>
      <c r="D664" s="6" t="n">
        <f aca="false">E664+F664+G664</f>
        <v>3</v>
      </c>
      <c r="E664" s="6" t="n">
        <v>1</v>
      </c>
      <c r="F664" s="6" t="n">
        <v>0</v>
      </c>
      <c r="G664" s="8" t="n">
        <v>2</v>
      </c>
      <c r="H664" s="6" t="s">
        <v>1583</v>
      </c>
      <c r="I664" s="6" t="s">
        <v>1445</v>
      </c>
      <c r="J664" s="2" t="s">
        <v>3595</v>
      </c>
      <c r="K664" s="2" t="s">
        <v>1100</v>
      </c>
      <c r="L664" s="2" t="s">
        <v>102</v>
      </c>
      <c r="M664" s="2"/>
      <c r="N664" s="2" t="s">
        <v>247</v>
      </c>
      <c r="O664" s="2" t="s">
        <v>1767</v>
      </c>
      <c r="P664" s="2" t="s">
        <v>3596</v>
      </c>
      <c r="Q664" s="6" t="s">
        <v>411</v>
      </c>
      <c r="R664" s="6" t="s">
        <v>106</v>
      </c>
      <c r="S664" s="9" t="s">
        <v>3597</v>
      </c>
      <c r="T664" s="6"/>
      <c r="U664" s="6"/>
      <c r="V664" s="10"/>
      <c r="W664" s="10" t="s">
        <v>88</v>
      </c>
      <c r="X664" s="10"/>
      <c r="Y664" s="10"/>
    </row>
    <row r="665" customFormat="false" ht="23.85" hidden="false" customHeight="false" outlineLevel="0" collapsed="false">
      <c r="A665" s="6" t="n">
        <v>664</v>
      </c>
      <c r="B665" s="7" t="s">
        <v>3598</v>
      </c>
      <c r="C665" s="6" t="str">
        <f aca="false">IF(U665&lt;&gt;"","Client",IF(D665&gt;=9,"A",IF(D665&gt;=7,"B","C")))</f>
        <v>C</v>
      </c>
      <c r="D665" s="6" t="n">
        <f aca="false">E665+F665+G665</f>
        <v>3</v>
      </c>
      <c r="E665" s="6" t="n">
        <v>1</v>
      </c>
      <c r="F665" s="6" t="n">
        <v>0</v>
      </c>
      <c r="G665" s="8" t="n">
        <v>2</v>
      </c>
      <c r="H665" s="6" t="s">
        <v>1215</v>
      </c>
      <c r="I665" s="6" t="s">
        <v>1445</v>
      </c>
      <c r="J665" s="2" t="s">
        <v>3598</v>
      </c>
      <c r="K665" s="2" t="s">
        <v>3599</v>
      </c>
      <c r="L665" s="2" t="s">
        <v>102</v>
      </c>
      <c r="M665" s="2"/>
      <c r="N665" s="2" t="s">
        <v>247</v>
      </c>
      <c r="O665" s="2" t="s">
        <v>881</v>
      </c>
      <c r="P665" s="2" t="s">
        <v>3600</v>
      </c>
      <c r="Q665" s="6" t="s">
        <v>383</v>
      </c>
      <c r="R665" s="6" t="s">
        <v>106</v>
      </c>
      <c r="S665" s="9" t="s">
        <v>884</v>
      </c>
      <c r="T665" s="6"/>
      <c r="U665" s="6"/>
      <c r="V665" s="10"/>
      <c r="W665" s="10" t="s">
        <v>88</v>
      </c>
      <c r="X665" s="10"/>
      <c r="Y665" s="10"/>
    </row>
    <row r="666" customFormat="false" ht="23.85" hidden="false" customHeight="false" outlineLevel="0" collapsed="false">
      <c r="A666" s="6" t="n">
        <v>665</v>
      </c>
      <c r="B666" s="7" t="s">
        <v>3601</v>
      </c>
      <c r="C666" s="6" t="str">
        <f aca="false">IF(U666&lt;&gt;"","Client",IF(D666&gt;=9,"A",IF(D666&gt;=7,"B","C")))</f>
        <v>C</v>
      </c>
      <c r="D666" s="6" t="n">
        <f aca="false">E666+F666+G666</f>
        <v>3</v>
      </c>
      <c r="E666" s="6" t="n">
        <v>1</v>
      </c>
      <c r="F666" s="6" t="n">
        <v>0</v>
      </c>
      <c r="G666" s="8" t="n">
        <v>2</v>
      </c>
      <c r="H666" s="6" t="s">
        <v>1598</v>
      </c>
      <c r="I666" s="6" t="s">
        <v>1445</v>
      </c>
      <c r="J666" s="2" t="s">
        <v>3602</v>
      </c>
      <c r="K666" s="2" t="s">
        <v>3603</v>
      </c>
      <c r="L666" s="2" t="s">
        <v>167</v>
      </c>
      <c r="M666" s="2"/>
      <c r="N666" s="2" t="s">
        <v>247</v>
      </c>
      <c r="O666" s="2" t="s">
        <v>2337</v>
      </c>
      <c r="P666" s="2" t="s">
        <v>3604</v>
      </c>
      <c r="Q666" s="6" t="s">
        <v>84</v>
      </c>
      <c r="R666" s="6" t="s">
        <v>85</v>
      </c>
      <c r="S666" s="9" t="s">
        <v>3605</v>
      </c>
      <c r="T666" s="6"/>
      <c r="U666" s="6"/>
      <c r="V666" s="10"/>
      <c r="W666" s="10" t="s">
        <v>88</v>
      </c>
      <c r="X666" s="10"/>
      <c r="Y666" s="10"/>
    </row>
    <row r="667" customFormat="false" ht="23.85" hidden="false" customHeight="false" outlineLevel="0" collapsed="false">
      <c r="A667" s="6" t="n">
        <v>666</v>
      </c>
      <c r="B667" s="7" t="s">
        <v>3606</v>
      </c>
      <c r="C667" s="6" t="str">
        <f aca="false">IF(U667&lt;&gt;"","Client",IF(D667&gt;=9,"A",IF(D667&gt;=7,"B","C")))</f>
        <v>C</v>
      </c>
      <c r="D667" s="6" t="n">
        <f aca="false">E667+F667+G667</f>
        <v>3</v>
      </c>
      <c r="E667" s="6" t="n">
        <v>1</v>
      </c>
      <c r="F667" s="6" t="n">
        <v>0</v>
      </c>
      <c r="G667" s="8" t="n">
        <v>2</v>
      </c>
      <c r="H667" s="6" t="s">
        <v>1644</v>
      </c>
      <c r="I667" s="6" t="s">
        <v>1445</v>
      </c>
      <c r="J667" s="2" t="s">
        <v>3607</v>
      </c>
      <c r="K667" s="2" t="s">
        <v>2125</v>
      </c>
      <c r="L667" s="2" t="s">
        <v>167</v>
      </c>
      <c r="M667" s="2"/>
      <c r="N667" s="2" t="s">
        <v>247</v>
      </c>
      <c r="O667" s="2" t="s">
        <v>2308</v>
      </c>
      <c r="P667" s="2" t="s">
        <v>3608</v>
      </c>
      <c r="Q667" s="6" t="s">
        <v>97</v>
      </c>
      <c r="R667" s="6" t="s">
        <v>85</v>
      </c>
      <c r="S667" s="9" t="s">
        <v>3609</v>
      </c>
      <c r="T667" s="6"/>
      <c r="U667" s="6"/>
      <c r="V667" s="10"/>
      <c r="W667" s="10" t="s">
        <v>88</v>
      </c>
      <c r="X667" s="10"/>
      <c r="Y667" s="10"/>
    </row>
    <row r="668" customFormat="false" ht="23.85" hidden="false" customHeight="false" outlineLevel="0" collapsed="false">
      <c r="A668" s="6" t="n">
        <v>667</v>
      </c>
      <c r="B668" s="7" t="s">
        <v>3610</v>
      </c>
      <c r="C668" s="6" t="str">
        <f aca="false">IF(U668&lt;&gt;"","Client",IF(D668&gt;=9,"A",IF(D668&gt;=7,"B","C")))</f>
        <v>C</v>
      </c>
      <c r="D668" s="6" t="n">
        <f aca="false">E668+F668+G668</f>
        <v>3</v>
      </c>
      <c r="E668" s="6" t="n">
        <v>1</v>
      </c>
      <c r="F668" s="6" t="n">
        <v>0</v>
      </c>
      <c r="G668" s="8" t="n">
        <v>2</v>
      </c>
      <c r="H668" s="6" t="s">
        <v>1598</v>
      </c>
      <c r="I668" s="6" t="s">
        <v>1445</v>
      </c>
      <c r="J668" s="2" t="s">
        <v>3611</v>
      </c>
      <c r="K668" s="2" t="s">
        <v>1766</v>
      </c>
      <c r="L668" s="2" t="s">
        <v>102</v>
      </c>
      <c r="M668" s="2"/>
      <c r="N668" s="2" t="s">
        <v>247</v>
      </c>
      <c r="O668" s="2" t="s">
        <v>1767</v>
      </c>
      <c r="P668" s="2" t="s">
        <v>1768</v>
      </c>
      <c r="Q668" s="6" t="s">
        <v>236</v>
      </c>
      <c r="R668" s="6" t="s">
        <v>85</v>
      </c>
      <c r="S668" s="9" t="s">
        <v>1769</v>
      </c>
      <c r="T668" s="6"/>
      <c r="U668" s="6"/>
      <c r="V668" s="10"/>
      <c r="W668" s="10" t="s">
        <v>88</v>
      </c>
      <c r="X668" s="10"/>
      <c r="Y668" s="10"/>
    </row>
    <row r="669" customFormat="false" ht="23.85" hidden="false" customHeight="false" outlineLevel="0" collapsed="false">
      <c r="A669" s="6" t="n">
        <v>668</v>
      </c>
      <c r="B669" s="7" t="s">
        <v>3612</v>
      </c>
      <c r="C669" s="6" t="str">
        <f aca="false">IF(U669&lt;&gt;"","Client",IF(D669&gt;=9,"A",IF(D669&gt;=7,"B","C")))</f>
        <v>C</v>
      </c>
      <c r="D669" s="6" t="n">
        <f aca="false">E669+F669+G669</f>
        <v>3</v>
      </c>
      <c r="E669" s="6" t="n">
        <v>2</v>
      </c>
      <c r="F669" s="6" t="n">
        <v>0</v>
      </c>
      <c r="G669" s="8" t="n">
        <v>1</v>
      </c>
      <c r="H669" s="6" t="s">
        <v>507</v>
      </c>
      <c r="I669" s="6" t="s">
        <v>1445</v>
      </c>
      <c r="J669" s="2" t="s">
        <v>3612</v>
      </c>
      <c r="K669" s="2" t="s">
        <v>92</v>
      </c>
      <c r="L669" s="2" t="s">
        <v>93</v>
      </c>
      <c r="M669" s="2"/>
      <c r="N669" s="2" t="s">
        <v>521</v>
      </c>
      <c r="O669" s="2" t="s">
        <v>3613</v>
      </c>
      <c r="P669" s="2" t="s">
        <v>3614</v>
      </c>
      <c r="Q669" s="6" t="s">
        <v>97</v>
      </c>
      <c r="R669" s="6" t="s">
        <v>85</v>
      </c>
      <c r="S669" s="9" t="s">
        <v>3615</v>
      </c>
      <c r="T669" s="6"/>
      <c r="U669" s="6"/>
      <c r="V669" s="10"/>
      <c r="W669" s="10" t="s">
        <v>88</v>
      </c>
      <c r="X669" s="10"/>
      <c r="Y669" s="10"/>
    </row>
    <row r="670" customFormat="false" ht="23.85" hidden="false" customHeight="false" outlineLevel="0" collapsed="false">
      <c r="A670" s="6" t="n">
        <v>669</v>
      </c>
      <c r="B670" s="7" t="s">
        <v>3616</v>
      </c>
      <c r="C670" s="6" t="str">
        <f aca="false">IF(U670&lt;&gt;"","Client",IF(D670&gt;=9,"A",IF(D670&gt;=7,"B","C")))</f>
        <v>C</v>
      </c>
      <c r="D670" s="6" t="n">
        <f aca="false">E670+F670+G670</f>
        <v>3</v>
      </c>
      <c r="E670" s="6" t="n">
        <v>2</v>
      </c>
      <c r="F670" s="6" t="n">
        <v>0</v>
      </c>
      <c r="G670" s="8" t="n">
        <v>1</v>
      </c>
      <c r="H670" s="6" t="s">
        <v>507</v>
      </c>
      <c r="I670" s="6" t="s">
        <v>1445</v>
      </c>
      <c r="J670" s="2" t="s">
        <v>3617</v>
      </c>
      <c r="K670" s="2" t="s">
        <v>3475</v>
      </c>
      <c r="L670" s="2" t="s">
        <v>127</v>
      </c>
      <c r="M670" s="2"/>
      <c r="N670" s="2" t="s">
        <v>530</v>
      </c>
      <c r="O670" s="2" t="s">
        <v>3618</v>
      </c>
      <c r="P670" s="2" t="s">
        <v>3619</v>
      </c>
      <c r="Q670" s="6" t="s">
        <v>511</v>
      </c>
      <c r="R670" s="6" t="s">
        <v>106</v>
      </c>
      <c r="S670" s="9" t="s">
        <v>3620</v>
      </c>
      <c r="T670" s="6"/>
      <c r="U670" s="6"/>
      <c r="V670" s="10"/>
      <c r="W670" s="10" t="s">
        <v>88</v>
      </c>
      <c r="X670" s="10"/>
      <c r="Y670" s="10"/>
    </row>
    <row r="671" customFormat="false" ht="23.85" hidden="false" customHeight="false" outlineLevel="0" collapsed="false">
      <c r="A671" s="6" t="n">
        <v>670</v>
      </c>
      <c r="B671" s="7" t="s">
        <v>3621</v>
      </c>
      <c r="C671" s="6" t="str">
        <f aca="false">IF(U671&lt;&gt;"","Client",IF(D671&gt;=9,"A",IF(D671&gt;=7,"B","C")))</f>
        <v>C</v>
      </c>
      <c r="D671" s="6" t="n">
        <f aca="false">E671+F671+G671</f>
        <v>3</v>
      </c>
      <c r="E671" s="6" t="n">
        <v>2</v>
      </c>
      <c r="F671" s="6" t="n">
        <v>0</v>
      </c>
      <c r="G671" s="8" t="n">
        <v>1</v>
      </c>
      <c r="H671" s="6" t="s">
        <v>507</v>
      </c>
      <c r="I671" s="6" t="s">
        <v>1445</v>
      </c>
      <c r="J671" s="2" t="s">
        <v>3622</v>
      </c>
      <c r="K671" s="2" t="s">
        <v>92</v>
      </c>
      <c r="L671" s="2" t="s">
        <v>93</v>
      </c>
      <c r="M671" s="2"/>
      <c r="N671" s="2" t="s">
        <v>521</v>
      </c>
      <c r="O671" s="2" t="s">
        <v>3623</v>
      </c>
      <c r="P671" s="2" t="s">
        <v>3624</v>
      </c>
      <c r="Q671" s="6" t="s">
        <v>440</v>
      </c>
      <c r="R671" s="6" t="s">
        <v>98</v>
      </c>
      <c r="S671" s="9" t="s">
        <v>3625</v>
      </c>
      <c r="T671" s="6"/>
      <c r="U671" s="6"/>
      <c r="V671" s="10"/>
      <c r="W671" s="10" t="s">
        <v>88</v>
      </c>
      <c r="X671" s="10"/>
      <c r="Y671" s="10"/>
    </row>
    <row r="672" customFormat="false" ht="15" hidden="false" customHeight="false" outlineLevel="0" collapsed="false">
      <c r="A672" s="6" t="n">
        <v>671</v>
      </c>
      <c r="B672" s="7" t="s">
        <v>3626</v>
      </c>
      <c r="C672" s="6" t="str">
        <f aca="false">IF(U672&lt;&gt;"","Client",IF(D672&gt;=9,"A",IF(D672&gt;=7,"B","C")))</f>
        <v>C</v>
      </c>
      <c r="D672" s="6" t="n">
        <f aca="false">E672+F672+G672</f>
        <v>3</v>
      </c>
      <c r="E672" s="6" t="n">
        <v>3</v>
      </c>
      <c r="F672" s="6" t="n">
        <v>0</v>
      </c>
      <c r="G672" s="8" t="n">
        <v>0</v>
      </c>
      <c r="H672" s="6" t="s">
        <v>153</v>
      </c>
      <c r="I672" s="6" t="s">
        <v>1445</v>
      </c>
      <c r="J672" s="2" t="s">
        <v>3627</v>
      </c>
      <c r="K672" s="2" t="s">
        <v>680</v>
      </c>
      <c r="L672" s="2" t="s">
        <v>102</v>
      </c>
      <c r="M672" s="2"/>
      <c r="N672" s="2"/>
      <c r="O672" s="2"/>
      <c r="P672" s="2" t="s">
        <v>3628</v>
      </c>
      <c r="Q672" s="6" t="s">
        <v>1162</v>
      </c>
      <c r="R672" s="6" t="s">
        <v>85</v>
      </c>
      <c r="S672" s="9" t="s">
        <v>3629</v>
      </c>
      <c r="T672" s="6"/>
      <c r="U672" s="6"/>
      <c r="V672" s="10"/>
      <c r="W672" s="10" t="s">
        <v>88</v>
      </c>
      <c r="X672" s="10"/>
      <c r="Y672" s="10"/>
    </row>
    <row r="673" customFormat="false" ht="23.85" hidden="false" customHeight="false" outlineLevel="0" collapsed="false">
      <c r="A673" s="6" t="n">
        <v>672</v>
      </c>
      <c r="B673" s="7" t="s">
        <v>3630</v>
      </c>
      <c r="C673" s="6" t="str">
        <f aca="false">IF(U673&lt;&gt;"","Client",IF(D673&gt;=9,"A",IF(D673&gt;=7,"B","C")))</f>
        <v>C</v>
      </c>
      <c r="D673" s="6" t="n">
        <f aca="false">E673+F673+G673</f>
        <v>3</v>
      </c>
      <c r="E673" s="6" t="n">
        <v>3</v>
      </c>
      <c r="F673" s="6" t="n">
        <v>0</v>
      </c>
      <c r="G673" s="8" t="n">
        <v>0</v>
      </c>
      <c r="H673" s="6" t="s">
        <v>153</v>
      </c>
      <c r="I673" s="6" t="s">
        <v>1445</v>
      </c>
      <c r="J673" s="2" t="s">
        <v>3631</v>
      </c>
      <c r="K673" s="2" t="s">
        <v>1667</v>
      </c>
      <c r="L673" s="2" t="s">
        <v>167</v>
      </c>
      <c r="M673" s="2"/>
      <c r="N673" s="2"/>
      <c r="O673" s="2"/>
      <c r="P673" s="2" t="s">
        <v>3632</v>
      </c>
      <c r="Q673" s="6" t="s">
        <v>84</v>
      </c>
      <c r="R673" s="6" t="s">
        <v>85</v>
      </c>
      <c r="S673" s="9" t="s">
        <v>3633</v>
      </c>
      <c r="T673" s="6"/>
      <c r="U673" s="6"/>
      <c r="V673" s="10"/>
      <c r="W673" s="10" t="s">
        <v>88</v>
      </c>
      <c r="X673" s="10"/>
      <c r="Y673" s="10"/>
    </row>
    <row r="674" customFormat="false" ht="23.85" hidden="false" customHeight="false" outlineLevel="0" collapsed="false">
      <c r="A674" s="6" t="n">
        <v>673</v>
      </c>
      <c r="B674" s="7" t="s">
        <v>2601</v>
      </c>
      <c r="C674" s="6" t="str">
        <f aca="false">IF(U674&lt;&gt;"","Client",IF(D674&gt;=9,"A",IF(D674&gt;=7,"B","C")))</f>
        <v>C</v>
      </c>
      <c r="D674" s="6" t="n">
        <f aca="false">E674+F674+G674</f>
        <v>3</v>
      </c>
      <c r="E674" s="6" t="n">
        <v>3</v>
      </c>
      <c r="F674" s="6" t="n">
        <v>0</v>
      </c>
      <c r="G674" s="8" t="n">
        <v>0</v>
      </c>
      <c r="H674" s="6" t="s">
        <v>153</v>
      </c>
      <c r="I674" s="6" t="s">
        <v>1445</v>
      </c>
      <c r="J674" s="2" t="s">
        <v>2419</v>
      </c>
      <c r="K674" s="2" t="s">
        <v>3634</v>
      </c>
      <c r="L674" s="2" t="s">
        <v>127</v>
      </c>
      <c r="M674" s="2"/>
      <c r="N674" s="2"/>
      <c r="O674" s="2"/>
      <c r="P674" s="2" t="s">
        <v>3635</v>
      </c>
      <c r="Q674" s="6" t="s">
        <v>332</v>
      </c>
      <c r="R674" s="6" t="s">
        <v>98</v>
      </c>
      <c r="S674" s="9" t="s">
        <v>3636</v>
      </c>
      <c r="T674" s="6"/>
      <c r="U674" s="6"/>
      <c r="V674" s="10"/>
      <c r="W674" s="10" t="s">
        <v>88</v>
      </c>
      <c r="X674" s="10"/>
      <c r="Y674" s="10"/>
    </row>
    <row r="675" customFormat="false" ht="23.85" hidden="false" customHeight="false" outlineLevel="0" collapsed="false">
      <c r="A675" s="6" t="n">
        <v>674</v>
      </c>
      <c r="B675" s="7" t="s">
        <v>3637</v>
      </c>
      <c r="C675" s="6" t="str">
        <f aca="false">IF(U675&lt;&gt;"","Client",IF(D675&gt;=9,"A",IF(D675&gt;=7,"B","C")))</f>
        <v>C</v>
      </c>
      <c r="D675" s="6" t="n">
        <f aca="false">E675+F675+G675</f>
        <v>3</v>
      </c>
      <c r="E675" s="6" t="n">
        <v>3</v>
      </c>
      <c r="F675" s="6" t="n">
        <v>0</v>
      </c>
      <c r="G675" s="8" t="n">
        <v>0</v>
      </c>
      <c r="H675" s="6" t="s">
        <v>153</v>
      </c>
      <c r="I675" s="6" t="s">
        <v>1445</v>
      </c>
      <c r="J675" s="2" t="s">
        <v>3638</v>
      </c>
      <c r="K675" s="2" t="s">
        <v>3639</v>
      </c>
      <c r="L675" s="2" t="s">
        <v>127</v>
      </c>
      <c r="M675" s="2"/>
      <c r="N675" s="2" t="s">
        <v>1043</v>
      </c>
      <c r="O675" s="2" t="s">
        <v>3640</v>
      </c>
      <c r="P675" s="2" t="s">
        <v>3641</v>
      </c>
      <c r="Q675" s="6" t="s">
        <v>281</v>
      </c>
      <c r="R675" s="6" t="s">
        <v>85</v>
      </c>
      <c r="S675" s="9" t="s">
        <v>3642</v>
      </c>
      <c r="T675" s="9" t="s">
        <v>3643</v>
      </c>
      <c r="U675" s="6"/>
      <c r="V675" s="10"/>
      <c r="W675" s="10" t="s">
        <v>88</v>
      </c>
      <c r="X675" s="10"/>
      <c r="Y675" s="10"/>
    </row>
    <row r="676" customFormat="false" ht="23.85" hidden="false" customHeight="false" outlineLevel="0" collapsed="false">
      <c r="A676" s="6" t="n">
        <v>675</v>
      </c>
      <c r="B676" s="7" t="s">
        <v>3644</v>
      </c>
      <c r="C676" s="6" t="str">
        <f aca="false">IF(U676&lt;&gt;"","Client",IF(D676&gt;=9,"A",IF(D676&gt;=7,"B","C")))</f>
        <v>C</v>
      </c>
      <c r="D676" s="6" t="n">
        <f aca="false">E676+F676+G676</f>
        <v>3</v>
      </c>
      <c r="E676" s="6" t="n">
        <v>3</v>
      </c>
      <c r="F676" s="6" t="n">
        <v>0</v>
      </c>
      <c r="G676" s="8" t="n">
        <v>0</v>
      </c>
      <c r="H676" s="6" t="s">
        <v>182</v>
      </c>
      <c r="I676" s="6" t="s">
        <v>1445</v>
      </c>
      <c r="J676" s="2" t="s">
        <v>3644</v>
      </c>
      <c r="K676" s="2" t="s">
        <v>2092</v>
      </c>
      <c r="L676" s="2" t="s">
        <v>127</v>
      </c>
      <c r="M676" s="2"/>
      <c r="N676" s="2"/>
      <c r="O676" s="2"/>
      <c r="P676" s="2" t="s">
        <v>3645</v>
      </c>
      <c r="Q676" s="6" t="s">
        <v>143</v>
      </c>
      <c r="R676" s="6" t="s">
        <v>85</v>
      </c>
      <c r="S676" s="9" t="s">
        <v>1715</v>
      </c>
      <c r="T676" s="6"/>
      <c r="U676" s="6"/>
      <c r="V676" s="10"/>
      <c r="W676" s="10" t="s">
        <v>88</v>
      </c>
      <c r="X676" s="10"/>
      <c r="Y676" s="10"/>
    </row>
    <row r="677" customFormat="false" ht="23.85" hidden="false" customHeight="false" outlineLevel="0" collapsed="false">
      <c r="A677" s="6" t="n">
        <v>676</v>
      </c>
      <c r="B677" s="7" t="s">
        <v>3646</v>
      </c>
      <c r="C677" s="6" t="str">
        <f aca="false">IF(U677&lt;&gt;"","Client",IF(D677&gt;=9,"A",IF(D677&gt;=7,"B","C")))</f>
        <v>C</v>
      </c>
      <c r="D677" s="6" t="n">
        <f aca="false">E677+F677+G677</f>
        <v>3</v>
      </c>
      <c r="E677" s="6" t="n">
        <v>3</v>
      </c>
      <c r="F677" s="6" t="n">
        <v>0</v>
      </c>
      <c r="G677" s="8" t="n">
        <v>0</v>
      </c>
      <c r="H677" s="6" t="s">
        <v>153</v>
      </c>
      <c r="I677" s="6" t="s">
        <v>1445</v>
      </c>
      <c r="J677" s="2" t="s">
        <v>3647</v>
      </c>
      <c r="K677" s="2" t="s">
        <v>3187</v>
      </c>
      <c r="L677" s="2" t="s">
        <v>127</v>
      </c>
      <c r="M677" s="2"/>
      <c r="N677" s="2"/>
      <c r="O677" s="2"/>
      <c r="P677" s="2" t="s">
        <v>3648</v>
      </c>
      <c r="Q677" s="6" t="s">
        <v>97</v>
      </c>
      <c r="R677" s="6" t="s">
        <v>85</v>
      </c>
      <c r="S677" s="9" t="s">
        <v>3649</v>
      </c>
      <c r="T677" s="6"/>
      <c r="U677" s="6"/>
      <c r="V677" s="10"/>
      <c r="W677" s="10" t="s">
        <v>88</v>
      </c>
      <c r="X677" s="10"/>
      <c r="Y677" s="10"/>
    </row>
    <row r="678" customFormat="false" ht="15" hidden="false" customHeight="false" outlineLevel="0" collapsed="false">
      <c r="A678" s="6" t="n">
        <v>677</v>
      </c>
      <c r="B678" s="7" t="s">
        <v>3650</v>
      </c>
      <c r="C678" s="6" t="str">
        <f aca="false">IF(U678&lt;&gt;"","Client",IF(D678&gt;=9,"A",IF(D678&gt;=7,"B","C")))</f>
        <v>C</v>
      </c>
      <c r="D678" s="6" t="n">
        <f aca="false">E678+F678+G678</f>
        <v>3</v>
      </c>
      <c r="E678" s="6" t="n">
        <v>3</v>
      </c>
      <c r="F678" s="6" t="n">
        <v>0</v>
      </c>
      <c r="G678" s="8" t="n">
        <v>0</v>
      </c>
      <c r="H678" s="6" t="s">
        <v>153</v>
      </c>
      <c r="I678" s="6" t="s">
        <v>1445</v>
      </c>
      <c r="J678" s="2" t="s">
        <v>3651</v>
      </c>
      <c r="K678" s="2" t="s">
        <v>1159</v>
      </c>
      <c r="L678" s="2" t="s">
        <v>167</v>
      </c>
      <c r="M678" s="2"/>
      <c r="N678" s="2"/>
      <c r="O678" s="2"/>
      <c r="P678" s="2" t="s">
        <v>3652</v>
      </c>
      <c r="Q678" s="6" t="s">
        <v>461</v>
      </c>
      <c r="R678" s="6" t="s">
        <v>85</v>
      </c>
      <c r="S678" s="9" t="s">
        <v>3653</v>
      </c>
      <c r="T678" s="6"/>
      <c r="U678" s="6"/>
      <c r="V678" s="10"/>
      <c r="W678" s="10" t="s">
        <v>88</v>
      </c>
      <c r="X678" s="10"/>
      <c r="Y678" s="10"/>
    </row>
    <row r="679" customFormat="false" ht="23.85" hidden="false" customHeight="false" outlineLevel="0" collapsed="false">
      <c r="A679" s="6" t="n">
        <v>678</v>
      </c>
      <c r="B679" s="7" t="s">
        <v>3654</v>
      </c>
      <c r="C679" s="6" t="str">
        <f aca="false">IF(U679&lt;&gt;"","Client",IF(D679&gt;=9,"A",IF(D679&gt;=7,"B","C")))</f>
        <v>C</v>
      </c>
      <c r="D679" s="6" t="n">
        <f aca="false">E679+F679+G679</f>
        <v>3</v>
      </c>
      <c r="E679" s="6" t="n">
        <v>3</v>
      </c>
      <c r="F679" s="6" t="n">
        <v>0</v>
      </c>
      <c r="G679" s="8" t="n">
        <v>0</v>
      </c>
      <c r="H679" s="6" t="s">
        <v>153</v>
      </c>
      <c r="I679" s="6" t="s">
        <v>1445</v>
      </c>
      <c r="J679" s="2" t="s">
        <v>3654</v>
      </c>
      <c r="K679" s="2" t="s">
        <v>2196</v>
      </c>
      <c r="L679" s="2" t="s">
        <v>127</v>
      </c>
      <c r="M679" s="2"/>
      <c r="N679" s="2"/>
      <c r="O679" s="2"/>
      <c r="P679" s="2" t="s">
        <v>3655</v>
      </c>
      <c r="Q679" s="6" t="s">
        <v>84</v>
      </c>
      <c r="R679" s="6" t="s">
        <v>106</v>
      </c>
      <c r="S679" s="9" t="s">
        <v>1650</v>
      </c>
      <c r="T679" s="6"/>
      <c r="U679" s="6"/>
      <c r="V679" s="10"/>
      <c r="W679" s="10" t="s">
        <v>88</v>
      </c>
      <c r="X679" s="10"/>
      <c r="Y679" s="10"/>
    </row>
    <row r="680" customFormat="false" ht="23.85" hidden="false" customHeight="false" outlineLevel="0" collapsed="false">
      <c r="A680" s="6" t="n">
        <v>679</v>
      </c>
      <c r="B680" s="7" t="s">
        <v>3656</v>
      </c>
      <c r="C680" s="6" t="str">
        <f aca="false">IF(U680&lt;&gt;"","Client",IF(D680&gt;=9,"A",IF(D680&gt;=7,"B","C")))</f>
        <v>C</v>
      </c>
      <c r="D680" s="6" t="n">
        <f aca="false">E680+F680+G680</f>
        <v>3</v>
      </c>
      <c r="E680" s="6" t="n">
        <v>3</v>
      </c>
      <c r="F680" s="6" t="n">
        <v>0</v>
      </c>
      <c r="G680" s="8" t="n">
        <v>0</v>
      </c>
      <c r="H680" s="6" t="s">
        <v>153</v>
      </c>
      <c r="I680" s="6" t="s">
        <v>1445</v>
      </c>
      <c r="J680" s="2" t="s">
        <v>3657</v>
      </c>
      <c r="K680" s="2" t="s">
        <v>3658</v>
      </c>
      <c r="L680" s="2" t="s">
        <v>127</v>
      </c>
      <c r="M680" s="2"/>
      <c r="N680" s="2"/>
      <c r="O680" s="2"/>
      <c r="P680" s="2" t="s">
        <v>3659</v>
      </c>
      <c r="Q680" s="6" t="s">
        <v>97</v>
      </c>
      <c r="R680" s="6" t="s">
        <v>106</v>
      </c>
      <c r="S680" s="9" t="s">
        <v>3660</v>
      </c>
      <c r="T680" s="6"/>
      <c r="U680" s="6"/>
      <c r="V680" s="10"/>
      <c r="W680" s="10" t="s">
        <v>88</v>
      </c>
      <c r="X680" s="10"/>
      <c r="Y680" s="10"/>
    </row>
    <row r="681" customFormat="false" ht="23.85" hidden="false" customHeight="false" outlineLevel="0" collapsed="false">
      <c r="A681" s="6" t="n">
        <v>680</v>
      </c>
      <c r="B681" s="7" t="s">
        <v>3661</v>
      </c>
      <c r="C681" s="6" t="str">
        <f aca="false">IF(U681&lt;&gt;"","Client",IF(D681&gt;=9,"A",IF(D681&gt;=7,"B","C")))</f>
        <v>C</v>
      </c>
      <c r="D681" s="6" t="n">
        <f aca="false">E681+F681+G681</f>
        <v>3</v>
      </c>
      <c r="E681" s="6" t="n">
        <v>3</v>
      </c>
      <c r="F681" s="6" t="n">
        <v>0</v>
      </c>
      <c r="G681" s="8" t="n">
        <v>0</v>
      </c>
      <c r="H681" s="6" t="s">
        <v>626</v>
      </c>
      <c r="I681" s="6" t="s">
        <v>1445</v>
      </c>
      <c r="J681" s="2" t="s">
        <v>3662</v>
      </c>
      <c r="K681" s="2" t="s">
        <v>2330</v>
      </c>
      <c r="L681" s="2" t="s">
        <v>652</v>
      </c>
      <c r="M681" s="2"/>
      <c r="N681" s="2"/>
      <c r="O681" s="2"/>
      <c r="P681" s="2" t="s">
        <v>3663</v>
      </c>
      <c r="Q681" s="6" t="s">
        <v>281</v>
      </c>
      <c r="R681" s="6" t="s">
        <v>106</v>
      </c>
      <c r="S681" s="9" t="s">
        <v>2246</v>
      </c>
      <c r="T681" s="6"/>
      <c r="U681" s="6"/>
      <c r="V681" s="10"/>
      <c r="W681" s="10" t="s">
        <v>88</v>
      </c>
      <c r="X681" s="10"/>
      <c r="Y681" s="10"/>
    </row>
    <row r="682" customFormat="false" ht="15" hidden="false" customHeight="false" outlineLevel="0" collapsed="false">
      <c r="A682" s="6" t="n">
        <v>681</v>
      </c>
      <c r="B682" s="7" t="s">
        <v>3664</v>
      </c>
      <c r="C682" s="6" t="str">
        <f aca="false">IF(U682&lt;&gt;"","Client",IF(D682&gt;=9,"A",IF(D682&gt;=7,"B","C")))</f>
        <v>C</v>
      </c>
      <c r="D682" s="6" t="n">
        <f aca="false">E682+F682+G682</f>
        <v>3</v>
      </c>
      <c r="E682" s="6" t="n">
        <v>3</v>
      </c>
      <c r="F682" s="6" t="n">
        <v>0</v>
      </c>
      <c r="G682" s="8" t="n">
        <v>0</v>
      </c>
      <c r="H682" s="6" t="s">
        <v>182</v>
      </c>
      <c r="I682" s="6" t="s">
        <v>1445</v>
      </c>
      <c r="J682" s="2" t="s">
        <v>3665</v>
      </c>
      <c r="K682" s="2" t="s">
        <v>3666</v>
      </c>
      <c r="L682" s="2" t="s">
        <v>127</v>
      </c>
      <c r="M682" s="2"/>
      <c r="N682" s="2"/>
      <c r="O682" s="2"/>
      <c r="P682" s="2" t="s">
        <v>3667</v>
      </c>
      <c r="Q682" s="6" t="s">
        <v>324</v>
      </c>
      <c r="R682" s="6" t="s">
        <v>106</v>
      </c>
      <c r="S682" s="9" t="s">
        <v>3668</v>
      </c>
      <c r="T682" s="6"/>
      <c r="U682" s="6"/>
      <c r="V682" s="10"/>
      <c r="W682" s="10" t="s">
        <v>88</v>
      </c>
      <c r="X682" s="10"/>
      <c r="Y682" s="10"/>
    </row>
    <row r="683" customFormat="false" ht="15" hidden="false" customHeight="false" outlineLevel="0" collapsed="false">
      <c r="A683" s="6" t="n">
        <v>682</v>
      </c>
      <c r="B683" s="7" t="s">
        <v>3669</v>
      </c>
      <c r="C683" s="6" t="str">
        <f aca="false">IF(U683&lt;&gt;"","Client",IF(D683&gt;=9,"A",IF(D683&gt;=7,"B","C")))</f>
        <v>C</v>
      </c>
      <c r="D683" s="6" t="n">
        <f aca="false">E683+F683+G683</f>
        <v>3</v>
      </c>
      <c r="E683" s="6" t="n">
        <v>3</v>
      </c>
      <c r="F683" s="6" t="n">
        <v>0</v>
      </c>
      <c r="G683" s="8" t="n">
        <v>0</v>
      </c>
      <c r="H683" s="6" t="s">
        <v>153</v>
      </c>
      <c r="I683" s="6" t="s">
        <v>1445</v>
      </c>
      <c r="J683" s="2" t="s">
        <v>1824</v>
      </c>
      <c r="K683" s="2" t="s">
        <v>1229</v>
      </c>
      <c r="L683" s="2" t="s">
        <v>102</v>
      </c>
      <c r="M683" s="2"/>
      <c r="N683" s="2"/>
      <c r="O683" s="2" t="s">
        <v>3670</v>
      </c>
      <c r="P683" s="2" t="s">
        <v>3671</v>
      </c>
      <c r="Q683" s="6" t="s">
        <v>256</v>
      </c>
      <c r="R683" s="6" t="s">
        <v>106</v>
      </c>
      <c r="S683" s="9" t="s">
        <v>3672</v>
      </c>
      <c r="T683" s="6"/>
      <c r="U683" s="6"/>
      <c r="V683" s="10"/>
      <c r="W683" s="10" t="s">
        <v>88</v>
      </c>
      <c r="X683" s="10"/>
      <c r="Y683" s="10"/>
    </row>
    <row r="684" customFormat="false" ht="23.85" hidden="false" customHeight="false" outlineLevel="0" collapsed="false">
      <c r="A684" s="6" t="n">
        <v>683</v>
      </c>
      <c r="B684" s="7" t="s">
        <v>1824</v>
      </c>
      <c r="C684" s="6" t="str">
        <f aca="false">IF(U684&lt;&gt;"","Client",IF(D684&gt;=9,"A",IF(D684&gt;=7,"B","C")))</f>
        <v>C</v>
      </c>
      <c r="D684" s="6" t="n">
        <f aca="false">E684+F684+G684</f>
        <v>3</v>
      </c>
      <c r="E684" s="6" t="n">
        <v>3</v>
      </c>
      <c r="F684" s="6" t="n">
        <v>0</v>
      </c>
      <c r="G684" s="8" t="n">
        <v>0</v>
      </c>
      <c r="H684" s="6" t="s">
        <v>153</v>
      </c>
      <c r="I684" s="6" t="s">
        <v>1445</v>
      </c>
      <c r="J684" s="2" t="s">
        <v>1824</v>
      </c>
      <c r="K684" s="2" t="s">
        <v>3673</v>
      </c>
      <c r="L684" s="2" t="s">
        <v>3674</v>
      </c>
      <c r="M684" s="2"/>
      <c r="N684" s="2" t="s">
        <v>1533</v>
      </c>
      <c r="O684" s="2" t="s">
        <v>3675</v>
      </c>
      <c r="P684" s="2" t="s">
        <v>3676</v>
      </c>
      <c r="Q684" s="6" t="s">
        <v>97</v>
      </c>
      <c r="R684" s="6" t="s">
        <v>106</v>
      </c>
      <c r="S684" s="9" t="s">
        <v>3677</v>
      </c>
      <c r="T684" s="9" t="s">
        <v>3678</v>
      </c>
      <c r="U684" s="6"/>
      <c r="V684" s="10"/>
      <c r="W684" s="10" t="s">
        <v>88</v>
      </c>
      <c r="X684" s="10"/>
      <c r="Y684" s="10"/>
    </row>
    <row r="685" customFormat="false" ht="23.85" hidden="false" customHeight="false" outlineLevel="0" collapsed="false">
      <c r="A685" s="6" t="n">
        <v>684</v>
      </c>
      <c r="B685" s="7" t="s">
        <v>3679</v>
      </c>
      <c r="C685" s="6" t="str">
        <f aca="false">IF(U685&lt;&gt;"","Client",IF(D685&gt;=9,"A",IF(D685&gt;=7,"B","C")))</f>
        <v>C</v>
      </c>
      <c r="D685" s="6" t="n">
        <f aca="false">E685+F685+G685</f>
        <v>3</v>
      </c>
      <c r="E685" s="6" t="n">
        <v>3</v>
      </c>
      <c r="F685" s="6" t="n">
        <v>0</v>
      </c>
      <c r="G685" s="8" t="n">
        <v>0</v>
      </c>
      <c r="H685" s="6" t="s">
        <v>153</v>
      </c>
      <c r="I685" s="6" t="s">
        <v>1445</v>
      </c>
      <c r="J685" s="2" t="s">
        <v>1824</v>
      </c>
      <c r="K685" s="2" t="s">
        <v>1100</v>
      </c>
      <c r="L685" s="2" t="s">
        <v>102</v>
      </c>
      <c r="M685" s="2"/>
      <c r="N685" s="2"/>
      <c r="O685" s="2" t="s">
        <v>3680</v>
      </c>
      <c r="P685" s="2" t="s">
        <v>3681</v>
      </c>
      <c r="Q685" s="6" t="s">
        <v>411</v>
      </c>
      <c r="R685" s="6" t="s">
        <v>106</v>
      </c>
      <c r="S685" s="9" t="s">
        <v>3682</v>
      </c>
      <c r="T685" s="6"/>
      <c r="U685" s="6"/>
      <c r="V685" s="10"/>
      <c r="W685" s="10" t="s">
        <v>88</v>
      </c>
      <c r="X685" s="10"/>
      <c r="Y685" s="10"/>
    </row>
    <row r="686" customFormat="false" ht="46.25" hidden="false" customHeight="false" outlineLevel="0" collapsed="false">
      <c r="A686" s="6" t="n">
        <v>685</v>
      </c>
      <c r="B686" s="7" t="s">
        <v>3683</v>
      </c>
      <c r="C686" s="6" t="str">
        <f aca="false">IF(U686&lt;&gt;"","Client",IF(D686&gt;=9,"A",IF(D686&gt;=7,"B","C")))</f>
        <v>C</v>
      </c>
      <c r="D686" s="6" t="n">
        <f aca="false">E686+F686+G686</f>
        <v>3</v>
      </c>
      <c r="E686" s="6" t="n">
        <v>3</v>
      </c>
      <c r="F686" s="6" t="n">
        <v>0</v>
      </c>
      <c r="G686" s="8" t="n">
        <v>0</v>
      </c>
      <c r="H686" s="6" t="s">
        <v>164</v>
      </c>
      <c r="I686" s="6" t="s">
        <v>1445</v>
      </c>
      <c r="J686" s="2" t="s">
        <v>918</v>
      </c>
      <c r="K686" s="2" t="s">
        <v>3684</v>
      </c>
      <c r="L686" s="2" t="s">
        <v>167</v>
      </c>
      <c r="M686" s="2"/>
      <c r="N686" s="2" t="s">
        <v>1526</v>
      </c>
      <c r="O686" s="2" t="s">
        <v>3685</v>
      </c>
      <c r="P686" s="2" t="s">
        <v>3686</v>
      </c>
      <c r="Q686" s="6" t="s">
        <v>130</v>
      </c>
      <c r="R686" s="6" t="s">
        <v>85</v>
      </c>
      <c r="S686" s="9" t="s">
        <v>3687</v>
      </c>
      <c r="T686" s="9" t="s">
        <v>3688</v>
      </c>
      <c r="U686" s="6"/>
      <c r="V686" s="10"/>
      <c r="W686" s="10" t="s">
        <v>88</v>
      </c>
      <c r="X686" s="10"/>
      <c r="Y686" s="10"/>
    </row>
    <row r="687" customFormat="false" ht="15" hidden="false" customHeight="false" outlineLevel="0" collapsed="false">
      <c r="A687" s="6" t="n">
        <v>686</v>
      </c>
      <c r="B687" s="7" t="s">
        <v>3689</v>
      </c>
      <c r="C687" s="6" t="str">
        <f aca="false">IF(U687&lt;&gt;"","Client",IF(D687&gt;=9,"A",IF(D687&gt;=7,"B","C")))</f>
        <v>C</v>
      </c>
      <c r="D687" s="6" t="n">
        <f aca="false">E687+F687+G687</f>
        <v>3</v>
      </c>
      <c r="E687" s="6" t="n">
        <v>3</v>
      </c>
      <c r="F687" s="6" t="n">
        <v>0</v>
      </c>
      <c r="G687" s="8" t="n">
        <v>0</v>
      </c>
      <c r="H687" s="6" t="s">
        <v>182</v>
      </c>
      <c r="I687" s="6" t="s">
        <v>1445</v>
      </c>
      <c r="J687" s="2" t="s">
        <v>3690</v>
      </c>
      <c r="K687" s="2" t="s">
        <v>3691</v>
      </c>
      <c r="L687" s="2" t="s">
        <v>127</v>
      </c>
      <c r="M687" s="2"/>
      <c r="N687" s="2"/>
      <c r="O687" s="2"/>
      <c r="P687" s="2" t="s">
        <v>3692</v>
      </c>
      <c r="Q687" s="6" t="s">
        <v>332</v>
      </c>
      <c r="R687" s="6" t="s">
        <v>85</v>
      </c>
      <c r="S687" s="9" t="s">
        <v>3693</v>
      </c>
      <c r="T687" s="6"/>
      <c r="U687" s="6"/>
      <c r="V687" s="10"/>
      <c r="W687" s="10" t="s">
        <v>88</v>
      </c>
      <c r="X687" s="10"/>
      <c r="Y687" s="10"/>
    </row>
    <row r="688" customFormat="false" ht="15" hidden="false" customHeight="false" outlineLevel="0" collapsed="false">
      <c r="A688" s="6" t="n">
        <v>687</v>
      </c>
      <c r="B688" s="7" t="s">
        <v>3694</v>
      </c>
      <c r="C688" s="6" t="str">
        <f aca="false">IF(U688&lt;&gt;"","Client",IF(D688&gt;=9,"A",IF(D688&gt;=7,"B","C")))</f>
        <v>C</v>
      </c>
      <c r="D688" s="6" t="n">
        <f aca="false">E688+F688+G688</f>
        <v>3</v>
      </c>
      <c r="E688" s="6" t="n">
        <v>3</v>
      </c>
      <c r="F688" s="6" t="n">
        <v>0</v>
      </c>
      <c r="G688" s="8" t="n">
        <v>0</v>
      </c>
      <c r="H688" s="6" t="s">
        <v>182</v>
      </c>
      <c r="I688" s="6" t="s">
        <v>1445</v>
      </c>
      <c r="J688" s="2" t="s">
        <v>3694</v>
      </c>
      <c r="K688" s="2" t="s">
        <v>3695</v>
      </c>
      <c r="L688" s="2" t="s">
        <v>127</v>
      </c>
      <c r="M688" s="2"/>
      <c r="N688" s="2"/>
      <c r="O688" s="2" t="s">
        <v>3696</v>
      </c>
      <c r="P688" s="2" t="s">
        <v>3697</v>
      </c>
      <c r="Q688" s="6" t="s">
        <v>3698</v>
      </c>
      <c r="R688" s="6" t="s">
        <v>106</v>
      </c>
      <c r="S688" s="9" t="s">
        <v>3699</v>
      </c>
      <c r="T688" s="6"/>
      <c r="U688" s="6"/>
      <c r="V688" s="10"/>
      <c r="W688" s="10" t="s">
        <v>88</v>
      </c>
      <c r="X688" s="10"/>
      <c r="Y688" s="10"/>
    </row>
    <row r="689" customFormat="false" ht="35.05" hidden="false" customHeight="false" outlineLevel="0" collapsed="false">
      <c r="A689" s="6" t="n">
        <v>688</v>
      </c>
      <c r="B689" s="7" t="s">
        <v>3700</v>
      </c>
      <c r="C689" s="6" t="str">
        <f aca="false">IF(U689&lt;&gt;"","Client",IF(D689&gt;=9,"A",IF(D689&gt;=7,"B","C")))</f>
        <v>C</v>
      </c>
      <c r="D689" s="6" t="n">
        <f aca="false">E689+F689+G689</f>
        <v>3</v>
      </c>
      <c r="E689" s="6" t="n">
        <v>3</v>
      </c>
      <c r="F689" s="6" t="n">
        <v>0</v>
      </c>
      <c r="G689" s="8" t="n">
        <v>0</v>
      </c>
      <c r="H689" s="6" t="s">
        <v>164</v>
      </c>
      <c r="I689" s="6" t="s">
        <v>1445</v>
      </c>
      <c r="J689" s="2" t="s">
        <v>514</v>
      </c>
      <c r="K689" s="2" t="s">
        <v>1532</v>
      </c>
      <c r="L689" s="2" t="s">
        <v>206</v>
      </c>
      <c r="M689" s="2"/>
      <c r="N689" s="2" t="s">
        <v>1533</v>
      </c>
      <c r="O689" s="2" t="s">
        <v>1534</v>
      </c>
      <c r="P689" s="2" t="s">
        <v>1535</v>
      </c>
      <c r="Q689" s="6" t="s">
        <v>130</v>
      </c>
      <c r="R689" s="6" t="s">
        <v>85</v>
      </c>
      <c r="S689" s="9" t="s">
        <v>1536</v>
      </c>
      <c r="T689" s="6"/>
      <c r="U689" s="6"/>
      <c r="V689" s="10"/>
      <c r="W689" s="10" t="s">
        <v>88</v>
      </c>
      <c r="X689" s="10"/>
      <c r="Y689" s="10"/>
    </row>
    <row r="690" customFormat="false" ht="23.85" hidden="false" customHeight="false" outlineLevel="0" collapsed="false">
      <c r="A690" s="6" t="n">
        <v>689</v>
      </c>
      <c r="B690" s="7" t="s">
        <v>3701</v>
      </c>
      <c r="C690" s="6" t="str">
        <f aca="false">IF(U690&lt;&gt;"","Client",IF(D690&gt;=9,"A",IF(D690&gt;=7,"B","C")))</f>
        <v>C</v>
      </c>
      <c r="D690" s="6" t="n">
        <f aca="false">E690+F690+G690</f>
        <v>3</v>
      </c>
      <c r="E690" s="6" t="n">
        <v>3</v>
      </c>
      <c r="F690" s="6" t="n">
        <v>0</v>
      </c>
      <c r="G690" s="8" t="n">
        <v>0</v>
      </c>
      <c r="H690" s="6" t="s">
        <v>182</v>
      </c>
      <c r="I690" s="6" t="s">
        <v>1445</v>
      </c>
      <c r="J690" s="2" t="s">
        <v>674</v>
      </c>
      <c r="K690" s="2" t="s">
        <v>3702</v>
      </c>
      <c r="L690" s="2" t="s">
        <v>1175</v>
      </c>
      <c r="M690" s="2"/>
      <c r="N690" s="2"/>
      <c r="O690" s="2" t="s">
        <v>3703</v>
      </c>
      <c r="P690" s="2" t="s">
        <v>3704</v>
      </c>
      <c r="Q690" s="6" t="s">
        <v>1455</v>
      </c>
      <c r="R690" s="6" t="s">
        <v>85</v>
      </c>
      <c r="S690" s="9" t="s">
        <v>3705</v>
      </c>
      <c r="T690" s="9" t="s">
        <v>3706</v>
      </c>
      <c r="U690" s="6"/>
      <c r="V690" s="10"/>
      <c r="W690" s="10" t="s">
        <v>88</v>
      </c>
      <c r="X690" s="10"/>
      <c r="Y690" s="10"/>
    </row>
    <row r="691" customFormat="false" ht="23.85" hidden="false" customHeight="false" outlineLevel="0" collapsed="false">
      <c r="A691" s="6" t="n">
        <v>690</v>
      </c>
      <c r="B691" s="7" t="s">
        <v>3707</v>
      </c>
      <c r="C691" s="6" t="str">
        <f aca="false">IF(U691&lt;&gt;"","Client",IF(D691&gt;=9,"A",IF(D691&gt;=7,"B","C")))</f>
        <v>C</v>
      </c>
      <c r="D691" s="6" t="n">
        <f aca="false">E691+F691+G691</f>
        <v>3</v>
      </c>
      <c r="E691" s="6" t="n">
        <v>3</v>
      </c>
      <c r="F691" s="6" t="n">
        <v>0</v>
      </c>
      <c r="G691" s="8" t="n">
        <v>0</v>
      </c>
      <c r="H691" s="6" t="s">
        <v>164</v>
      </c>
      <c r="I691" s="6" t="s">
        <v>1445</v>
      </c>
      <c r="J691" s="2" t="s">
        <v>918</v>
      </c>
      <c r="K691" s="2" t="s">
        <v>2580</v>
      </c>
      <c r="L691" s="2" t="s">
        <v>127</v>
      </c>
      <c r="M691" s="2"/>
      <c r="N691" s="2" t="s">
        <v>1533</v>
      </c>
      <c r="O691" s="2" t="s">
        <v>3708</v>
      </c>
      <c r="P691" s="2" t="s">
        <v>3709</v>
      </c>
      <c r="Q691" s="6" t="s">
        <v>160</v>
      </c>
      <c r="R691" s="6" t="s">
        <v>85</v>
      </c>
      <c r="S691" s="9" t="s">
        <v>2584</v>
      </c>
      <c r="T691" s="6"/>
      <c r="U691" s="6"/>
      <c r="V691" s="10"/>
      <c r="W691" s="10" t="s">
        <v>88</v>
      </c>
      <c r="X691" s="10"/>
      <c r="Y691" s="10"/>
    </row>
    <row r="692" customFormat="false" ht="23.85" hidden="false" customHeight="false" outlineLevel="0" collapsed="false">
      <c r="A692" s="6" t="n">
        <v>691</v>
      </c>
      <c r="B692" s="7" t="s">
        <v>3710</v>
      </c>
      <c r="C692" s="6" t="str">
        <f aca="false">IF(U692&lt;&gt;"","Client",IF(D692&gt;=9,"A",IF(D692&gt;=7,"B","C")))</f>
        <v>C</v>
      </c>
      <c r="D692" s="6" t="n">
        <f aca="false">E692+F692+G692</f>
        <v>3</v>
      </c>
      <c r="E692" s="6" t="n">
        <v>3</v>
      </c>
      <c r="F692" s="6" t="n">
        <v>0</v>
      </c>
      <c r="G692" s="8" t="n">
        <v>0</v>
      </c>
      <c r="H692" s="6" t="s">
        <v>153</v>
      </c>
      <c r="I692" s="6" t="s">
        <v>1445</v>
      </c>
      <c r="J692" s="2" t="s">
        <v>3711</v>
      </c>
      <c r="K692" s="2" t="s">
        <v>3712</v>
      </c>
      <c r="L692" s="2" t="s">
        <v>206</v>
      </c>
      <c r="M692" s="2"/>
      <c r="N692" s="2"/>
      <c r="O692" s="2" t="s">
        <v>3713</v>
      </c>
      <c r="P692" s="2" t="s">
        <v>3714</v>
      </c>
      <c r="Q692" s="6" t="s">
        <v>281</v>
      </c>
      <c r="R692" s="6" t="s">
        <v>106</v>
      </c>
      <c r="S692" s="9" t="s">
        <v>210</v>
      </c>
      <c r="T692" s="6"/>
      <c r="U692" s="6"/>
      <c r="V692" s="10"/>
      <c r="W692" s="10" t="s">
        <v>88</v>
      </c>
      <c r="X692" s="10"/>
      <c r="Y692" s="10"/>
    </row>
    <row r="693" customFormat="false" ht="23.85" hidden="false" customHeight="false" outlineLevel="0" collapsed="false">
      <c r="A693" s="6" t="n">
        <v>692</v>
      </c>
      <c r="B693" s="7" t="s">
        <v>3715</v>
      </c>
      <c r="C693" s="6" t="str">
        <f aca="false">IF(U693&lt;&gt;"","Client",IF(D693&gt;=9,"A",IF(D693&gt;=7,"B","C")))</f>
        <v>C</v>
      </c>
      <c r="D693" s="6" t="n">
        <f aca="false">E693+F693+G693</f>
        <v>3</v>
      </c>
      <c r="E693" s="6" t="n">
        <v>3</v>
      </c>
      <c r="F693" s="6" t="n">
        <v>0</v>
      </c>
      <c r="G693" s="8" t="n">
        <v>0</v>
      </c>
      <c r="H693" s="6" t="s">
        <v>164</v>
      </c>
      <c r="I693" s="6" t="s">
        <v>1445</v>
      </c>
      <c r="J693" s="2" t="s">
        <v>729</v>
      </c>
      <c r="K693" s="2" t="s">
        <v>3716</v>
      </c>
      <c r="L693" s="2" t="s">
        <v>652</v>
      </c>
      <c r="M693" s="2"/>
      <c r="N693" s="2"/>
      <c r="O693" s="2" t="s">
        <v>3717</v>
      </c>
      <c r="P693" s="2" t="s">
        <v>3718</v>
      </c>
      <c r="Q693" s="6" t="s">
        <v>97</v>
      </c>
      <c r="R693" s="6" t="s">
        <v>106</v>
      </c>
      <c r="S693" s="9" t="s">
        <v>3719</v>
      </c>
      <c r="T693" s="9" t="s">
        <v>3720</v>
      </c>
      <c r="U693" s="6"/>
      <c r="V693" s="10"/>
      <c r="W693" s="10" t="s">
        <v>88</v>
      </c>
      <c r="X693" s="10"/>
      <c r="Y693" s="10"/>
    </row>
    <row r="694" customFormat="false" ht="15" hidden="false" customHeight="false" outlineLevel="0" collapsed="false">
      <c r="A694" s="6" t="n">
        <v>693</v>
      </c>
      <c r="B694" s="7" t="s">
        <v>3721</v>
      </c>
      <c r="C694" s="6" t="str">
        <f aca="false">IF(U694&lt;&gt;"","Client",IF(D694&gt;=9,"A",IF(D694&gt;=7,"B","C")))</f>
        <v>C</v>
      </c>
      <c r="D694" s="6" t="n">
        <f aca="false">E694+F694+G694</f>
        <v>3</v>
      </c>
      <c r="E694" s="6" t="n">
        <v>3</v>
      </c>
      <c r="F694" s="6" t="n">
        <v>0</v>
      </c>
      <c r="G694" s="8" t="n">
        <v>0</v>
      </c>
      <c r="H694" s="6" t="s">
        <v>182</v>
      </c>
      <c r="I694" s="6" t="s">
        <v>1445</v>
      </c>
      <c r="J694" s="2" t="s">
        <v>3722</v>
      </c>
      <c r="K694" s="2" t="s">
        <v>3723</v>
      </c>
      <c r="L694" s="2" t="s">
        <v>127</v>
      </c>
      <c r="M694" s="2"/>
      <c r="N694" s="2"/>
      <c r="O694" s="2"/>
      <c r="P694" s="2" t="s">
        <v>3724</v>
      </c>
      <c r="Q694" s="6" t="s">
        <v>324</v>
      </c>
      <c r="R694" s="6" t="s">
        <v>85</v>
      </c>
      <c r="S694" s="9" t="s">
        <v>3725</v>
      </c>
      <c r="T694" s="6"/>
      <c r="U694" s="6"/>
      <c r="V694" s="10"/>
      <c r="W694" s="10" t="s">
        <v>88</v>
      </c>
      <c r="X694" s="10"/>
      <c r="Y694" s="10"/>
    </row>
    <row r="695" customFormat="false" ht="23.85" hidden="false" customHeight="false" outlineLevel="0" collapsed="false">
      <c r="A695" s="6" t="n">
        <v>694</v>
      </c>
      <c r="B695" s="7" t="s">
        <v>3726</v>
      </c>
      <c r="C695" s="6" t="str">
        <f aca="false">IF(U695&lt;&gt;"","Client",IF(D695&gt;=9,"A",IF(D695&gt;=7,"B","C")))</f>
        <v>C</v>
      </c>
      <c r="D695" s="6" t="n">
        <f aca="false">E695+F695+G695</f>
        <v>3</v>
      </c>
      <c r="E695" s="6" t="n">
        <v>3</v>
      </c>
      <c r="F695" s="6" t="n">
        <v>0</v>
      </c>
      <c r="G695" s="8" t="n">
        <v>0</v>
      </c>
      <c r="H695" s="6" t="s">
        <v>626</v>
      </c>
      <c r="I695" s="6" t="s">
        <v>1445</v>
      </c>
      <c r="J695" s="2" t="s">
        <v>3727</v>
      </c>
      <c r="K695" s="2" t="s">
        <v>3728</v>
      </c>
      <c r="L695" s="2" t="s">
        <v>127</v>
      </c>
      <c r="M695" s="2"/>
      <c r="N695" s="2"/>
      <c r="O695" s="2"/>
      <c r="P695" s="2" t="s">
        <v>3729</v>
      </c>
      <c r="Q695" s="6" t="s">
        <v>324</v>
      </c>
      <c r="R695" s="6" t="s">
        <v>106</v>
      </c>
      <c r="S695" s="9" t="s">
        <v>3730</v>
      </c>
      <c r="T695" s="6"/>
      <c r="U695" s="6"/>
      <c r="V695" s="10"/>
      <c r="W695" s="10" t="s">
        <v>88</v>
      </c>
      <c r="X695" s="10"/>
      <c r="Y695" s="10"/>
    </row>
    <row r="696" customFormat="false" ht="15" hidden="false" customHeight="false" outlineLevel="0" collapsed="false">
      <c r="A696" s="6" t="n">
        <v>695</v>
      </c>
      <c r="B696" s="7" t="s">
        <v>3731</v>
      </c>
      <c r="C696" s="6" t="str">
        <f aca="false">IF(U696&lt;&gt;"","Client",IF(D696&gt;=9,"A",IF(D696&gt;=7,"B","C")))</f>
        <v>C</v>
      </c>
      <c r="D696" s="6" t="n">
        <f aca="false">E696+F696+G696</f>
        <v>3</v>
      </c>
      <c r="E696" s="6" t="n">
        <v>3</v>
      </c>
      <c r="F696" s="6" t="n">
        <v>0</v>
      </c>
      <c r="G696" s="8" t="n">
        <v>0</v>
      </c>
      <c r="H696" s="6" t="s">
        <v>153</v>
      </c>
      <c r="I696" s="6" t="s">
        <v>1445</v>
      </c>
      <c r="J696" s="2" t="s">
        <v>3732</v>
      </c>
      <c r="K696" s="2" t="s">
        <v>2828</v>
      </c>
      <c r="L696" s="2" t="s">
        <v>1539</v>
      </c>
      <c r="M696" s="2"/>
      <c r="N696" s="2"/>
      <c r="O696" s="2"/>
      <c r="P696" s="2" t="s">
        <v>3733</v>
      </c>
      <c r="Q696" s="6" t="s">
        <v>332</v>
      </c>
      <c r="R696" s="6" t="s">
        <v>106</v>
      </c>
      <c r="S696" s="9" t="s">
        <v>3734</v>
      </c>
      <c r="T696" s="6"/>
      <c r="U696" s="6"/>
      <c r="V696" s="10"/>
      <c r="W696" s="10" t="s">
        <v>88</v>
      </c>
      <c r="X696" s="10"/>
      <c r="Y696" s="10"/>
    </row>
    <row r="697" customFormat="false" ht="23.85" hidden="false" customHeight="false" outlineLevel="0" collapsed="false">
      <c r="A697" s="6" t="n">
        <v>696</v>
      </c>
      <c r="B697" s="7" t="s">
        <v>3735</v>
      </c>
      <c r="C697" s="6" t="str">
        <f aca="false">IF(U697&lt;&gt;"","Client",IF(D697&gt;=9,"A",IF(D697&gt;=7,"B","C")))</f>
        <v>C</v>
      </c>
      <c r="D697" s="6" t="n">
        <f aca="false">E697+F697+G697</f>
        <v>3</v>
      </c>
      <c r="E697" s="6" t="n">
        <v>3</v>
      </c>
      <c r="F697" s="6" t="n">
        <v>0</v>
      </c>
      <c r="G697" s="8" t="n">
        <v>0</v>
      </c>
      <c r="H697" s="6" t="s">
        <v>153</v>
      </c>
      <c r="I697" s="6" t="s">
        <v>1445</v>
      </c>
      <c r="J697" s="2" t="s">
        <v>3736</v>
      </c>
      <c r="K697" s="2" t="s">
        <v>2509</v>
      </c>
      <c r="L697" s="2" t="s">
        <v>652</v>
      </c>
      <c r="M697" s="2"/>
      <c r="N697" s="2"/>
      <c r="O697" s="2"/>
      <c r="P697" s="2" t="s">
        <v>3737</v>
      </c>
      <c r="Q697" s="6" t="s">
        <v>3738</v>
      </c>
      <c r="R697" s="6" t="s">
        <v>106</v>
      </c>
      <c r="S697" s="9" t="s">
        <v>3739</v>
      </c>
      <c r="T697" s="6"/>
      <c r="U697" s="6"/>
      <c r="V697" s="10"/>
      <c r="W697" s="10" t="s">
        <v>88</v>
      </c>
      <c r="X697" s="10"/>
      <c r="Y697" s="10"/>
    </row>
    <row r="698" customFormat="false" ht="23.85" hidden="false" customHeight="false" outlineLevel="0" collapsed="false">
      <c r="A698" s="6" t="n">
        <v>697</v>
      </c>
      <c r="B698" s="7" t="s">
        <v>3740</v>
      </c>
      <c r="C698" s="6" t="str">
        <f aca="false">IF(U698&lt;&gt;"","Client",IF(D698&gt;=9,"A",IF(D698&gt;=7,"B","C")))</f>
        <v>C</v>
      </c>
      <c r="D698" s="6" t="n">
        <f aca="false">E698+F698+G698</f>
        <v>3</v>
      </c>
      <c r="E698" s="6" t="n">
        <v>3</v>
      </c>
      <c r="F698" s="6" t="n">
        <v>0</v>
      </c>
      <c r="G698" s="8" t="n">
        <v>0</v>
      </c>
      <c r="H698" s="6" t="s">
        <v>182</v>
      </c>
      <c r="I698" s="6" t="s">
        <v>1445</v>
      </c>
      <c r="J698" s="2" t="s">
        <v>3577</v>
      </c>
      <c r="K698" s="2" t="s">
        <v>3741</v>
      </c>
      <c r="L698" s="2" t="s">
        <v>127</v>
      </c>
      <c r="M698" s="2"/>
      <c r="N698" s="2"/>
      <c r="O698" s="2"/>
      <c r="P698" s="2" t="s">
        <v>3742</v>
      </c>
      <c r="Q698" s="6" t="s">
        <v>281</v>
      </c>
      <c r="R698" s="6" t="s">
        <v>106</v>
      </c>
      <c r="S698" s="9" t="s">
        <v>3730</v>
      </c>
      <c r="T698" s="6"/>
      <c r="U698" s="6"/>
      <c r="V698" s="10"/>
      <c r="W698" s="10" t="s">
        <v>88</v>
      </c>
      <c r="X698" s="10"/>
      <c r="Y698" s="10"/>
    </row>
    <row r="699" customFormat="false" ht="23.85" hidden="false" customHeight="false" outlineLevel="0" collapsed="false">
      <c r="A699" s="6" t="n">
        <v>698</v>
      </c>
      <c r="B699" s="7" t="s">
        <v>3743</v>
      </c>
      <c r="C699" s="6" t="str">
        <f aca="false">IF(U699&lt;&gt;"","Client",IF(D699&gt;=9,"A",IF(D699&gt;=7,"B","C")))</f>
        <v>C</v>
      </c>
      <c r="D699" s="6" t="n">
        <f aca="false">E699+F699+G699</f>
        <v>3</v>
      </c>
      <c r="E699" s="6" t="n">
        <v>3</v>
      </c>
      <c r="F699" s="6" t="n">
        <v>0</v>
      </c>
      <c r="G699" s="8" t="n">
        <v>0</v>
      </c>
      <c r="H699" s="6" t="s">
        <v>182</v>
      </c>
      <c r="I699" s="6" t="s">
        <v>1445</v>
      </c>
      <c r="J699" s="2" t="s">
        <v>708</v>
      </c>
      <c r="K699" s="2" t="s">
        <v>1159</v>
      </c>
      <c r="L699" s="2" t="s">
        <v>167</v>
      </c>
      <c r="M699" s="2"/>
      <c r="N699" s="2"/>
      <c r="O699" s="2"/>
      <c r="P699" s="2" t="s">
        <v>3744</v>
      </c>
      <c r="Q699" s="6" t="s">
        <v>256</v>
      </c>
      <c r="R699" s="6" t="s">
        <v>85</v>
      </c>
      <c r="S699" s="9" t="s">
        <v>3745</v>
      </c>
      <c r="T699" s="6"/>
      <c r="U699" s="6"/>
      <c r="V699" s="10"/>
      <c r="W699" s="10" t="s">
        <v>88</v>
      </c>
      <c r="X699" s="10"/>
      <c r="Y699" s="10"/>
    </row>
    <row r="700" customFormat="false" ht="15" hidden="false" customHeight="false" outlineLevel="0" collapsed="false">
      <c r="A700" s="6" t="n">
        <v>699</v>
      </c>
      <c r="B700" s="7" t="s">
        <v>3746</v>
      </c>
      <c r="C700" s="6" t="str">
        <f aca="false">IF(U700&lt;&gt;"","Client",IF(D700&gt;=9,"A",IF(D700&gt;=7,"B","C")))</f>
        <v>C</v>
      </c>
      <c r="D700" s="6" t="n">
        <f aca="false">E700+F700+G700</f>
        <v>3</v>
      </c>
      <c r="E700" s="6" t="n">
        <v>3</v>
      </c>
      <c r="F700" s="6" t="n">
        <v>0</v>
      </c>
      <c r="G700" s="8" t="n">
        <v>0</v>
      </c>
      <c r="H700" s="6" t="s">
        <v>153</v>
      </c>
      <c r="I700" s="6" t="s">
        <v>1445</v>
      </c>
      <c r="J700" s="2" t="s">
        <v>3747</v>
      </c>
      <c r="K700" s="2" t="s">
        <v>3351</v>
      </c>
      <c r="L700" s="2" t="s">
        <v>127</v>
      </c>
      <c r="M700" s="2"/>
      <c r="N700" s="2"/>
      <c r="O700" s="2"/>
      <c r="P700" s="2" t="s">
        <v>3748</v>
      </c>
      <c r="Q700" s="6" t="s">
        <v>178</v>
      </c>
      <c r="R700" s="6" t="s">
        <v>85</v>
      </c>
      <c r="S700" s="9" t="s">
        <v>3749</v>
      </c>
      <c r="T700" s="6"/>
      <c r="U700" s="6"/>
      <c r="V700" s="10"/>
      <c r="W700" s="10" t="s">
        <v>88</v>
      </c>
      <c r="X700" s="10"/>
      <c r="Y700" s="10"/>
    </row>
    <row r="701" customFormat="false" ht="23.85" hidden="false" customHeight="false" outlineLevel="0" collapsed="false">
      <c r="A701" s="6" t="n">
        <v>700</v>
      </c>
      <c r="B701" s="7" t="s">
        <v>3750</v>
      </c>
      <c r="C701" s="6" t="str">
        <f aca="false">IF(U701&lt;&gt;"","Client",IF(D701&gt;=9,"A",IF(D701&gt;=7,"B","C")))</f>
        <v>C</v>
      </c>
      <c r="D701" s="6" t="n">
        <f aca="false">E701+F701+G701</f>
        <v>3</v>
      </c>
      <c r="E701" s="6" t="n">
        <v>3</v>
      </c>
      <c r="F701" s="6" t="n">
        <v>0</v>
      </c>
      <c r="G701" s="8" t="n">
        <v>0</v>
      </c>
      <c r="H701" s="6" t="s">
        <v>153</v>
      </c>
      <c r="I701" s="6" t="s">
        <v>1445</v>
      </c>
      <c r="J701" s="2" t="s">
        <v>3751</v>
      </c>
      <c r="K701" s="2" t="s">
        <v>3752</v>
      </c>
      <c r="L701" s="2" t="s">
        <v>652</v>
      </c>
      <c r="M701" s="2"/>
      <c r="N701" s="2"/>
      <c r="O701" s="2"/>
      <c r="P701" s="2" t="s">
        <v>3753</v>
      </c>
      <c r="Q701" s="6" t="s">
        <v>143</v>
      </c>
      <c r="R701" s="6" t="s">
        <v>106</v>
      </c>
      <c r="S701" s="9" t="s">
        <v>3754</v>
      </c>
      <c r="T701" s="6"/>
      <c r="U701" s="6"/>
      <c r="V701" s="10"/>
      <c r="W701" s="10" t="s">
        <v>88</v>
      </c>
      <c r="X701" s="10"/>
      <c r="Y701" s="10"/>
    </row>
    <row r="702" customFormat="false" ht="15" hidden="false" customHeight="false" outlineLevel="0" collapsed="false">
      <c r="A702" s="6" t="n">
        <v>701</v>
      </c>
      <c r="B702" s="7" t="s">
        <v>3755</v>
      </c>
      <c r="C702" s="6" t="str">
        <f aca="false">IF(U702&lt;&gt;"","Client",IF(D702&gt;=9,"A",IF(D702&gt;=7,"B","C")))</f>
        <v>C</v>
      </c>
      <c r="D702" s="6" t="n">
        <f aca="false">E702+F702+G702</f>
        <v>3</v>
      </c>
      <c r="E702" s="6" t="n">
        <v>3</v>
      </c>
      <c r="F702" s="6" t="n">
        <v>0</v>
      </c>
      <c r="G702" s="8" t="n">
        <v>0</v>
      </c>
      <c r="H702" s="6" t="s">
        <v>182</v>
      </c>
      <c r="I702" s="6" t="s">
        <v>1445</v>
      </c>
      <c r="J702" s="2" t="s">
        <v>3755</v>
      </c>
      <c r="K702" s="2" t="s">
        <v>3756</v>
      </c>
      <c r="L702" s="2" t="s">
        <v>127</v>
      </c>
      <c r="M702" s="2"/>
      <c r="N702" s="2"/>
      <c r="O702" s="2" t="s">
        <v>3757</v>
      </c>
      <c r="P702" s="2" t="s">
        <v>3758</v>
      </c>
      <c r="Q702" s="6" t="s">
        <v>3738</v>
      </c>
      <c r="R702" s="6" t="s">
        <v>106</v>
      </c>
      <c r="S702" s="9" t="s">
        <v>3759</v>
      </c>
      <c r="T702" s="6"/>
      <c r="U702" s="6"/>
      <c r="V702" s="10"/>
      <c r="W702" s="10" t="s">
        <v>88</v>
      </c>
      <c r="X702" s="10"/>
      <c r="Y702" s="10"/>
    </row>
    <row r="703" customFormat="false" ht="35.05" hidden="false" customHeight="false" outlineLevel="0" collapsed="false">
      <c r="A703" s="6" t="n">
        <v>702</v>
      </c>
      <c r="B703" s="7" t="s">
        <v>3760</v>
      </c>
      <c r="C703" s="6" t="str">
        <f aca="false">IF(U703&lt;&gt;"","Client",IF(D703&gt;=9,"A",IF(D703&gt;=7,"B","C")))</f>
        <v>C</v>
      </c>
      <c r="D703" s="6" t="n">
        <f aca="false">E703+F703+G703</f>
        <v>3</v>
      </c>
      <c r="E703" s="6" t="n">
        <v>3</v>
      </c>
      <c r="F703" s="6" t="n">
        <v>0</v>
      </c>
      <c r="G703" s="8" t="n">
        <v>0</v>
      </c>
      <c r="H703" s="6" t="s">
        <v>182</v>
      </c>
      <c r="I703" s="6" t="s">
        <v>1445</v>
      </c>
      <c r="J703" s="2" t="s">
        <v>3761</v>
      </c>
      <c r="K703" s="2" t="s">
        <v>3762</v>
      </c>
      <c r="L703" s="2" t="s">
        <v>197</v>
      </c>
      <c r="M703" s="2" t="s">
        <v>3763</v>
      </c>
      <c r="N703" s="2" t="s">
        <v>1526</v>
      </c>
      <c r="O703" s="2" t="s">
        <v>3764</v>
      </c>
      <c r="P703" s="2" t="s">
        <v>3765</v>
      </c>
      <c r="Q703" s="6" t="s">
        <v>308</v>
      </c>
      <c r="R703" s="6" t="s">
        <v>85</v>
      </c>
      <c r="S703" s="9" t="s">
        <v>3766</v>
      </c>
      <c r="T703" s="9" t="s">
        <v>3767</v>
      </c>
      <c r="U703" s="6"/>
      <c r="V703" s="10"/>
      <c r="W703" s="10" t="s">
        <v>88</v>
      </c>
      <c r="X703" s="10"/>
      <c r="Y703" s="10"/>
    </row>
    <row r="704" customFormat="false" ht="15" hidden="false" customHeight="false" outlineLevel="0" collapsed="false">
      <c r="A704" s="6" t="n">
        <v>703</v>
      </c>
      <c r="B704" s="7" t="s">
        <v>3768</v>
      </c>
      <c r="C704" s="6" t="str">
        <f aca="false">IF(U704&lt;&gt;"","Client",IF(D704&gt;=9,"A",IF(D704&gt;=7,"B","C")))</f>
        <v>C</v>
      </c>
      <c r="D704" s="6" t="n">
        <f aca="false">E704+F704+G704</f>
        <v>3</v>
      </c>
      <c r="E704" s="6" t="n">
        <v>3</v>
      </c>
      <c r="F704" s="6" t="n">
        <v>0</v>
      </c>
      <c r="G704" s="8" t="n">
        <v>0</v>
      </c>
      <c r="H704" s="6" t="s">
        <v>164</v>
      </c>
      <c r="I704" s="6" t="s">
        <v>1445</v>
      </c>
      <c r="J704" s="2" t="s">
        <v>3768</v>
      </c>
      <c r="K704" s="2" t="s">
        <v>2078</v>
      </c>
      <c r="L704" s="2" t="s">
        <v>127</v>
      </c>
      <c r="M704" s="2"/>
      <c r="N704" s="2"/>
      <c r="O704" s="2"/>
      <c r="P704" s="2" t="s">
        <v>3769</v>
      </c>
      <c r="Q704" s="6" t="s">
        <v>150</v>
      </c>
      <c r="R704" s="6" t="s">
        <v>85</v>
      </c>
      <c r="S704" s="9" t="s">
        <v>3770</v>
      </c>
      <c r="T704" s="6"/>
      <c r="U704" s="6"/>
      <c r="V704" s="10"/>
      <c r="W704" s="10" t="s">
        <v>88</v>
      </c>
      <c r="X704" s="10"/>
      <c r="Y704" s="10"/>
    </row>
    <row r="705" customFormat="false" ht="23.85" hidden="false" customHeight="false" outlineLevel="0" collapsed="false">
      <c r="A705" s="6" t="n">
        <v>704</v>
      </c>
      <c r="B705" s="7" t="s">
        <v>3771</v>
      </c>
      <c r="C705" s="6" t="str">
        <f aca="false">IF(U705&lt;&gt;"","Client",IF(D705&gt;=9,"A",IF(D705&gt;=7,"B","C")))</f>
        <v>C</v>
      </c>
      <c r="D705" s="6" t="n">
        <f aca="false">E705+F705+G705</f>
        <v>3</v>
      </c>
      <c r="E705" s="6" t="n">
        <v>3</v>
      </c>
      <c r="F705" s="6" t="n">
        <v>0</v>
      </c>
      <c r="G705" s="8" t="n">
        <v>0</v>
      </c>
      <c r="H705" s="6" t="s">
        <v>153</v>
      </c>
      <c r="I705" s="6" t="s">
        <v>1445</v>
      </c>
      <c r="J705" s="2" t="s">
        <v>3772</v>
      </c>
      <c r="K705" s="2" t="s">
        <v>3773</v>
      </c>
      <c r="L705" s="2" t="s">
        <v>206</v>
      </c>
      <c r="M705" s="2"/>
      <c r="N705" s="2"/>
      <c r="O705" s="2"/>
      <c r="P705" s="2" t="s">
        <v>3774</v>
      </c>
      <c r="Q705" s="6" t="s">
        <v>281</v>
      </c>
      <c r="R705" s="6" t="s">
        <v>106</v>
      </c>
      <c r="S705" s="9" t="s">
        <v>210</v>
      </c>
      <c r="T705" s="6"/>
      <c r="U705" s="6"/>
      <c r="V705" s="10"/>
      <c r="W705" s="10" t="s">
        <v>88</v>
      </c>
      <c r="X705" s="10"/>
      <c r="Y705" s="10"/>
    </row>
    <row r="706" customFormat="false" ht="23.85" hidden="false" customHeight="false" outlineLevel="0" collapsed="false">
      <c r="A706" s="6" t="n">
        <v>705</v>
      </c>
      <c r="B706" s="7" t="s">
        <v>3775</v>
      </c>
      <c r="C706" s="6" t="str">
        <f aca="false">IF(U706&lt;&gt;"","Client",IF(D706&gt;=9,"A",IF(D706&gt;=7,"B","C")))</f>
        <v>C</v>
      </c>
      <c r="D706" s="6" t="n">
        <f aca="false">E706+F706+G706</f>
        <v>3</v>
      </c>
      <c r="E706" s="6" t="n">
        <v>3</v>
      </c>
      <c r="F706" s="6" t="n">
        <v>0</v>
      </c>
      <c r="G706" s="8" t="n">
        <v>0</v>
      </c>
      <c r="H706" s="6" t="s">
        <v>153</v>
      </c>
      <c r="I706" s="6" t="s">
        <v>1445</v>
      </c>
      <c r="J706" s="2" t="s">
        <v>751</v>
      </c>
      <c r="K706" s="2" t="s">
        <v>1159</v>
      </c>
      <c r="L706" s="2" t="s">
        <v>167</v>
      </c>
      <c r="M706" s="2"/>
      <c r="N706" s="2"/>
      <c r="O706" s="2"/>
      <c r="P706" s="2" t="s">
        <v>3776</v>
      </c>
      <c r="Q706" s="6" t="s">
        <v>461</v>
      </c>
      <c r="R706" s="6" t="s">
        <v>85</v>
      </c>
      <c r="S706" s="9" t="s">
        <v>3777</v>
      </c>
      <c r="T706" s="6"/>
      <c r="U706" s="6"/>
      <c r="V706" s="10"/>
      <c r="W706" s="10" t="s">
        <v>88</v>
      </c>
      <c r="X706" s="10"/>
      <c r="Y706" s="10"/>
    </row>
    <row r="707" customFormat="false" ht="35.05" hidden="false" customHeight="false" outlineLevel="0" collapsed="false">
      <c r="A707" s="6" t="n">
        <v>706</v>
      </c>
      <c r="B707" s="7" t="s">
        <v>3132</v>
      </c>
      <c r="C707" s="6" t="str">
        <f aca="false">IF(U707&lt;&gt;"","Client",IF(D707&gt;=9,"A",IF(D707&gt;=7,"B","C")))</f>
        <v>C</v>
      </c>
      <c r="D707" s="6" t="n">
        <f aca="false">E707+F707+G707</f>
        <v>3</v>
      </c>
      <c r="E707" s="6" t="n">
        <v>3</v>
      </c>
      <c r="F707" s="6" t="n">
        <v>0</v>
      </c>
      <c r="G707" s="8" t="n">
        <v>0</v>
      </c>
      <c r="H707" s="6" t="s">
        <v>153</v>
      </c>
      <c r="I707" s="6" t="s">
        <v>1445</v>
      </c>
      <c r="J707" s="2" t="s">
        <v>1260</v>
      </c>
      <c r="K707" s="2" t="s">
        <v>3778</v>
      </c>
      <c r="L707" s="2" t="s">
        <v>1921</v>
      </c>
      <c r="M707" s="2" t="s">
        <v>3779</v>
      </c>
      <c r="N707" s="2" t="s">
        <v>1929</v>
      </c>
      <c r="O707" s="2" t="s">
        <v>3780</v>
      </c>
      <c r="P707" s="2" t="s">
        <v>3781</v>
      </c>
      <c r="Q707" s="6" t="s">
        <v>160</v>
      </c>
      <c r="R707" s="6" t="s">
        <v>85</v>
      </c>
      <c r="S707" s="9" t="s">
        <v>3782</v>
      </c>
      <c r="T707" s="9" t="s">
        <v>3783</v>
      </c>
      <c r="U707" s="6"/>
      <c r="V707" s="10"/>
      <c r="W707" s="10" t="s">
        <v>88</v>
      </c>
      <c r="X707" s="10"/>
      <c r="Y707" s="10"/>
    </row>
    <row r="708" customFormat="false" ht="23.85" hidden="false" customHeight="false" outlineLevel="0" collapsed="false">
      <c r="A708" s="6" t="n">
        <v>707</v>
      </c>
      <c r="B708" s="7" t="s">
        <v>3784</v>
      </c>
      <c r="C708" s="6" t="str">
        <f aca="false">IF(U708&lt;&gt;"","Client",IF(D708&gt;=9,"A",IF(D708&gt;=7,"B","C")))</f>
        <v>C</v>
      </c>
      <c r="D708" s="6" t="n">
        <f aca="false">E708+F708+G708</f>
        <v>3</v>
      </c>
      <c r="E708" s="6" t="n">
        <v>3</v>
      </c>
      <c r="F708" s="6" t="n">
        <v>0</v>
      </c>
      <c r="G708" s="8" t="n">
        <v>0</v>
      </c>
      <c r="H708" s="6" t="s">
        <v>153</v>
      </c>
      <c r="I708" s="6" t="s">
        <v>1445</v>
      </c>
      <c r="J708" s="2" t="s">
        <v>3785</v>
      </c>
      <c r="K708" s="2" t="s">
        <v>3202</v>
      </c>
      <c r="L708" s="2" t="s">
        <v>127</v>
      </c>
      <c r="M708" s="2"/>
      <c r="N708" s="2" t="s">
        <v>1533</v>
      </c>
      <c r="O708" s="2"/>
      <c r="P708" s="2" t="s">
        <v>3786</v>
      </c>
      <c r="Q708" s="6" t="s">
        <v>160</v>
      </c>
      <c r="R708" s="6" t="s">
        <v>85</v>
      </c>
      <c r="S708" s="9" t="s">
        <v>3787</v>
      </c>
      <c r="T708" s="6"/>
      <c r="U708" s="6"/>
      <c r="V708" s="10"/>
      <c r="W708" s="10" t="s">
        <v>88</v>
      </c>
      <c r="X708" s="10"/>
      <c r="Y708" s="10"/>
    </row>
    <row r="709" customFormat="false" ht="23.85" hidden="false" customHeight="false" outlineLevel="0" collapsed="false">
      <c r="A709" s="6" t="n">
        <v>708</v>
      </c>
      <c r="B709" s="7" t="s">
        <v>3788</v>
      </c>
      <c r="C709" s="6" t="str">
        <f aca="false">IF(U709&lt;&gt;"","Client",IF(D709&gt;=9,"A",IF(D709&gt;=7,"B","C")))</f>
        <v>C</v>
      </c>
      <c r="D709" s="6" t="n">
        <f aca="false">E709+F709+G709</f>
        <v>3</v>
      </c>
      <c r="E709" s="6" t="n">
        <v>3</v>
      </c>
      <c r="F709" s="6" t="n">
        <v>0</v>
      </c>
      <c r="G709" s="8" t="n">
        <v>0</v>
      </c>
      <c r="H709" s="6" t="s">
        <v>182</v>
      </c>
      <c r="I709" s="6" t="s">
        <v>1445</v>
      </c>
      <c r="J709" s="2" t="s">
        <v>3789</v>
      </c>
      <c r="K709" s="2" t="s">
        <v>724</v>
      </c>
      <c r="L709" s="2" t="s">
        <v>102</v>
      </c>
      <c r="M709" s="2"/>
      <c r="N709" s="2"/>
      <c r="O709" s="2"/>
      <c r="P709" s="2" t="s">
        <v>3790</v>
      </c>
      <c r="Q709" s="6" t="s">
        <v>1943</v>
      </c>
      <c r="R709" s="6" t="s">
        <v>106</v>
      </c>
      <c r="S709" s="9" t="s">
        <v>3791</v>
      </c>
      <c r="T709" s="6"/>
      <c r="U709" s="6"/>
      <c r="V709" s="10"/>
      <c r="W709" s="10" t="s">
        <v>88</v>
      </c>
      <c r="X709" s="10"/>
      <c r="Y709" s="10"/>
    </row>
    <row r="710" customFormat="false" ht="23.85" hidden="false" customHeight="false" outlineLevel="0" collapsed="false">
      <c r="A710" s="6" t="n">
        <v>709</v>
      </c>
      <c r="B710" s="7" t="s">
        <v>3792</v>
      </c>
      <c r="C710" s="6" t="str">
        <f aca="false">IF(U710&lt;&gt;"","Client",IF(D710&gt;=9,"A",IF(D710&gt;=7,"B","C")))</f>
        <v>C</v>
      </c>
      <c r="D710" s="6" t="n">
        <f aca="false">E710+F710+G710</f>
        <v>3</v>
      </c>
      <c r="E710" s="6" t="n">
        <v>3</v>
      </c>
      <c r="F710" s="6" t="n">
        <v>0</v>
      </c>
      <c r="G710" s="8" t="n">
        <v>0</v>
      </c>
      <c r="H710" s="6" t="s">
        <v>182</v>
      </c>
      <c r="I710" s="6" t="s">
        <v>1445</v>
      </c>
      <c r="J710" s="2" t="s">
        <v>3793</v>
      </c>
      <c r="K710" s="2" t="s">
        <v>3356</v>
      </c>
      <c r="L710" s="2" t="s">
        <v>1175</v>
      </c>
      <c r="M710" s="2"/>
      <c r="N710" s="2"/>
      <c r="O710" s="2" t="s">
        <v>3794</v>
      </c>
      <c r="P710" s="2" t="s">
        <v>3795</v>
      </c>
      <c r="Q710" s="6" t="s">
        <v>511</v>
      </c>
      <c r="R710" s="6" t="s">
        <v>106</v>
      </c>
      <c r="S710" s="9" t="s">
        <v>3796</v>
      </c>
      <c r="T710" s="6"/>
      <c r="U710" s="6"/>
      <c r="V710" s="10"/>
      <c r="W710" s="10" t="s">
        <v>88</v>
      </c>
      <c r="X710" s="10"/>
      <c r="Y710" s="10"/>
    </row>
    <row r="711" customFormat="false" ht="15" hidden="false" customHeight="false" outlineLevel="0" collapsed="false">
      <c r="A711" s="6" t="n">
        <v>710</v>
      </c>
      <c r="B711" s="7" t="s">
        <v>3797</v>
      </c>
      <c r="C711" s="6" t="str">
        <f aca="false">IF(U711&lt;&gt;"","Client",IF(D711&gt;=9,"A",IF(D711&gt;=7,"B","C")))</f>
        <v>C</v>
      </c>
      <c r="D711" s="6" t="n">
        <f aca="false">E711+F711+G711</f>
        <v>3</v>
      </c>
      <c r="E711" s="6" t="n">
        <v>3</v>
      </c>
      <c r="F711" s="6" t="n">
        <v>0</v>
      </c>
      <c r="G711" s="8" t="n">
        <v>0</v>
      </c>
      <c r="H711" s="6" t="s">
        <v>182</v>
      </c>
      <c r="I711" s="6" t="s">
        <v>1445</v>
      </c>
      <c r="J711" s="2" t="s">
        <v>3798</v>
      </c>
      <c r="K711" s="2" t="s">
        <v>3799</v>
      </c>
      <c r="L711" s="2" t="s">
        <v>127</v>
      </c>
      <c r="M711" s="2"/>
      <c r="N711" s="2"/>
      <c r="O711" s="2" t="s">
        <v>3800</v>
      </c>
      <c r="P711" s="2" t="s">
        <v>3801</v>
      </c>
      <c r="Q711" s="6" t="s">
        <v>256</v>
      </c>
      <c r="R711" s="6" t="s">
        <v>85</v>
      </c>
      <c r="S711" s="9" t="s">
        <v>1881</v>
      </c>
      <c r="T711" s="6"/>
      <c r="U711" s="6"/>
      <c r="V711" s="10"/>
      <c r="W711" s="10" t="s">
        <v>88</v>
      </c>
      <c r="X711" s="10"/>
      <c r="Y711" s="10"/>
    </row>
    <row r="712" customFormat="false" ht="23.85" hidden="false" customHeight="false" outlineLevel="0" collapsed="false">
      <c r="A712" s="6" t="n">
        <v>711</v>
      </c>
      <c r="B712" s="7" t="s">
        <v>3802</v>
      </c>
      <c r="C712" s="6" t="str">
        <f aca="false">IF(U712&lt;&gt;"","Client",IF(D712&gt;=9,"A",IF(D712&gt;=7,"B","C")))</f>
        <v>C</v>
      </c>
      <c r="D712" s="6" t="n">
        <f aca="false">E712+F712+G712</f>
        <v>3</v>
      </c>
      <c r="E712" s="6" t="n">
        <v>3</v>
      </c>
      <c r="F712" s="6" t="n">
        <v>0</v>
      </c>
      <c r="G712" s="8" t="n">
        <v>0</v>
      </c>
      <c r="H712" s="6" t="s">
        <v>182</v>
      </c>
      <c r="I712" s="6" t="s">
        <v>1445</v>
      </c>
      <c r="J712" s="2" t="s">
        <v>3803</v>
      </c>
      <c r="K712" s="2" t="s">
        <v>2092</v>
      </c>
      <c r="L712" s="2" t="s">
        <v>127</v>
      </c>
      <c r="M712" s="2"/>
      <c r="N712" s="2"/>
      <c r="O712" s="2"/>
      <c r="P712" s="2" t="s">
        <v>3804</v>
      </c>
      <c r="Q712" s="6" t="s">
        <v>504</v>
      </c>
      <c r="R712" s="6" t="s">
        <v>98</v>
      </c>
      <c r="S712" s="9" t="s">
        <v>1679</v>
      </c>
      <c r="T712" s="6"/>
      <c r="U712" s="6"/>
      <c r="V712" s="10"/>
      <c r="W712" s="10" t="s">
        <v>88</v>
      </c>
      <c r="X712" s="10"/>
      <c r="Y712" s="10"/>
    </row>
    <row r="713" customFormat="false" ht="15" hidden="false" customHeight="false" outlineLevel="0" collapsed="false">
      <c r="A713" s="6" t="n">
        <v>712</v>
      </c>
      <c r="B713" s="7" t="s">
        <v>3805</v>
      </c>
      <c r="C713" s="6" t="str">
        <f aca="false">IF(U713&lt;&gt;"","Client",IF(D713&gt;=9,"A",IF(D713&gt;=7,"B","C")))</f>
        <v>C</v>
      </c>
      <c r="D713" s="6" t="n">
        <f aca="false">E713+F713+G713</f>
        <v>2</v>
      </c>
      <c r="E713" s="6" t="n">
        <v>0</v>
      </c>
      <c r="F713" s="6" t="n">
        <v>2</v>
      </c>
      <c r="G713" s="8" t="n">
        <v>0</v>
      </c>
      <c r="H713" s="6" t="s">
        <v>2284</v>
      </c>
      <c r="I713" s="6" t="s">
        <v>287</v>
      </c>
      <c r="J713" s="2" t="s">
        <v>3805</v>
      </c>
      <c r="K713" s="2" t="s">
        <v>3806</v>
      </c>
      <c r="L713" s="2" t="s">
        <v>102</v>
      </c>
      <c r="M713" s="2"/>
      <c r="N713" s="2"/>
      <c r="O713" s="2" t="s">
        <v>3807</v>
      </c>
      <c r="P713" s="2" t="s">
        <v>3808</v>
      </c>
      <c r="Q713" s="6" t="s">
        <v>834</v>
      </c>
      <c r="R713" s="6" t="s">
        <v>106</v>
      </c>
      <c r="S713" s="9" t="s">
        <v>3809</v>
      </c>
      <c r="T713" s="6"/>
      <c r="U713" s="6"/>
      <c r="V713" s="10"/>
      <c r="W713" s="10" t="s">
        <v>88</v>
      </c>
      <c r="X713" s="10"/>
      <c r="Y713" s="10"/>
    </row>
    <row r="714" customFormat="false" ht="23.85" hidden="false" customHeight="false" outlineLevel="0" collapsed="false">
      <c r="A714" s="6" t="n">
        <v>713</v>
      </c>
      <c r="B714" s="7" t="s">
        <v>3810</v>
      </c>
      <c r="C714" s="6" t="str">
        <f aca="false">IF(U714&lt;&gt;"","Client",IF(D714&gt;=9,"A",IF(D714&gt;=7,"B","C")))</f>
        <v>C</v>
      </c>
      <c r="D714" s="6" t="n">
        <f aca="false">E714+F714+G714</f>
        <v>2</v>
      </c>
      <c r="E714" s="6" t="n">
        <v>0</v>
      </c>
      <c r="F714" s="6" t="n">
        <v>2</v>
      </c>
      <c r="G714" s="8" t="n">
        <v>0</v>
      </c>
      <c r="H714" s="6" t="s">
        <v>2284</v>
      </c>
      <c r="I714" s="6" t="s">
        <v>287</v>
      </c>
      <c r="J714" s="2" t="s">
        <v>3811</v>
      </c>
      <c r="K714" s="2" t="s">
        <v>3812</v>
      </c>
      <c r="L714" s="2" t="s">
        <v>1175</v>
      </c>
      <c r="M714" s="2"/>
      <c r="N714" s="2"/>
      <c r="O714" s="2"/>
      <c r="P714" s="2" t="s">
        <v>3813</v>
      </c>
      <c r="Q714" s="6" t="s">
        <v>1943</v>
      </c>
      <c r="R714" s="6" t="s">
        <v>85</v>
      </c>
      <c r="S714" s="9" t="s">
        <v>3814</v>
      </c>
      <c r="T714" s="6"/>
      <c r="U714" s="6"/>
      <c r="V714" s="10"/>
      <c r="W714" s="10" t="s">
        <v>88</v>
      </c>
      <c r="X714" s="10"/>
      <c r="Y714" s="10"/>
    </row>
    <row r="715" customFormat="false" ht="35.05" hidden="false" customHeight="false" outlineLevel="0" collapsed="false">
      <c r="A715" s="6" t="n">
        <v>714</v>
      </c>
      <c r="B715" s="7" t="s">
        <v>3815</v>
      </c>
      <c r="C715" s="6" t="str">
        <f aca="false">IF(U715&lt;&gt;"","Client",IF(D715&gt;=9,"A",IF(D715&gt;=7,"B","C")))</f>
        <v>C</v>
      </c>
      <c r="D715" s="6" t="n">
        <f aca="false">E715+F715+G715</f>
        <v>2</v>
      </c>
      <c r="E715" s="6" t="n">
        <v>1</v>
      </c>
      <c r="F715" s="6" t="n">
        <v>0</v>
      </c>
      <c r="G715" s="8" t="n">
        <v>1</v>
      </c>
      <c r="H715" s="6" t="s">
        <v>3000</v>
      </c>
      <c r="I715" s="6" t="s">
        <v>1445</v>
      </c>
      <c r="J715" s="2" t="s">
        <v>2774</v>
      </c>
      <c r="K715" s="2" t="s">
        <v>3816</v>
      </c>
      <c r="L715" s="2" t="s">
        <v>3817</v>
      </c>
      <c r="M715" s="2"/>
      <c r="N715" s="2" t="s">
        <v>1275</v>
      </c>
      <c r="O715" s="2" t="s">
        <v>3818</v>
      </c>
      <c r="P715" s="2" t="s">
        <v>3819</v>
      </c>
      <c r="Q715" s="6" t="s">
        <v>160</v>
      </c>
      <c r="R715" s="6" t="s">
        <v>85</v>
      </c>
      <c r="S715" s="9" t="s">
        <v>3820</v>
      </c>
      <c r="T715" s="9" t="s">
        <v>3821</v>
      </c>
      <c r="U715" s="6"/>
      <c r="V715" s="10"/>
      <c r="W715" s="10" t="s">
        <v>88</v>
      </c>
      <c r="X715" s="10"/>
      <c r="Y715" s="10"/>
    </row>
    <row r="716" customFormat="false" ht="35.05" hidden="false" customHeight="false" outlineLevel="0" collapsed="false">
      <c r="A716" s="6" t="n">
        <v>715</v>
      </c>
      <c r="B716" s="7" t="s">
        <v>3822</v>
      </c>
      <c r="C716" s="6" t="str">
        <f aca="false">IF(U716&lt;&gt;"","Client",IF(D716&gt;=9,"A",IF(D716&gt;=7,"B","C")))</f>
        <v>C</v>
      </c>
      <c r="D716" s="6" t="n">
        <f aca="false">E716+F716+G716</f>
        <v>2</v>
      </c>
      <c r="E716" s="6" t="n">
        <v>1</v>
      </c>
      <c r="F716" s="6" t="n">
        <v>0</v>
      </c>
      <c r="G716" s="8" t="n">
        <v>1</v>
      </c>
      <c r="H716" s="6" t="s">
        <v>1598</v>
      </c>
      <c r="I716" s="6" t="s">
        <v>1445</v>
      </c>
      <c r="J716" s="2" t="s">
        <v>3823</v>
      </c>
      <c r="K716" s="2" t="s">
        <v>3824</v>
      </c>
      <c r="L716" s="2" t="s">
        <v>112</v>
      </c>
      <c r="M716" s="2"/>
      <c r="N716" s="2" t="s">
        <v>1275</v>
      </c>
      <c r="O716" s="2" t="s">
        <v>3825</v>
      </c>
      <c r="P716" s="2" t="s">
        <v>3826</v>
      </c>
      <c r="Q716" s="6" t="s">
        <v>256</v>
      </c>
      <c r="R716" s="6" t="s">
        <v>85</v>
      </c>
      <c r="S716" s="9" t="s">
        <v>3827</v>
      </c>
      <c r="T716" s="9" t="s">
        <v>1881</v>
      </c>
      <c r="U716" s="6"/>
      <c r="V716" s="10"/>
      <c r="W716" s="10" t="s">
        <v>88</v>
      </c>
      <c r="X716" s="10"/>
      <c r="Y716" s="10"/>
    </row>
    <row r="717" customFormat="false" ht="15" hidden="false" customHeight="false" outlineLevel="0" collapsed="false">
      <c r="A717" s="6" t="n">
        <v>716</v>
      </c>
      <c r="B717" s="7" t="s">
        <v>3828</v>
      </c>
      <c r="C717" s="6" t="str">
        <f aca="false">IF(U717&lt;&gt;"","Client",IF(D717&gt;=9,"A",IF(D717&gt;=7,"B","C")))</f>
        <v>C</v>
      </c>
      <c r="D717" s="6" t="n">
        <f aca="false">E717+F717+G717</f>
        <v>2</v>
      </c>
      <c r="E717" s="6" t="n">
        <v>1</v>
      </c>
      <c r="F717" s="6" t="n">
        <v>0</v>
      </c>
      <c r="G717" s="8" t="n">
        <v>1</v>
      </c>
      <c r="H717" s="6" t="s">
        <v>1598</v>
      </c>
      <c r="I717" s="6" t="s">
        <v>1445</v>
      </c>
      <c r="J717" s="2" t="s">
        <v>3823</v>
      </c>
      <c r="K717" s="2" t="s">
        <v>1229</v>
      </c>
      <c r="L717" s="2" t="s">
        <v>102</v>
      </c>
      <c r="M717" s="2"/>
      <c r="N717" s="2" t="s">
        <v>1275</v>
      </c>
      <c r="O717" s="2" t="s">
        <v>3829</v>
      </c>
      <c r="P717" s="2" t="s">
        <v>3830</v>
      </c>
      <c r="Q717" s="6" t="s">
        <v>440</v>
      </c>
      <c r="R717" s="6" t="s">
        <v>106</v>
      </c>
      <c r="S717" s="9" t="s">
        <v>3831</v>
      </c>
      <c r="T717" s="6"/>
      <c r="U717" s="6"/>
      <c r="V717" s="10"/>
      <c r="W717" s="10" t="s">
        <v>88</v>
      </c>
      <c r="X717" s="10"/>
      <c r="Y717" s="10"/>
    </row>
    <row r="718" customFormat="false" ht="23.85" hidden="false" customHeight="false" outlineLevel="0" collapsed="false">
      <c r="A718" s="6" t="n">
        <v>717</v>
      </c>
      <c r="B718" s="7" t="s">
        <v>3832</v>
      </c>
      <c r="C718" s="6" t="str">
        <f aca="false">IF(U718&lt;&gt;"","Client",IF(D718&gt;=9,"A",IF(D718&gt;=7,"B","C")))</f>
        <v>C</v>
      </c>
      <c r="D718" s="6" t="n">
        <f aca="false">E718+F718+G718</f>
        <v>2</v>
      </c>
      <c r="E718" s="6" t="n">
        <v>1</v>
      </c>
      <c r="F718" s="6" t="n">
        <v>0</v>
      </c>
      <c r="G718" s="8" t="n">
        <v>1</v>
      </c>
      <c r="H718" s="6" t="s">
        <v>1598</v>
      </c>
      <c r="I718" s="6" t="s">
        <v>1445</v>
      </c>
      <c r="J718" s="2" t="s">
        <v>3832</v>
      </c>
      <c r="K718" s="2" t="s">
        <v>3833</v>
      </c>
      <c r="L718" s="2" t="s">
        <v>290</v>
      </c>
      <c r="M718" s="2"/>
      <c r="N718" s="2" t="s">
        <v>1275</v>
      </c>
      <c r="O718" s="2" t="s">
        <v>3834</v>
      </c>
      <c r="P718" s="2" t="s">
        <v>3835</v>
      </c>
      <c r="Q718" s="6" t="s">
        <v>256</v>
      </c>
      <c r="R718" s="6" t="s">
        <v>85</v>
      </c>
      <c r="S718" s="9" t="s">
        <v>3836</v>
      </c>
      <c r="T718" s="9" t="s">
        <v>672</v>
      </c>
      <c r="U718" s="6"/>
      <c r="V718" s="10"/>
      <c r="W718" s="10" t="s">
        <v>88</v>
      </c>
      <c r="X718" s="10"/>
      <c r="Y718" s="10"/>
    </row>
    <row r="719" customFormat="false" ht="15" hidden="false" customHeight="false" outlineLevel="0" collapsed="false">
      <c r="A719" s="6" t="n">
        <v>718</v>
      </c>
      <c r="B719" s="7" t="s">
        <v>3837</v>
      </c>
      <c r="C719" s="6" t="str">
        <f aca="false">IF(U719&lt;&gt;"","Client",IF(D719&gt;=9,"A",IF(D719&gt;=7,"B","C")))</f>
        <v>C</v>
      </c>
      <c r="D719" s="6" t="n">
        <f aca="false">E719+F719+G719</f>
        <v>2</v>
      </c>
      <c r="E719" s="6" t="n">
        <v>1</v>
      </c>
      <c r="F719" s="6" t="n">
        <v>0</v>
      </c>
      <c r="G719" s="8" t="n">
        <v>1</v>
      </c>
      <c r="H719" s="6" t="s">
        <v>1598</v>
      </c>
      <c r="I719" s="6" t="s">
        <v>1445</v>
      </c>
      <c r="J719" s="2" t="s">
        <v>3838</v>
      </c>
      <c r="K719" s="2" t="s">
        <v>2399</v>
      </c>
      <c r="L719" s="2" t="s">
        <v>127</v>
      </c>
      <c r="M719" s="2"/>
      <c r="N719" s="2" t="s">
        <v>1275</v>
      </c>
      <c r="O719" s="2" t="s">
        <v>3839</v>
      </c>
      <c r="P719" s="2" t="s">
        <v>3840</v>
      </c>
      <c r="Q719" s="6" t="s">
        <v>97</v>
      </c>
      <c r="R719" s="6" t="s">
        <v>85</v>
      </c>
      <c r="S719" s="9" t="s">
        <v>3841</v>
      </c>
      <c r="T719" s="9" t="s">
        <v>2402</v>
      </c>
      <c r="U719" s="6"/>
      <c r="V719" s="10"/>
      <c r="W719" s="10" t="s">
        <v>88</v>
      </c>
      <c r="X719" s="10"/>
      <c r="Y719" s="10"/>
    </row>
    <row r="720" customFormat="false" ht="15" hidden="false" customHeight="false" outlineLevel="0" collapsed="false">
      <c r="A720" s="6" t="n">
        <v>719</v>
      </c>
      <c r="B720" s="7" t="s">
        <v>3842</v>
      </c>
      <c r="C720" s="6" t="str">
        <f aca="false">IF(U720&lt;&gt;"","Client",IF(D720&gt;=9,"A",IF(D720&gt;=7,"B","C")))</f>
        <v>C</v>
      </c>
      <c r="D720" s="6" t="n">
        <f aca="false">E720+F720+G720</f>
        <v>2</v>
      </c>
      <c r="E720" s="6" t="n">
        <v>1</v>
      </c>
      <c r="F720" s="6" t="n">
        <v>0</v>
      </c>
      <c r="G720" s="8" t="n">
        <v>1</v>
      </c>
      <c r="H720" s="6" t="s">
        <v>1598</v>
      </c>
      <c r="I720" s="6" t="s">
        <v>1445</v>
      </c>
      <c r="J720" s="2" t="s">
        <v>3843</v>
      </c>
      <c r="K720" s="2" t="s">
        <v>3844</v>
      </c>
      <c r="L720" s="2" t="s">
        <v>127</v>
      </c>
      <c r="M720" s="2"/>
      <c r="N720" s="2" t="s">
        <v>1275</v>
      </c>
      <c r="O720" s="2" t="s">
        <v>3845</v>
      </c>
      <c r="P720" s="2" t="s">
        <v>3846</v>
      </c>
      <c r="Q720" s="6" t="s">
        <v>1431</v>
      </c>
      <c r="R720" s="6" t="s">
        <v>106</v>
      </c>
      <c r="S720" s="9" t="s">
        <v>3847</v>
      </c>
      <c r="T720" s="6"/>
      <c r="U720" s="6"/>
      <c r="V720" s="10"/>
      <c r="W720" s="10" t="s">
        <v>88</v>
      </c>
      <c r="X720" s="10"/>
      <c r="Y720" s="10"/>
    </row>
    <row r="721" customFormat="false" ht="15" hidden="false" customHeight="false" outlineLevel="0" collapsed="false">
      <c r="A721" s="6" t="n">
        <v>720</v>
      </c>
      <c r="B721" s="7" t="s">
        <v>3848</v>
      </c>
      <c r="C721" s="6" t="str">
        <f aca="false">IF(U721&lt;&gt;"","Client",IF(D721&gt;=9,"A",IF(D721&gt;=7,"B","C")))</f>
        <v>C</v>
      </c>
      <c r="D721" s="6" t="n">
        <f aca="false">E721+F721+G721</f>
        <v>2</v>
      </c>
      <c r="E721" s="6" t="n">
        <v>1</v>
      </c>
      <c r="F721" s="6" t="n">
        <v>0</v>
      </c>
      <c r="G721" s="8" t="n">
        <v>1</v>
      </c>
      <c r="H721" s="6" t="s">
        <v>1583</v>
      </c>
      <c r="I721" s="6" t="s">
        <v>1445</v>
      </c>
      <c r="J721" s="2" t="s">
        <v>3849</v>
      </c>
      <c r="K721" s="2" t="s">
        <v>3850</v>
      </c>
      <c r="L721" s="2" t="s">
        <v>127</v>
      </c>
      <c r="M721" s="2"/>
      <c r="N721" s="2" t="s">
        <v>1275</v>
      </c>
      <c r="O721" s="2" t="s">
        <v>3851</v>
      </c>
      <c r="P721" s="2" t="s">
        <v>3852</v>
      </c>
      <c r="Q721" s="6" t="s">
        <v>517</v>
      </c>
      <c r="R721" s="6" t="s">
        <v>85</v>
      </c>
      <c r="S721" s="9" t="s">
        <v>3853</v>
      </c>
      <c r="T721" s="6"/>
      <c r="U721" s="6"/>
      <c r="V721" s="10"/>
      <c r="W721" s="10" t="s">
        <v>88</v>
      </c>
      <c r="X721" s="10"/>
      <c r="Y721" s="10"/>
    </row>
    <row r="722" customFormat="false" ht="15" hidden="false" customHeight="false" outlineLevel="0" collapsed="false">
      <c r="A722" s="6" t="n">
        <v>721</v>
      </c>
      <c r="B722" s="7" t="s">
        <v>3854</v>
      </c>
      <c r="C722" s="6" t="str">
        <f aca="false">IF(U722&lt;&gt;"","Client",IF(D722&gt;=9,"A",IF(D722&gt;=7,"B","C")))</f>
        <v>C</v>
      </c>
      <c r="D722" s="6" t="n">
        <f aca="false">E722+F722+G722</f>
        <v>2</v>
      </c>
      <c r="E722" s="6" t="n">
        <v>1</v>
      </c>
      <c r="F722" s="6" t="n">
        <v>0</v>
      </c>
      <c r="G722" s="8" t="n">
        <v>1</v>
      </c>
      <c r="H722" s="6" t="s">
        <v>1598</v>
      </c>
      <c r="I722" s="6" t="s">
        <v>1445</v>
      </c>
      <c r="J722" s="2" t="s">
        <v>3843</v>
      </c>
      <c r="K722" s="2" t="s">
        <v>3855</v>
      </c>
      <c r="L722" s="2" t="s">
        <v>374</v>
      </c>
      <c r="M722" s="2"/>
      <c r="N722" s="2" t="s">
        <v>1275</v>
      </c>
      <c r="O722" s="2" t="s">
        <v>3856</v>
      </c>
      <c r="P722" s="2" t="s">
        <v>3857</v>
      </c>
      <c r="Q722" s="6" t="s">
        <v>332</v>
      </c>
      <c r="R722" s="6" t="s">
        <v>85</v>
      </c>
      <c r="S722" s="9" t="s">
        <v>3858</v>
      </c>
      <c r="T722" s="6"/>
      <c r="U722" s="6"/>
      <c r="V722" s="10"/>
      <c r="W722" s="10" t="s">
        <v>88</v>
      </c>
      <c r="X722" s="10"/>
      <c r="Y722" s="10"/>
    </row>
    <row r="723" customFormat="false" ht="23.85" hidden="false" customHeight="false" outlineLevel="0" collapsed="false">
      <c r="A723" s="6" t="n">
        <v>722</v>
      </c>
      <c r="B723" s="7" t="s">
        <v>3859</v>
      </c>
      <c r="C723" s="6" t="str">
        <f aca="false">IF(U723&lt;&gt;"","Client",IF(D723&gt;=9,"A",IF(D723&gt;=7,"B","C")))</f>
        <v>C</v>
      </c>
      <c r="D723" s="6" t="n">
        <f aca="false">E723+F723+G723</f>
        <v>2</v>
      </c>
      <c r="E723" s="6" t="n">
        <v>1</v>
      </c>
      <c r="F723" s="6" t="n">
        <v>0</v>
      </c>
      <c r="G723" s="8" t="n">
        <v>1</v>
      </c>
      <c r="H723" s="6" t="s">
        <v>1598</v>
      </c>
      <c r="I723" s="6" t="s">
        <v>1445</v>
      </c>
      <c r="J723" s="2" t="s">
        <v>2780</v>
      </c>
      <c r="K723" s="2" t="s">
        <v>3390</v>
      </c>
      <c r="L723" s="2" t="s">
        <v>102</v>
      </c>
      <c r="M723" s="2"/>
      <c r="N723" s="2" t="s">
        <v>1275</v>
      </c>
      <c r="O723" s="2" t="s">
        <v>3860</v>
      </c>
      <c r="P723" s="2" t="s">
        <v>3861</v>
      </c>
      <c r="Q723" s="6" t="s">
        <v>2856</v>
      </c>
      <c r="R723" s="6" t="s">
        <v>106</v>
      </c>
      <c r="S723" s="9" t="s">
        <v>3862</v>
      </c>
      <c r="T723" s="6"/>
      <c r="U723" s="6"/>
      <c r="V723" s="10"/>
      <c r="W723" s="10" t="s">
        <v>88</v>
      </c>
      <c r="X723" s="10"/>
      <c r="Y723" s="10"/>
    </row>
    <row r="724" customFormat="false" ht="15" hidden="false" customHeight="false" outlineLevel="0" collapsed="false">
      <c r="A724" s="6" t="n">
        <v>723</v>
      </c>
      <c r="B724" s="7" t="s">
        <v>3863</v>
      </c>
      <c r="C724" s="6" t="str">
        <f aca="false">IF(U724&lt;&gt;"","Client",IF(D724&gt;=9,"A",IF(D724&gt;=7,"B","C")))</f>
        <v>C</v>
      </c>
      <c r="D724" s="6" t="n">
        <f aca="false">E724+F724+G724</f>
        <v>2</v>
      </c>
      <c r="E724" s="6" t="n">
        <v>1</v>
      </c>
      <c r="F724" s="6" t="n">
        <v>0</v>
      </c>
      <c r="G724" s="8" t="n">
        <v>1</v>
      </c>
      <c r="H724" s="6" t="s">
        <v>1598</v>
      </c>
      <c r="I724" s="6" t="s">
        <v>1445</v>
      </c>
      <c r="J724" s="2" t="s">
        <v>3864</v>
      </c>
      <c r="K724" s="2" t="s">
        <v>3865</v>
      </c>
      <c r="L724" s="2" t="s">
        <v>127</v>
      </c>
      <c r="M724" s="2"/>
      <c r="N724" s="2" t="s">
        <v>1275</v>
      </c>
      <c r="O724" s="2" t="s">
        <v>3866</v>
      </c>
      <c r="P724" s="2" t="s">
        <v>3867</v>
      </c>
      <c r="Q724" s="6" t="s">
        <v>123</v>
      </c>
      <c r="R724" s="6" t="s">
        <v>85</v>
      </c>
      <c r="S724" s="9" t="s">
        <v>3353</v>
      </c>
      <c r="T724" s="6"/>
      <c r="U724" s="6"/>
      <c r="V724" s="10"/>
      <c r="W724" s="10" t="s">
        <v>88</v>
      </c>
      <c r="X724" s="10"/>
      <c r="Y724" s="10"/>
    </row>
    <row r="725" customFormat="false" ht="15" hidden="false" customHeight="false" outlineLevel="0" collapsed="false">
      <c r="A725" s="6" t="n">
        <v>724</v>
      </c>
      <c r="B725" s="7" t="s">
        <v>3868</v>
      </c>
      <c r="C725" s="6" t="str">
        <f aca="false">IF(U725&lt;&gt;"","Client",IF(D725&gt;=9,"A",IF(D725&gt;=7,"B","C")))</f>
        <v>C</v>
      </c>
      <c r="D725" s="6" t="n">
        <f aca="false">E725+F725+G725</f>
        <v>2</v>
      </c>
      <c r="E725" s="6" t="n">
        <v>1</v>
      </c>
      <c r="F725" s="6" t="n">
        <v>0</v>
      </c>
      <c r="G725" s="8" t="n">
        <v>1</v>
      </c>
      <c r="H725" s="6" t="s">
        <v>1598</v>
      </c>
      <c r="I725" s="6" t="s">
        <v>1445</v>
      </c>
      <c r="J725" s="2" t="s">
        <v>708</v>
      </c>
      <c r="K725" s="2" t="s">
        <v>724</v>
      </c>
      <c r="L725" s="2" t="s">
        <v>102</v>
      </c>
      <c r="M725" s="2"/>
      <c r="N725" s="2" t="s">
        <v>530</v>
      </c>
      <c r="O725" s="2" t="s">
        <v>3111</v>
      </c>
      <c r="P725" s="2" t="s">
        <v>3869</v>
      </c>
      <c r="Q725" s="6" t="s">
        <v>389</v>
      </c>
      <c r="R725" s="6" t="s">
        <v>106</v>
      </c>
      <c r="S725" s="9" t="s">
        <v>1622</v>
      </c>
      <c r="T725" s="6"/>
      <c r="U725" s="6"/>
      <c r="V725" s="10"/>
      <c r="W725" s="10" t="s">
        <v>88</v>
      </c>
      <c r="X725" s="10"/>
      <c r="Y725" s="10"/>
    </row>
    <row r="726" customFormat="false" ht="23.85" hidden="false" customHeight="false" outlineLevel="0" collapsed="false">
      <c r="A726" s="6" t="n">
        <v>725</v>
      </c>
      <c r="B726" s="7" t="s">
        <v>3870</v>
      </c>
      <c r="C726" s="6" t="str">
        <f aca="false">IF(U726&lt;&gt;"","Client",IF(D726&gt;=9,"A",IF(D726&gt;=7,"B","C")))</f>
        <v>C</v>
      </c>
      <c r="D726" s="6" t="n">
        <f aca="false">E726+F726+G726</f>
        <v>2</v>
      </c>
      <c r="E726" s="6" t="n">
        <v>2</v>
      </c>
      <c r="F726" s="6" t="n">
        <v>0</v>
      </c>
      <c r="G726" s="8" t="n">
        <v>0</v>
      </c>
      <c r="H726" s="6" t="s">
        <v>507</v>
      </c>
      <c r="I726" s="6" t="s">
        <v>1445</v>
      </c>
      <c r="J726" s="2" t="s">
        <v>3871</v>
      </c>
      <c r="K726" s="2" t="s">
        <v>3872</v>
      </c>
      <c r="L726" s="2" t="s">
        <v>127</v>
      </c>
      <c r="M726" s="2"/>
      <c r="N726" s="2" t="s">
        <v>1533</v>
      </c>
      <c r="O726" s="2"/>
      <c r="P726" s="2" t="s">
        <v>3873</v>
      </c>
      <c r="Q726" s="6" t="s">
        <v>130</v>
      </c>
      <c r="R726" s="6" t="s">
        <v>85</v>
      </c>
      <c r="S726" s="9" t="s">
        <v>3874</v>
      </c>
      <c r="T726" s="6"/>
      <c r="U726" s="6"/>
      <c r="V726" s="10"/>
      <c r="W726" s="10" t="s">
        <v>88</v>
      </c>
      <c r="X726" s="10"/>
      <c r="Y726" s="10"/>
    </row>
    <row r="727" customFormat="false" ht="35.05" hidden="false" customHeight="false" outlineLevel="0" collapsed="false">
      <c r="A727" s="6" t="n">
        <v>726</v>
      </c>
      <c r="B727" s="7" t="s">
        <v>3875</v>
      </c>
      <c r="C727" s="6" t="str">
        <f aca="false">IF(U727&lt;&gt;"","Client",IF(D727&gt;=9,"A",IF(D727&gt;=7,"B","C")))</f>
        <v>C</v>
      </c>
      <c r="D727" s="6" t="n">
        <f aca="false">E727+F727+G727</f>
        <v>2</v>
      </c>
      <c r="E727" s="6" t="n">
        <v>2</v>
      </c>
      <c r="F727" s="6" t="n">
        <v>0</v>
      </c>
      <c r="G727" s="8" t="n">
        <v>0</v>
      </c>
      <c r="H727" s="6" t="s">
        <v>507</v>
      </c>
      <c r="I727" s="6" t="s">
        <v>1445</v>
      </c>
      <c r="J727" s="2" t="s">
        <v>3876</v>
      </c>
      <c r="K727" s="2" t="s">
        <v>3877</v>
      </c>
      <c r="L727" s="2" t="s">
        <v>1093</v>
      </c>
      <c r="M727" s="2"/>
      <c r="N727" s="2" t="s">
        <v>990</v>
      </c>
      <c r="O727" s="2" t="s">
        <v>3878</v>
      </c>
      <c r="P727" s="2" t="s">
        <v>3879</v>
      </c>
      <c r="Q727" s="6" t="s">
        <v>130</v>
      </c>
      <c r="R727" s="6" t="s">
        <v>85</v>
      </c>
      <c r="S727" s="9" t="s">
        <v>3880</v>
      </c>
      <c r="T727" s="9" t="s">
        <v>3881</v>
      </c>
      <c r="U727" s="6"/>
      <c r="V727" s="10"/>
      <c r="W727" s="10" t="s">
        <v>88</v>
      </c>
      <c r="X727" s="10"/>
      <c r="Y727" s="10"/>
    </row>
    <row r="728" customFormat="false" ht="35.05" hidden="false" customHeight="false" outlineLevel="0" collapsed="false">
      <c r="A728" s="6" t="n">
        <v>727</v>
      </c>
      <c r="B728" s="7" t="s">
        <v>3882</v>
      </c>
      <c r="C728" s="6" t="str">
        <f aca="false">IF(U728&lt;&gt;"","Client",IF(D728&gt;=9,"A",IF(D728&gt;=7,"B","C")))</f>
        <v>C</v>
      </c>
      <c r="D728" s="6" t="n">
        <f aca="false">E728+F728+G728</f>
        <v>2</v>
      </c>
      <c r="E728" s="6" t="n">
        <v>2</v>
      </c>
      <c r="F728" s="6" t="n">
        <v>0</v>
      </c>
      <c r="G728" s="8" t="n">
        <v>0</v>
      </c>
      <c r="H728" s="6" t="s">
        <v>507</v>
      </c>
      <c r="I728" s="6" t="s">
        <v>1445</v>
      </c>
      <c r="J728" s="2" t="s">
        <v>3882</v>
      </c>
      <c r="K728" s="2" t="s">
        <v>3883</v>
      </c>
      <c r="L728" s="2" t="s">
        <v>3884</v>
      </c>
      <c r="M728" s="2" t="s">
        <v>724</v>
      </c>
      <c r="N728" s="2" t="s">
        <v>1483</v>
      </c>
      <c r="O728" s="2" t="s">
        <v>3885</v>
      </c>
      <c r="P728" s="2" t="s">
        <v>3886</v>
      </c>
      <c r="Q728" s="6" t="s">
        <v>256</v>
      </c>
      <c r="R728" s="6" t="s">
        <v>85</v>
      </c>
      <c r="S728" s="9" t="s">
        <v>3887</v>
      </c>
      <c r="T728" s="9" t="s">
        <v>3888</v>
      </c>
      <c r="U728" s="6"/>
      <c r="V728" s="10"/>
      <c r="W728" s="10" t="s">
        <v>88</v>
      </c>
      <c r="X728" s="10"/>
      <c r="Y728" s="10"/>
    </row>
    <row r="729" customFormat="false" ht="23.85" hidden="false" customHeight="false" outlineLevel="0" collapsed="false">
      <c r="A729" s="6" t="n">
        <v>728</v>
      </c>
      <c r="B729" s="7" t="s">
        <v>3889</v>
      </c>
      <c r="C729" s="6" t="str">
        <f aca="false">IF(U729&lt;&gt;"","Client",IF(D729&gt;=9,"A",IF(D729&gt;=7,"B","C")))</f>
        <v>C</v>
      </c>
      <c r="D729" s="6" t="n">
        <f aca="false">E729+F729+G729</f>
        <v>2</v>
      </c>
      <c r="E729" s="6" t="n">
        <v>2</v>
      </c>
      <c r="F729" s="6" t="n">
        <v>0</v>
      </c>
      <c r="G729" s="8" t="n">
        <v>0</v>
      </c>
      <c r="H729" s="6" t="s">
        <v>1127</v>
      </c>
      <c r="I729" s="6" t="s">
        <v>1445</v>
      </c>
      <c r="J729" s="2" t="s">
        <v>3890</v>
      </c>
      <c r="K729" s="2" t="s">
        <v>3891</v>
      </c>
      <c r="L729" s="2" t="s">
        <v>127</v>
      </c>
      <c r="M729" s="2"/>
      <c r="N729" s="2" t="s">
        <v>1533</v>
      </c>
      <c r="O729" s="2"/>
      <c r="P729" s="2" t="s">
        <v>3892</v>
      </c>
      <c r="Q729" s="6" t="s">
        <v>281</v>
      </c>
      <c r="R729" s="6" t="s">
        <v>85</v>
      </c>
      <c r="S729" s="9" t="s">
        <v>3893</v>
      </c>
      <c r="T729" s="6"/>
      <c r="U729" s="6"/>
      <c r="V729" s="10"/>
      <c r="W729" s="10" t="s">
        <v>88</v>
      </c>
      <c r="X729" s="10"/>
      <c r="Y729" s="10"/>
    </row>
    <row r="730" customFormat="false" ht="23.85" hidden="false" customHeight="false" outlineLevel="0" collapsed="false">
      <c r="A730" s="6" t="n">
        <v>729</v>
      </c>
      <c r="B730" s="7" t="s">
        <v>3894</v>
      </c>
      <c r="C730" s="6" t="str">
        <f aca="false">IF(U730&lt;&gt;"","Client",IF(D730&gt;=9,"A",IF(D730&gt;=7,"B","C")))</f>
        <v>C</v>
      </c>
      <c r="D730" s="6" t="n">
        <f aca="false">E730+F730+G730</f>
        <v>2</v>
      </c>
      <c r="E730" s="6" t="n">
        <v>2</v>
      </c>
      <c r="F730" s="6" t="n">
        <v>0</v>
      </c>
      <c r="G730" s="8" t="n">
        <v>0</v>
      </c>
      <c r="H730" s="6" t="s">
        <v>1127</v>
      </c>
      <c r="I730" s="6" t="s">
        <v>1445</v>
      </c>
      <c r="J730" s="2" t="s">
        <v>3895</v>
      </c>
      <c r="K730" s="2" t="s">
        <v>3896</v>
      </c>
      <c r="L730" s="2" t="s">
        <v>3897</v>
      </c>
      <c r="M730" s="2"/>
      <c r="N730" s="2" t="s">
        <v>1526</v>
      </c>
      <c r="O730" s="2" t="s">
        <v>3898</v>
      </c>
      <c r="P730" s="2" t="s">
        <v>3899</v>
      </c>
      <c r="Q730" s="6" t="s">
        <v>178</v>
      </c>
      <c r="R730" s="6" t="s">
        <v>85</v>
      </c>
      <c r="S730" s="9" t="s">
        <v>3900</v>
      </c>
      <c r="T730" s="9" t="s">
        <v>3901</v>
      </c>
      <c r="U730" s="6"/>
      <c r="V730" s="10"/>
      <c r="W730" s="10" t="s">
        <v>88</v>
      </c>
      <c r="X730" s="10"/>
      <c r="Y730" s="10"/>
    </row>
    <row r="731" customFormat="false" ht="23.85" hidden="false" customHeight="false" outlineLevel="0" collapsed="false">
      <c r="A731" s="6" t="n">
        <v>730</v>
      </c>
      <c r="B731" s="7" t="s">
        <v>3902</v>
      </c>
      <c r="C731" s="6" t="str">
        <f aca="false">IF(U731&lt;&gt;"","Client",IF(D731&gt;=9,"A",IF(D731&gt;=7,"B","C")))</f>
        <v>C</v>
      </c>
      <c r="D731" s="6" t="n">
        <f aca="false">E731+F731+G731</f>
        <v>2</v>
      </c>
      <c r="E731" s="6" t="n">
        <v>2</v>
      </c>
      <c r="F731" s="6" t="n">
        <v>0</v>
      </c>
      <c r="G731" s="8" t="n">
        <v>0</v>
      </c>
      <c r="H731" s="6" t="s">
        <v>1127</v>
      </c>
      <c r="I731" s="6" t="s">
        <v>1445</v>
      </c>
      <c r="J731" s="2" t="s">
        <v>3890</v>
      </c>
      <c r="K731" s="2" t="s">
        <v>3903</v>
      </c>
      <c r="L731" s="2" t="s">
        <v>1175</v>
      </c>
      <c r="M731" s="2"/>
      <c r="N731" s="2" t="s">
        <v>1533</v>
      </c>
      <c r="O731" s="2" t="s">
        <v>3904</v>
      </c>
      <c r="P731" s="2" t="s">
        <v>3905</v>
      </c>
      <c r="Q731" s="6" t="s">
        <v>281</v>
      </c>
      <c r="R731" s="6" t="s">
        <v>85</v>
      </c>
      <c r="S731" s="9" t="s">
        <v>3906</v>
      </c>
      <c r="T731" s="9" t="s">
        <v>3907</v>
      </c>
      <c r="U731" s="6"/>
      <c r="V731" s="10"/>
      <c r="W731" s="10" t="s">
        <v>88</v>
      </c>
      <c r="X731" s="10"/>
      <c r="Y731" s="10"/>
    </row>
    <row r="732" customFormat="false" ht="23.85" hidden="false" customHeight="false" outlineLevel="0" collapsed="false">
      <c r="A732" s="6" t="n">
        <v>731</v>
      </c>
      <c r="B732" s="7" t="s">
        <v>3908</v>
      </c>
      <c r="C732" s="6" t="str">
        <f aca="false">IF(U732&lt;&gt;"","Client",IF(D732&gt;=9,"A",IF(D732&gt;=7,"B","C")))</f>
        <v>C</v>
      </c>
      <c r="D732" s="6" t="n">
        <f aca="false">E732+F732+G732</f>
        <v>2</v>
      </c>
      <c r="E732" s="6" t="n">
        <v>2</v>
      </c>
      <c r="F732" s="6" t="n">
        <v>0</v>
      </c>
      <c r="G732" s="8" t="n">
        <v>0</v>
      </c>
      <c r="H732" s="6" t="s">
        <v>507</v>
      </c>
      <c r="I732" s="6" t="s">
        <v>1445</v>
      </c>
      <c r="J732" s="2" t="s">
        <v>3909</v>
      </c>
      <c r="K732" s="2" t="s">
        <v>1229</v>
      </c>
      <c r="L732" s="2" t="s">
        <v>102</v>
      </c>
      <c r="M732" s="2"/>
      <c r="N732" s="2"/>
      <c r="O732" s="2"/>
      <c r="P732" s="2" t="s">
        <v>3910</v>
      </c>
      <c r="Q732" s="6" t="s">
        <v>440</v>
      </c>
      <c r="R732" s="6" t="s">
        <v>106</v>
      </c>
      <c r="S732" s="9" t="s">
        <v>1979</v>
      </c>
      <c r="T732" s="6"/>
      <c r="U732" s="6"/>
      <c r="V732" s="10"/>
      <c r="W732" s="10" t="s">
        <v>88</v>
      </c>
      <c r="X732" s="10"/>
      <c r="Y732" s="10"/>
    </row>
    <row r="733" customFormat="false" ht="23.85" hidden="false" customHeight="false" outlineLevel="0" collapsed="false">
      <c r="A733" s="6" t="n">
        <v>732</v>
      </c>
      <c r="B733" s="7" t="s">
        <v>3911</v>
      </c>
      <c r="C733" s="6" t="str">
        <f aca="false">IF(U733&lt;&gt;"","Client",IF(D733&gt;=9,"A",IF(D733&gt;=7,"B","C")))</f>
        <v>C</v>
      </c>
      <c r="D733" s="6" t="n">
        <f aca="false">E733+F733+G733</f>
        <v>2</v>
      </c>
      <c r="E733" s="6" t="n">
        <v>2</v>
      </c>
      <c r="F733" s="6" t="n">
        <v>0</v>
      </c>
      <c r="G733" s="8" t="n">
        <v>0</v>
      </c>
      <c r="H733" s="6" t="s">
        <v>507</v>
      </c>
      <c r="I733" s="6" t="s">
        <v>1445</v>
      </c>
      <c r="J733" s="2" t="s">
        <v>3308</v>
      </c>
      <c r="K733" s="2" t="s">
        <v>724</v>
      </c>
      <c r="L733" s="2" t="s">
        <v>102</v>
      </c>
      <c r="M733" s="2"/>
      <c r="N733" s="2"/>
      <c r="O733" s="2"/>
      <c r="P733" s="2" t="s">
        <v>3912</v>
      </c>
      <c r="Q733" s="6" t="s">
        <v>308</v>
      </c>
      <c r="R733" s="6" t="s">
        <v>106</v>
      </c>
      <c r="S733" s="9" t="s">
        <v>3913</v>
      </c>
      <c r="T733" s="6"/>
      <c r="U733" s="6"/>
      <c r="V733" s="10"/>
      <c r="W733" s="10" t="s">
        <v>88</v>
      </c>
      <c r="X733" s="10"/>
      <c r="Y733" s="10"/>
    </row>
    <row r="734" customFormat="false" ht="15" hidden="false" customHeight="false" outlineLevel="0" collapsed="false">
      <c r="A734" s="6" t="n">
        <v>733</v>
      </c>
      <c r="B734" s="7" t="s">
        <v>3914</v>
      </c>
      <c r="C734" s="6" t="str">
        <f aca="false">IF(U734&lt;&gt;"","Client",IF(D734&gt;=9,"A",IF(D734&gt;=7,"B","C")))</f>
        <v>C</v>
      </c>
      <c r="D734" s="6" t="n">
        <f aca="false">E734+F734+G734</f>
        <v>2</v>
      </c>
      <c r="E734" s="6" t="n">
        <v>2</v>
      </c>
      <c r="F734" s="6" t="n">
        <v>0</v>
      </c>
      <c r="G734" s="8" t="n">
        <v>0</v>
      </c>
      <c r="H734" s="6" t="s">
        <v>507</v>
      </c>
      <c r="I734" s="6" t="s">
        <v>1445</v>
      </c>
      <c r="J734" s="2" t="s">
        <v>3914</v>
      </c>
      <c r="K734" s="2" t="s">
        <v>3915</v>
      </c>
      <c r="L734" s="2" t="s">
        <v>127</v>
      </c>
      <c r="M734" s="2"/>
      <c r="N734" s="2" t="s">
        <v>1526</v>
      </c>
      <c r="O734" s="2" t="s">
        <v>3916</v>
      </c>
      <c r="P734" s="2" t="s">
        <v>3917</v>
      </c>
      <c r="Q734" s="6" t="s">
        <v>256</v>
      </c>
      <c r="R734" s="6" t="s">
        <v>85</v>
      </c>
      <c r="S734" s="9" t="s">
        <v>3918</v>
      </c>
      <c r="T734" s="6"/>
      <c r="U734" s="6"/>
      <c r="V734" s="10"/>
      <c r="W734" s="10" t="s">
        <v>88</v>
      </c>
      <c r="X734" s="10"/>
      <c r="Y734" s="10"/>
    </row>
    <row r="735" customFormat="false" ht="15" hidden="false" customHeight="false" outlineLevel="0" collapsed="false">
      <c r="A735" s="6" t="n">
        <v>734</v>
      </c>
      <c r="B735" s="7" t="s">
        <v>3919</v>
      </c>
      <c r="C735" s="6" t="str">
        <f aca="false">IF(U735&lt;&gt;"","Client",IF(D735&gt;=9,"A",IF(D735&gt;=7,"B","C")))</f>
        <v>C</v>
      </c>
      <c r="D735" s="6" t="n">
        <f aca="false">E735+F735+G735</f>
        <v>2</v>
      </c>
      <c r="E735" s="6" t="n">
        <v>2</v>
      </c>
      <c r="F735" s="6" t="n">
        <v>0</v>
      </c>
      <c r="G735" s="8" t="n">
        <v>0</v>
      </c>
      <c r="H735" s="6" t="s">
        <v>1127</v>
      </c>
      <c r="I735" s="6" t="s">
        <v>1445</v>
      </c>
      <c r="J735" s="2" t="s">
        <v>3919</v>
      </c>
      <c r="K735" s="2" t="s">
        <v>801</v>
      </c>
      <c r="L735" s="2" t="s">
        <v>167</v>
      </c>
      <c r="M735" s="2"/>
      <c r="N735" s="2"/>
      <c r="O735" s="2"/>
      <c r="P735" s="2" t="s">
        <v>3920</v>
      </c>
      <c r="Q735" s="6" t="s">
        <v>2281</v>
      </c>
      <c r="R735" s="6" t="s">
        <v>106</v>
      </c>
      <c r="S735" s="9" t="s">
        <v>3921</v>
      </c>
      <c r="T735" s="6"/>
      <c r="U735" s="6"/>
      <c r="V735" s="10"/>
      <c r="W735" s="10" t="s">
        <v>88</v>
      </c>
      <c r="X735" s="10"/>
      <c r="Y735" s="10"/>
    </row>
    <row r="736" customFormat="false" ht="23.85" hidden="false" customHeight="false" outlineLevel="0" collapsed="false">
      <c r="A736" s="6" t="n">
        <v>735</v>
      </c>
      <c r="B736" s="7" t="s">
        <v>3922</v>
      </c>
      <c r="C736" s="6" t="str">
        <f aca="false">IF(U736&lt;&gt;"","Client",IF(D736&gt;=9,"A",IF(D736&gt;=7,"B","C")))</f>
        <v>C</v>
      </c>
      <c r="D736" s="6" t="n">
        <f aca="false">E736+F736+G736</f>
        <v>2</v>
      </c>
      <c r="E736" s="6" t="n">
        <v>2</v>
      </c>
      <c r="F736" s="6" t="n">
        <v>0</v>
      </c>
      <c r="G736" s="8" t="n">
        <v>0</v>
      </c>
      <c r="H736" s="6" t="s">
        <v>507</v>
      </c>
      <c r="I736" s="6" t="s">
        <v>1445</v>
      </c>
      <c r="J736" s="2" t="s">
        <v>3923</v>
      </c>
      <c r="K736" s="2" t="s">
        <v>1981</v>
      </c>
      <c r="L736" s="2" t="s">
        <v>652</v>
      </c>
      <c r="M736" s="2"/>
      <c r="N736" s="2"/>
      <c r="O736" s="2"/>
      <c r="P736" s="2" t="s">
        <v>3924</v>
      </c>
      <c r="Q736" s="6" t="s">
        <v>84</v>
      </c>
      <c r="R736" s="6" t="s">
        <v>106</v>
      </c>
      <c r="S736" s="9" t="s">
        <v>605</v>
      </c>
      <c r="T736" s="6"/>
      <c r="U736" s="6"/>
      <c r="V736" s="10"/>
      <c r="W736" s="10" t="s">
        <v>88</v>
      </c>
      <c r="X736" s="10"/>
      <c r="Y736" s="10"/>
    </row>
    <row r="737" customFormat="false" ht="23.85" hidden="false" customHeight="false" outlineLevel="0" collapsed="false">
      <c r="A737" s="6" t="n">
        <v>736</v>
      </c>
      <c r="B737" s="7" t="s">
        <v>3925</v>
      </c>
      <c r="C737" s="6" t="str">
        <f aca="false">IF(U737&lt;&gt;"","Client",IF(D737&gt;=9,"A",IF(D737&gt;=7,"B","C")))</f>
        <v>C</v>
      </c>
      <c r="D737" s="6" t="n">
        <f aca="false">E737+F737+G737</f>
        <v>2</v>
      </c>
      <c r="E737" s="6" t="n">
        <v>2</v>
      </c>
      <c r="F737" s="6" t="n">
        <v>0</v>
      </c>
      <c r="G737" s="8" t="n">
        <v>0</v>
      </c>
      <c r="H737" s="6" t="s">
        <v>507</v>
      </c>
      <c r="I737" s="6" t="s">
        <v>1445</v>
      </c>
      <c r="J737" s="2" t="s">
        <v>3925</v>
      </c>
      <c r="K737" s="2" t="s">
        <v>3865</v>
      </c>
      <c r="L737" s="2" t="s">
        <v>127</v>
      </c>
      <c r="M737" s="2"/>
      <c r="N737" s="2"/>
      <c r="O737" s="2"/>
      <c r="P737" s="2" t="s">
        <v>3926</v>
      </c>
      <c r="Q737" s="6" t="s">
        <v>123</v>
      </c>
      <c r="R737" s="6" t="s">
        <v>85</v>
      </c>
      <c r="S737" s="9" t="s">
        <v>3353</v>
      </c>
      <c r="T737" s="6"/>
      <c r="U737" s="6"/>
      <c r="V737" s="10"/>
      <c r="W737" s="10" t="s">
        <v>88</v>
      </c>
      <c r="X737" s="10"/>
      <c r="Y737" s="10"/>
    </row>
    <row r="738" customFormat="false" ht="23.85" hidden="false" customHeight="false" outlineLevel="0" collapsed="false">
      <c r="A738" s="6" t="n">
        <v>737</v>
      </c>
      <c r="B738" s="7" t="s">
        <v>3927</v>
      </c>
      <c r="C738" s="6" t="str">
        <f aca="false">IF(U738&lt;&gt;"","Client",IF(D738&gt;=9,"A",IF(D738&gt;=7,"B","C")))</f>
        <v>C</v>
      </c>
      <c r="D738" s="6" t="n">
        <f aca="false">E738+F738+G738</f>
        <v>2</v>
      </c>
      <c r="E738" s="6" t="n">
        <v>2</v>
      </c>
      <c r="F738" s="6" t="n">
        <v>0</v>
      </c>
      <c r="G738" s="8" t="n">
        <v>0</v>
      </c>
      <c r="H738" s="6" t="s">
        <v>507</v>
      </c>
      <c r="I738" s="6" t="s">
        <v>1445</v>
      </c>
      <c r="J738" s="2" t="s">
        <v>3928</v>
      </c>
      <c r="K738" s="2" t="s">
        <v>3929</v>
      </c>
      <c r="L738" s="2" t="s">
        <v>127</v>
      </c>
      <c r="M738" s="2"/>
      <c r="N738" s="2"/>
      <c r="O738" s="2"/>
      <c r="P738" s="2" t="s">
        <v>3930</v>
      </c>
      <c r="Q738" s="6" t="s">
        <v>1401</v>
      </c>
      <c r="R738" s="6" t="s">
        <v>106</v>
      </c>
      <c r="S738" s="9" t="s">
        <v>3931</v>
      </c>
      <c r="T738" s="6"/>
      <c r="U738" s="6"/>
      <c r="V738" s="10"/>
      <c r="W738" s="10" t="s">
        <v>88</v>
      </c>
      <c r="X738" s="10"/>
      <c r="Y738" s="10"/>
    </row>
    <row r="739" customFormat="false" ht="23.85" hidden="false" customHeight="false" outlineLevel="0" collapsed="false">
      <c r="A739" s="6" t="n">
        <v>738</v>
      </c>
      <c r="B739" s="7" t="s">
        <v>3932</v>
      </c>
      <c r="C739" s="6" t="str">
        <f aca="false">IF(U739&lt;&gt;"","Client",IF(D739&gt;=9,"A",IF(D739&gt;=7,"B","C")))</f>
        <v>C</v>
      </c>
      <c r="D739" s="6" t="n">
        <f aca="false">E739+F739+G739</f>
        <v>2</v>
      </c>
      <c r="E739" s="6" t="n">
        <v>2</v>
      </c>
      <c r="F739" s="6" t="n">
        <v>0</v>
      </c>
      <c r="G739" s="8" t="n">
        <v>0</v>
      </c>
      <c r="H739" s="6" t="s">
        <v>507</v>
      </c>
      <c r="I739" s="6" t="s">
        <v>1445</v>
      </c>
      <c r="J739" s="2" t="s">
        <v>3932</v>
      </c>
      <c r="K739" s="2" t="s">
        <v>3723</v>
      </c>
      <c r="L739" s="2" t="s">
        <v>127</v>
      </c>
      <c r="M739" s="2"/>
      <c r="N739" s="2"/>
      <c r="O739" s="2"/>
      <c r="P739" s="2" t="s">
        <v>3933</v>
      </c>
      <c r="Q739" s="6" t="s">
        <v>236</v>
      </c>
      <c r="R739" s="6" t="s">
        <v>85</v>
      </c>
      <c r="S739" s="9" t="s">
        <v>3934</v>
      </c>
      <c r="T739" s="6"/>
      <c r="U739" s="6"/>
      <c r="V739" s="10"/>
      <c r="W739" s="10" t="s">
        <v>88</v>
      </c>
      <c r="X739" s="10"/>
      <c r="Y739" s="10"/>
    </row>
    <row r="740" customFormat="false" ht="23.85" hidden="false" customHeight="false" outlineLevel="0" collapsed="false">
      <c r="A740" s="6" t="n">
        <v>739</v>
      </c>
      <c r="B740" s="7" t="s">
        <v>3935</v>
      </c>
      <c r="C740" s="6" t="str">
        <f aca="false">IF(U740&lt;&gt;"","Client",IF(D740&gt;=9,"A",IF(D740&gt;=7,"B","C")))</f>
        <v>C</v>
      </c>
      <c r="D740" s="6" t="n">
        <f aca="false">E740+F740+G740</f>
        <v>2</v>
      </c>
      <c r="E740" s="6" t="n">
        <v>2</v>
      </c>
      <c r="F740" s="6" t="n">
        <v>0</v>
      </c>
      <c r="G740" s="8" t="n">
        <v>0</v>
      </c>
      <c r="H740" s="6" t="s">
        <v>507</v>
      </c>
      <c r="I740" s="6" t="s">
        <v>1445</v>
      </c>
      <c r="J740" s="2" t="s">
        <v>3935</v>
      </c>
      <c r="K740" s="2" t="s">
        <v>3936</v>
      </c>
      <c r="L740" s="2" t="s">
        <v>127</v>
      </c>
      <c r="M740" s="2"/>
      <c r="N740" s="2" t="s">
        <v>1533</v>
      </c>
      <c r="O740" s="2"/>
      <c r="P740" s="2" t="s">
        <v>3937</v>
      </c>
      <c r="Q740" s="6" t="s">
        <v>256</v>
      </c>
      <c r="R740" s="6" t="s">
        <v>85</v>
      </c>
      <c r="S740" s="9" t="s">
        <v>3938</v>
      </c>
      <c r="T740" s="6"/>
      <c r="U740" s="6"/>
      <c r="V740" s="10"/>
      <c r="W740" s="10" t="s">
        <v>88</v>
      </c>
      <c r="X740" s="10"/>
      <c r="Y740" s="10"/>
    </row>
    <row r="741" customFormat="false" ht="23.85" hidden="false" customHeight="false" outlineLevel="0" collapsed="false">
      <c r="A741" s="6" t="n">
        <v>740</v>
      </c>
      <c r="B741" s="7" t="s">
        <v>3939</v>
      </c>
      <c r="C741" s="6" t="str">
        <f aca="false">IF(U741&lt;&gt;"","Client",IF(D741&gt;=9,"A",IF(D741&gt;=7,"B","C")))</f>
        <v>C</v>
      </c>
      <c r="D741" s="6" t="n">
        <f aca="false">E741+F741+G741</f>
        <v>2</v>
      </c>
      <c r="E741" s="6" t="n">
        <v>2</v>
      </c>
      <c r="F741" s="6" t="n">
        <v>0</v>
      </c>
      <c r="G741" s="8" t="n">
        <v>0</v>
      </c>
      <c r="H741" s="6" t="s">
        <v>507</v>
      </c>
      <c r="I741" s="6" t="s">
        <v>1445</v>
      </c>
      <c r="J741" s="2" t="s">
        <v>3940</v>
      </c>
      <c r="K741" s="2" t="s">
        <v>3356</v>
      </c>
      <c r="L741" s="2" t="s">
        <v>1175</v>
      </c>
      <c r="M741" s="2"/>
      <c r="N741" s="2"/>
      <c r="O741" s="2" t="s">
        <v>3941</v>
      </c>
      <c r="P741" s="2" t="s">
        <v>3942</v>
      </c>
      <c r="Q741" s="6" t="s">
        <v>448</v>
      </c>
      <c r="R741" s="6" t="s">
        <v>106</v>
      </c>
      <c r="S741" s="9" t="s">
        <v>3943</v>
      </c>
      <c r="T741" s="6"/>
      <c r="U741" s="6"/>
      <c r="V741" s="10"/>
      <c r="W741" s="10" t="s">
        <v>88</v>
      </c>
      <c r="X741" s="10"/>
      <c r="Y741" s="10"/>
    </row>
    <row r="742" customFormat="false" ht="23.85" hidden="false" customHeight="false" outlineLevel="0" collapsed="false">
      <c r="A742" s="6" t="n">
        <v>741</v>
      </c>
      <c r="B742" s="7" t="s">
        <v>3944</v>
      </c>
      <c r="C742" s="6" t="str">
        <f aca="false">IF(U742&lt;&gt;"","Client",IF(D742&gt;=9,"A",IF(D742&gt;=7,"B","C")))</f>
        <v>C</v>
      </c>
      <c r="D742" s="6" t="n">
        <f aca="false">E742+F742+G742</f>
        <v>2</v>
      </c>
      <c r="E742" s="6" t="n">
        <v>2</v>
      </c>
      <c r="F742" s="6" t="n">
        <v>0</v>
      </c>
      <c r="G742" s="8" t="n">
        <v>0</v>
      </c>
      <c r="H742" s="6" t="s">
        <v>1127</v>
      </c>
      <c r="I742" s="6" t="s">
        <v>1445</v>
      </c>
      <c r="J742" s="2" t="s">
        <v>3945</v>
      </c>
      <c r="K742" s="2" t="s">
        <v>3946</v>
      </c>
      <c r="L742" s="2" t="s">
        <v>1539</v>
      </c>
      <c r="M742" s="2"/>
      <c r="N742" s="2"/>
      <c r="O742" s="2" t="s">
        <v>3419</v>
      </c>
      <c r="P742" s="2" t="s">
        <v>3947</v>
      </c>
      <c r="Q742" s="6" t="s">
        <v>504</v>
      </c>
      <c r="R742" s="6" t="s">
        <v>85</v>
      </c>
      <c r="S742" s="9" t="s">
        <v>3948</v>
      </c>
      <c r="T742" s="9" t="s">
        <v>3949</v>
      </c>
      <c r="U742" s="6"/>
      <c r="V742" s="10"/>
      <c r="W742" s="10" t="s">
        <v>88</v>
      </c>
      <c r="X742" s="10"/>
      <c r="Y742" s="10"/>
    </row>
    <row r="743" customFormat="false" ht="15" hidden="false" customHeight="false" outlineLevel="0" collapsed="false">
      <c r="A743" s="6" t="n">
        <v>742</v>
      </c>
      <c r="B743" s="7" t="s">
        <v>3950</v>
      </c>
      <c r="C743" s="6" t="str">
        <f aca="false">IF(U743&lt;&gt;"","Client",IF(D743&gt;=9,"A",IF(D743&gt;=7,"B","C")))</f>
        <v>C</v>
      </c>
      <c r="D743" s="6" t="n">
        <f aca="false">E743+F743+G743</f>
        <v>2</v>
      </c>
      <c r="E743" s="6" t="n">
        <v>2</v>
      </c>
      <c r="F743" s="6" t="n">
        <v>0</v>
      </c>
      <c r="G743" s="8" t="n">
        <v>0</v>
      </c>
      <c r="H743" s="6" t="s">
        <v>507</v>
      </c>
      <c r="I743" s="6" t="s">
        <v>1445</v>
      </c>
      <c r="J743" s="2" t="s">
        <v>3951</v>
      </c>
      <c r="K743" s="2" t="s">
        <v>1229</v>
      </c>
      <c r="L743" s="2" t="s">
        <v>102</v>
      </c>
      <c r="M743" s="2"/>
      <c r="N743" s="2"/>
      <c r="O743" s="2"/>
      <c r="P743" s="2" t="s">
        <v>3952</v>
      </c>
      <c r="Q743" s="6" t="s">
        <v>389</v>
      </c>
      <c r="R743" s="6" t="s">
        <v>106</v>
      </c>
      <c r="S743" s="9" t="s">
        <v>672</v>
      </c>
      <c r="T743" s="6"/>
      <c r="U743" s="6"/>
      <c r="V743" s="10"/>
      <c r="W743" s="10" t="s">
        <v>88</v>
      </c>
      <c r="X743" s="10"/>
      <c r="Y743" s="10"/>
    </row>
    <row r="744" customFormat="false" ht="23.85" hidden="false" customHeight="false" outlineLevel="0" collapsed="false">
      <c r="A744" s="6" t="n">
        <v>743</v>
      </c>
      <c r="B744" s="7" t="s">
        <v>3953</v>
      </c>
      <c r="C744" s="6" t="str">
        <f aca="false">IF(U744&lt;&gt;"","Client",IF(D744&gt;=9,"A",IF(D744&gt;=7,"B","C")))</f>
        <v>C</v>
      </c>
      <c r="D744" s="6" t="n">
        <f aca="false">E744+F744+G744</f>
        <v>2</v>
      </c>
      <c r="E744" s="6" t="n">
        <v>2</v>
      </c>
      <c r="F744" s="6" t="n">
        <v>0</v>
      </c>
      <c r="G744" s="8" t="n">
        <v>0</v>
      </c>
      <c r="H744" s="6" t="s">
        <v>507</v>
      </c>
      <c r="I744" s="6" t="s">
        <v>1445</v>
      </c>
      <c r="J744" s="2" t="s">
        <v>3954</v>
      </c>
      <c r="K744" s="2" t="s">
        <v>1159</v>
      </c>
      <c r="L744" s="2" t="s">
        <v>167</v>
      </c>
      <c r="M744" s="2"/>
      <c r="N744" s="2"/>
      <c r="O744" s="2"/>
      <c r="P744" s="2" t="s">
        <v>3955</v>
      </c>
      <c r="Q744" s="6" t="s">
        <v>281</v>
      </c>
      <c r="R744" s="6" t="s">
        <v>85</v>
      </c>
      <c r="S744" s="9" t="s">
        <v>3956</v>
      </c>
      <c r="T744" s="6"/>
      <c r="U744" s="6"/>
      <c r="V744" s="10"/>
      <c r="W744" s="10" t="s">
        <v>88</v>
      </c>
      <c r="X744" s="10"/>
      <c r="Y744" s="10"/>
    </row>
    <row r="745" customFormat="false" ht="15" hidden="false" customHeight="false" outlineLevel="0" collapsed="false">
      <c r="A745" s="6" t="n">
        <v>744</v>
      </c>
      <c r="B745" s="7" t="s">
        <v>3957</v>
      </c>
      <c r="C745" s="6" t="str">
        <f aca="false">IF(U745&lt;&gt;"","Client",IF(D745&gt;=9,"A",IF(D745&gt;=7,"B","C")))</f>
        <v>C</v>
      </c>
      <c r="D745" s="6" t="n">
        <f aca="false">E745+F745+G745</f>
        <v>2</v>
      </c>
      <c r="E745" s="6" t="n">
        <v>2</v>
      </c>
      <c r="F745" s="6" t="n">
        <v>0</v>
      </c>
      <c r="G745" s="8" t="n">
        <v>0</v>
      </c>
      <c r="H745" s="6" t="s">
        <v>507</v>
      </c>
      <c r="I745" s="6" t="s">
        <v>1445</v>
      </c>
      <c r="J745" s="2" t="s">
        <v>3958</v>
      </c>
      <c r="K745" s="2" t="s">
        <v>3799</v>
      </c>
      <c r="L745" s="2" t="s">
        <v>127</v>
      </c>
      <c r="M745" s="2"/>
      <c r="N745" s="2"/>
      <c r="O745" s="2"/>
      <c r="P745" s="2" t="s">
        <v>3959</v>
      </c>
      <c r="Q745" s="6" t="s">
        <v>256</v>
      </c>
      <c r="R745" s="6" t="s">
        <v>85</v>
      </c>
      <c r="S745" s="9" t="s">
        <v>1881</v>
      </c>
      <c r="T745" s="6"/>
      <c r="U745" s="6"/>
      <c r="V745" s="10"/>
      <c r="W745" s="10" t="s">
        <v>88</v>
      </c>
      <c r="X745" s="10"/>
      <c r="Y745" s="10"/>
    </row>
    <row r="746" customFormat="false" ht="23.85" hidden="false" customHeight="false" outlineLevel="0" collapsed="false">
      <c r="A746" s="6" t="n">
        <v>745</v>
      </c>
      <c r="B746" s="7" t="s">
        <v>3960</v>
      </c>
      <c r="C746" s="6" t="str">
        <f aca="false">IF(U746&lt;&gt;"","Client",IF(D746&gt;=9,"A",IF(D746&gt;=7,"B","C")))</f>
        <v>C</v>
      </c>
      <c r="D746" s="6" t="n">
        <f aca="false">E746+F746+G746</f>
        <v>2</v>
      </c>
      <c r="E746" s="6" t="n">
        <v>2</v>
      </c>
      <c r="F746" s="6" t="n">
        <v>0</v>
      </c>
      <c r="G746" s="8" t="n">
        <v>0</v>
      </c>
      <c r="H746" s="6" t="s">
        <v>1127</v>
      </c>
      <c r="I746" s="6" t="s">
        <v>1445</v>
      </c>
      <c r="J746" s="2" t="s">
        <v>2647</v>
      </c>
      <c r="K746" s="2" t="s">
        <v>3961</v>
      </c>
      <c r="L746" s="2" t="s">
        <v>127</v>
      </c>
      <c r="M746" s="2"/>
      <c r="N746" s="2"/>
      <c r="O746" s="2"/>
      <c r="P746" s="2" t="s">
        <v>3962</v>
      </c>
      <c r="Q746" s="6" t="s">
        <v>1401</v>
      </c>
      <c r="R746" s="6" t="s">
        <v>106</v>
      </c>
      <c r="S746" s="9" t="s">
        <v>3963</v>
      </c>
      <c r="T746" s="6"/>
      <c r="U746" s="6"/>
      <c r="V746" s="10"/>
      <c r="W746" s="10" t="s">
        <v>88</v>
      </c>
      <c r="X746" s="10"/>
      <c r="Y746" s="10"/>
    </row>
    <row r="747" customFormat="false" ht="23.85" hidden="false" customHeight="false" outlineLevel="0" collapsed="false">
      <c r="A747" s="6" t="n">
        <v>746</v>
      </c>
      <c r="B747" s="7" t="s">
        <v>3964</v>
      </c>
      <c r="C747" s="6" t="str">
        <f aca="false">IF(U747&lt;&gt;"","Client",IF(D747&gt;=9,"A",IF(D747&gt;=7,"B","C")))</f>
        <v>C</v>
      </c>
      <c r="D747" s="6" t="n">
        <f aca="false">E747+F747+G747</f>
        <v>2</v>
      </c>
      <c r="E747" s="6" t="n">
        <v>2</v>
      </c>
      <c r="F747" s="6" t="n">
        <v>0</v>
      </c>
      <c r="G747" s="8" t="n">
        <v>0</v>
      </c>
      <c r="H747" s="6" t="s">
        <v>507</v>
      </c>
      <c r="I747" s="6" t="s">
        <v>1445</v>
      </c>
      <c r="J747" s="2" t="s">
        <v>3965</v>
      </c>
      <c r="K747" s="2" t="s">
        <v>3966</v>
      </c>
      <c r="L747" s="2" t="s">
        <v>1175</v>
      </c>
      <c r="M747" s="2"/>
      <c r="N747" s="2" t="s">
        <v>1533</v>
      </c>
      <c r="O747" s="2" t="s">
        <v>3967</v>
      </c>
      <c r="P747" s="2" t="s">
        <v>3968</v>
      </c>
      <c r="Q747" s="6" t="s">
        <v>160</v>
      </c>
      <c r="R747" s="6" t="s">
        <v>85</v>
      </c>
      <c r="S747" s="9" t="s">
        <v>3969</v>
      </c>
      <c r="T747" s="6"/>
      <c r="U747" s="6"/>
      <c r="V747" s="10"/>
      <c r="W747" s="10" t="s">
        <v>88</v>
      </c>
      <c r="X747" s="10"/>
      <c r="Y747" s="10"/>
    </row>
    <row r="748" customFormat="false" ht="23.85" hidden="false" customHeight="false" outlineLevel="0" collapsed="false">
      <c r="A748" s="6" t="n">
        <v>747</v>
      </c>
      <c r="B748" s="7" t="s">
        <v>3970</v>
      </c>
      <c r="C748" s="6" t="str">
        <f aca="false">IF(U748&lt;&gt;"","Client",IF(D748&gt;=9,"A",IF(D748&gt;=7,"B","C")))</f>
        <v>C</v>
      </c>
      <c r="D748" s="6" t="n">
        <f aca="false">E748+F748+G748</f>
        <v>2</v>
      </c>
      <c r="E748" s="6" t="n">
        <v>2</v>
      </c>
      <c r="F748" s="6" t="n">
        <v>0</v>
      </c>
      <c r="G748" s="8" t="n">
        <v>0</v>
      </c>
      <c r="H748" s="6" t="s">
        <v>1127</v>
      </c>
      <c r="I748" s="6" t="s">
        <v>1445</v>
      </c>
      <c r="J748" s="2" t="s">
        <v>3971</v>
      </c>
      <c r="K748" s="2" t="s">
        <v>3972</v>
      </c>
      <c r="L748" s="2" t="s">
        <v>1539</v>
      </c>
      <c r="M748" s="2"/>
      <c r="N748" s="2"/>
      <c r="O748" s="2"/>
      <c r="P748" s="2" t="s">
        <v>3973</v>
      </c>
      <c r="Q748" s="6" t="s">
        <v>683</v>
      </c>
      <c r="R748" s="6" t="s">
        <v>85</v>
      </c>
      <c r="S748" s="9" t="s">
        <v>3974</v>
      </c>
      <c r="T748" s="6"/>
      <c r="U748" s="6"/>
      <c r="V748" s="10"/>
      <c r="W748" s="10" t="s">
        <v>88</v>
      </c>
      <c r="X748" s="10"/>
      <c r="Y748" s="10"/>
    </row>
    <row r="749" customFormat="false" ht="15" hidden="false" customHeight="false" outlineLevel="0" collapsed="false">
      <c r="A749" s="6" t="n">
        <v>748</v>
      </c>
      <c r="B749" s="7" t="s">
        <v>3975</v>
      </c>
      <c r="C749" s="6" t="str">
        <f aca="false">IF(U749&lt;&gt;"","Client",IF(D749&gt;=9,"A",IF(D749&gt;=7,"B","C")))</f>
        <v>C</v>
      </c>
      <c r="D749" s="6" t="n">
        <f aca="false">E749+F749+G749</f>
        <v>2</v>
      </c>
      <c r="E749" s="6" t="n">
        <v>2</v>
      </c>
      <c r="F749" s="6" t="n">
        <v>0</v>
      </c>
      <c r="G749" s="8" t="n">
        <v>0</v>
      </c>
      <c r="H749" s="6" t="s">
        <v>507</v>
      </c>
      <c r="I749" s="6" t="s">
        <v>1445</v>
      </c>
      <c r="J749" s="2" t="s">
        <v>3975</v>
      </c>
      <c r="K749" s="2" t="s">
        <v>3976</v>
      </c>
      <c r="L749" s="2" t="s">
        <v>127</v>
      </c>
      <c r="M749" s="2"/>
      <c r="N749" s="2"/>
      <c r="O749" s="2"/>
      <c r="P749" s="2" t="s">
        <v>3977</v>
      </c>
      <c r="Q749" s="6" t="s">
        <v>1636</v>
      </c>
      <c r="R749" s="6" t="s">
        <v>106</v>
      </c>
      <c r="S749" s="9" t="s">
        <v>3978</v>
      </c>
      <c r="T749" s="6"/>
      <c r="U749" s="6"/>
      <c r="V749" s="10"/>
      <c r="W749" s="10" t="s">
        <v>88</v>
      </c>
      <c r="X749" s="10"/>
      <c r="Y749" s="10"/>
    </row>
    <row r="750" customFormat="false" ht="15" hidden="false" customHeight="false" outlineLevel="0" collapsed="false">
      <c r="A750" s="6" t="n">
        <v>749</v>
      </c>
      <c r="B750" s="7" t="s">
        <v>3979</v>
      </c>
      <c r="C750" s="6" t="str">
        <f aca="false">IF(U750&lt;&gt;"","Client",IF(D750&gt;=9,"A",IF(D750&gt;=7,"B","C")))</f>
        <v>C</v>
      </c>
      <c r="D750" s="6" t="n">
        <f aca="false">E750+F750+G750</f>
        <v>2</v>
      </c>
      <c r="E750" s="6" t="n">
        <v>2</v>
      </c>
      <c r="F750" s="6" t="n">
        <v>0</v>
      </c>
      <c r="G750" s="8" t="n">
        <v>0</v>
      </c>
      <c r="H750" s="6" t="s">
        <v>1127</v>
      </c>
      <c r="I750" s="6" t="s">
        <v>1445</v>
      </c>
      <c r="J750" s="2" t="s">
        <v>3979</v>
      </c>
      <c r="K750" s="2" t="s">
        <v>3980</v>
      </c>
      <c r="L750" s="2" t="s">
        <v>127</v>
      </c>
      <c r="M750" s="2"/>
      <c r="N750" s="2"/>
      <c r="O750" s="2"/>
      <c r="P750" s="2" t="s">
        <v>3981</v>
      </c>
      <c r="Q750" s="6" t="s">
        <v>461</v>
      </c>
      <c r="R750" s="6" t="s">
        <v>85</v>
      </c>
      <c r="S750" s="9" t="s">
        <v>3982</v>
      </c>
      <c r="T750" s="6"/>
      <c r="U750" s="6"/>
      <c r="V750" s="10"/>
      <c r="W750" s="10" t="s">
        <v>88</v>
      </c>
      <c r="X750" s="10"/>
      <c r="Y750" s="10"/>
    </row>
    <row r="751" customFormat="false" ht="15" hidden="false" customHeight="false" outlineLevel="0" collapsed="false">
      <c r="A751" s="6" t="n">
        <v>750</v>
      </c>
      <c r="B751" s="7" t="s">
        <v>3983</v>
      </c>
      <c r="C751" s="6" t="str">
        <f aca="false">IF(U751&lt;&gt;"","Client",IF(D751&gt;=9,"A",IF(D751&gt;=7,"B","C")))</f>
        <v>C</v>
      </c>
      <c r="D751" s="6" t="n">
        <f aca="false">E751+F751+G751</f>
        <v>2</v>
      </c>
      <c r="E751" s="6" t="n">
        <v>2</v>
      </c>
      <c r="F751" s="6" t="n">
        <v>0</v>
      </c>
      <c r="G751" s="8" t="n">
        <v>0</v>
      </c>
      <c r="H751" s="6" t="s">
        <v>507</v>
      </c>
      <c r="I751" s="6" t="s">
        <v>1445</v>
      </c>
      <c r="J751" s="2" t="s">
        <v>2640</v>
      </c>
      <c r="K751" s="2" t="s">
        <v>730</v>
      </c>
      <c r="L751" s="2" t="s">
        <v>102</v>
      </c>
      <c r="M751" s="2"/>
      <c r="N751" s="2"/>
      <c r="O751" s="2" t="s">
        <v>3984</v>
      </c>
      <c r="P751" s="2" t="s">
        <v>3985</v>
      </c>
      <c r="Q751" s="6" t="s">
        <v>504</v>
      </c>
      <c r="R751" s="6" t="s">
        <v>106</v>
      </c>
      <c r="S751" s="9" t="s">
        <v>1449</v>
      </c>
      <c r="T751" s="6"/>
      <c r="U751" s="6"/>
      <c r="V751" s="10"/>
      <c r="W751" s="10" t="s">
        <v>88</v>
      </c>
      <c r="X751" s="10"/>
      <c r="Y751" s="10"/>
    </row>
    <row r="752" customFormat="false" ht="23.85" hidden="false" customHeight="false" outlineLevel="0" collapsed="false">
      <c r="A752" s="6" t="n">
        <v>751</v>
      </c>
      <c r="B752" s="7" t="s">
        <v>3986</v>
      </c>
      <c r="C752" s="6" t="str">
        <f aca="false">IF(U752&lt;&gt;"","Client",IF(D752&gt;=9,"A",IF(D752&gt;=7,"B","C")))</f>
        <v>C</v>
      </c>
      <c r="D752" s="6" t="n">
        <f aca="false">E752+F752+G752</f>
        <v>2</v>
      </c>
      <c r="E752" s="6" t="n">
        <v>2</v>
      </c>
      <c r="F752" s="6" t="n">
        <v>0</v>
      </c>
      <c r="G752" s="8" t="n">
        <v>0</v>
      </c>
      <c r="H752" s="6" t="s">
        <v>507</v>
      </c>
      <c r="I752" s="6" t="s">
        <v>1445</v>
      </c>
      <c r="J752" s="2" t="s">
        <v>3987</v>
      </c>
      <c r="K752" s="2" t="s">
        <v>3988</v>
      </c>
      <c r="L752" s="2" t="s">
        <v>127</v>
      </c>
      <c r="M752" s="2"/>
      <c r="N752" s="2" t="s">
        <v>1533</v>
      </c>
      <c r="O752" s="2"/>
      <c r="P752" s="2" t="s">
        <v>3989</v>
      </c>
      <c r="Q752" s="6" t="s">
        <v>130</v>
      </c>
      <c r="R752" s="6" t="s">
        <v>85</v>
      </c>
      <c r="S752" s="9" t="s">
        <v>3990</v>
      </c>
      <c r="T752" s="6"/>
      <c r="U752" s="6"/>
      <c r="V752" s="10"/>
      <c r="W752" s="10" t="s">
        <v>88</v>
      </c>
      <c r="X752" s="10"/>
      <c r="Y752" s="10"/>
    </row>
    <row r="753" customFormat="false" ht="23.85" hidden="false" customHeight="false" outlineLevel="0" collapsed="false">
      <c r="A753" s="6" t="n">
        <v>752</v>
      </c>
      <c r="B753" s="7" t="s">
        <v>3991</v>
      </c>
      <c r="C753" s="6" t="str">
        <f aca="false">IF(U753&lt;&gt;"","Client",IF(D753&gt;=9,"A",IF(D753&gt;=7,"B","C")))</f>
        <v>C</v>
      </c>
      <c r="D753" s="6" t="n">
        <f aca="false">E753+F753+G753</f>
        <v>2</v>
      </c>
      <c r="E753" s="6" t="n">
        <v>2</v>
      </c>
      <c r="F753" s="6" t="n">
        <v>0</v>
      </c>
      <c r="G753" s="8" t="n">
        <v>0</v>
      </c>
      <c r="H753" s="6" t="s">
        <v>507</v>
      </c>
      <c r="I753" s="6" t="s">
        <v>1445</v>
      </c>
      <c r="J753" s="2" t="s">
        <v>3992</v>
      </c>
      <c r="K753" s="2" t="s">
        <v>3993</v>
      </c>
      <c r="L753" s="2" t="s">
        <v>127</v>
      </c>
      <c r="M753" s="2"/>
      <c r="N753" s="2"/>
      <c r="O753" s="2"/>
      <c r="P753" s="2" t="s">
        <v>3994</v>
      </c>
      <c r="Q753" s="6" t="s">
        <v>389</v>
      </c>
      <c r="R753" s="6" t="s">
        <v>85</v>
      </c>
      <c r="S753" s="9" t="s">
        <v>3995</v>
      </c>
      <c r="T753" s="6"/>
      <c r="U753" s="6"/>
      <c r="V753" s="10"/>
      <c r="W753" s="10" t="s">
        <v>88</v>
      </c>
      <c r="X753" s="10"/>
      <c r="Y753" s="10"/>
    </row>
    <row r="754" customFormat="false" ht="23.85" hidden="false" customHeight="false" outlineLevel="0" collapsed="false">
      <c r="A754" s="6" t="n">
        <v>753</v>
      </c>
      <c r="B754" s="7" t="s">
        <v>3996</v>
      </c>
      <c r="C754" s="6" t="str">
        <f aca="false">IF(U754&lt;&gt;"","Client",IF(D754&gt;=9,"A",IF(D754&gt;=7,"B","C")))</f>
        <v>C</v>
      </c>
      <c r="D754" s="6" t="n">
        <f aca="false">E754+F754+G754</f>
        <v>2</v>
      </c>
      <c r="E754" s="6" t="n">
        <v>2</v>
      </c>
      <c r="F754" s="6" t="n">
        <v>0</v>
      </c>
      <c r="G754" s="8" t="n">
        <v>0</v>
      </c>
      <c r="H754" s="6" t="s">
        <v>507</v>
      </c>
      <c r="I754" s="6" t="s">
        <v>1445</v>
      </c>
      <c r="J754" s="2" t="s">
        <v>3997</v>
      </c>
      <c r="K754" s="2" t="s">
        <v>3187</v>
      </c>
      <c r="L754" s="2" t="s">
        <v>127</v>
      </c>
      <c r="M754" s="2"/>
      <c r="N754" s="2"/>
      <c r="O754" s="2"/>
      <c r="P754" s="2" t="s">
        <v>3998</v>
      </c>
      <c r="Q754" s="6" t="s">
        <v>160</v>
      </c>
      <c r="R754" s="6" t="s">
        <v>85</v>
      </c>
      <c r="S754" s="9" t="s">
        <v>3999</v>
      </c>
      <c r="T754" s="6"/>
      <c r="U754" s="6"/>
      <c r="V754" s="10"/>
      <c r="W754" s="10" t="s">
        <v>88</v>
      </c>
      <c r="X754" s="10"/>
      <c r="Y754" s="10"/>
    </row>
    <row r="755" customFormat="false" ht="23.85" hidden="false" customHeight="false" outlineLevel="0" collapsed="false">
      <c r="A755" s="6" t="n">
        <v>754</v>
      </c>
      <c r="B755" s="7" t="s">
        <v>3099</v>
      </c>
      <c r="C755" s="6" t="str">
        <f aca="false">IF(U755&lt;&gt;"","Client",IF(D755&gt;=9,"A",IF(D755&gt;=7,"B","C")))</f>
        <v>C</v>
      </c>
      <c r="D755" s="6" t="n">
        <f aca="false">E755+F755+G755</f>
        <v>2</v>
      </c>
      <c r="E755" s="6" t="n">
        <v>2</v>
      </c>
      <c r="F755" s="6" t="n">
        <v>0</v>
      </c>
      <c r="G755" s="8" t="n">
        <v>0</v>
      </c>
      <c r="H755" s="6" t="s">
        <v>507</v>
      </c>
      <c r="I755" s="6" t="s">
        <v>1445</v>
      </c>
      <c r="J755" s="2" t="s">
        <v>3099</v>
      </c>
      <c r="K755" s="2" t="s">
        <v>4000</v>
      </c>
      <c r="L755" s="2" t="s">
        <v>102</v>
      </c>
      <c r="M755" s="2"/>
      <c r="N755" s="2" t="s">
        <v>1533</v>
      </c>
      <c r="O755" s="2" t="s">
        <v>4001</v>
      </c>
      <c r="P755" s="2" t="s">
        <v>4002</v>
      </c>
      <c r="Q755" s="6" t="s">
        <v>130</v>
      </c>
      <c r="R755" s="6" t="s">
        <v>85</v>
      </c>
      <c r="S755" s="9" t="s">
        <v>4003</v>
      </c>
      <c r="T755" s="9" t="s">
        <v>4004</v>
      </c>
      <c r="U755" s="6"/>
      <c r="V755" s="10"/>
      <c r="W755" s="10" t="s">
        <v>88</v>
      </c>
      <c r="X755" s="10"/>
      <c r="Y755" s="10"/>
    </row>
    <row r="756" customFormat="false" ht="23.85" hidden="false" customHeight="false" outlineLevel="0" collapsed="false">
      <c r="A756" s="6" t="n">
        <v>755</v>
      </c>
      <c r="B756" s="7" t="s">
        <v>4005</v>
      </c>
      <c r="C756" s="6" t="str">
        <f aca="false">IF(U756&lt;&gt;"","Client",IF(D756&gt;=9,"A",IF(D756&gt;=7,"B","C")))</f>
        <v>C</v>
      </c>
      <c r="D756" s="6" t="n">
        <f aca="false">E756+F756+G756</f>
        <v>2</v>
      </c>
      <c r="E756" s="6" t="n">
        <v>2</v>
      </c>
      <c r="F756" s="6" t="n">
        <v>0</v>
      </c>
      <c r="G756" s="8" t="n">
        <v>0</v>
      </c>
      <c r="H756" s="6" t="s">
        <v>1127</v>
      </c>
      <c r="I756" s="6" t="s">
        <v>1445</v>
      </c>
      <c r="J756" s="2" t="s">
        <v>4006</v>
      </c>
      <c r="K756" s="2" t="s">
        <v>4007</v>
      </c>
      <c r="L756" s="2" t="s">
        <v>127</v>
      </c>
      <c r="M756" s="2"/>
      <c r="N756" s="2"/>
      <c r="O756" s="2"/>
      <c r="P756" s="2" t="s">
        <v>4008</v>
      </c>
      <c r="Q756" s="6" t="s">
        <v>143</v>
      </c>
      <c r="R756" s="6" t="s">
        <v>106</v>
      </c>
      <c r="S756" s="9" t="s">
        <v>1715</v>
      </c>
      <c r="T756" s="6"/>
      <c r="U756" s="6"/>
      <c r="V756" s="10"/>
      <c r="W756" s="10" t="s">
        <v>88</v>
      </c>
      <c r="X756" s="10"/>
      <c r="Y756" s="10"/>
    </row>
    <row r="757" customFormat="false" ht="15" hidden="false" customHeight="false" outlineLevel="0" collapsed="false">
      <c r="A757" s="6" t="n">
        <v>756</v>
      </c>
      <c r="B757" s="7" t="s">
        <v>4009</v>
      </c>
      <c r="C757" s="6" t="str">
        <f aca="false">IF(U757&lt;&gt;"","Client",IF(D757&gt;=9,"A",IF(D757&gt;=7,"B","C")))</f>
        <v>C</v>
      </c>
      <c r="D757" s="6" t="n">
        <f aca="false">E757+F757+G757</f>
        <v>2</v>
      </c>
      <c r="E757" s="6" t="n">
        <v>2</v>
      </c>
      <c r="F757" s="6" t="n">
        <v>0</v>
      </c>
      <c r="G757" s="8" t="n">
        <v>0</v>
      </c>
      <c r="H757" s="6" t="s">
        <v>507</v>
      </c>
      <c r="I757" s="6" t="s">
        <v>1445</v>
      </c>
      <c r="J757" s="2" t="s">
        <v>2999</v>
      </c>
      <c r="K757" s="2" t="s">
        <v>2596</v>
      </c>
      <c r="L757" s="2" t="s">
        <v>127</v>
      </c>
      <c r="M757" s="2"/>
      <c r="N757" s="2"/>
      <c r="O757" s="2"/>
      <c r="P757" s="2" t="s">
        <v>4010</v>
      </c>
      <c r="Q757" s="6" t="s">
        <v>504</v>
      </c>
      <c r="R757" s="6" t="s">
        <v>85</v>
      </c>
      <c r="S757" s="9" t="s">
        <v>2778</v>
      </c>
      <c r="T757" s="6"/>
      <c r="U757" s="6"/>
      <c r="V757" s="10"/>
      <c r="W757" s="10" t="s">
        <v>88</v>
      </c>
      <c r="X757" s="10"/>
      <c r="Y757" s="10"/>
    </row>
    <row r="758" customFormat="false" ht="15" hidden="false" customHeight="false" outlineLevel="0" collapsed="false">
      <c r="A758" s="6" t="n">
        <v>757</v>
      </c>
      <c r="B758" s="7" t="s">
        <v>4011</v>
      </c>
      <c r="C758" s="6" t="str">
        <f aca="false">IF(U758&lt;&gt;"","Client",IF(D758&gt;=9,"A",IF(D758&gt;=7,"B","C")))</f>
        <v>C</v>
      </c>
      <c r="D758" s="6" t="n">
        <f aca="false">E758+F758+G758</f>
        <v>2</v>
      </c>
      <c r="E758" s="6" t="n">
        <v>2</v>
      </c>
      <c r="F758" s="6" t="n">
        <v>0</v>
      </c>
      <c r="G758" s="8" t="n">
        <v>0</v>
      </c>
      <c r="H758" s="6" t="s">
        <v>1127</v>
      </c>
      <c r="I758" s="6" t="s">
        <v>1445</v>
      </c>
      <c r="J758" s="2" t="s">
        <v>4012</v>
      </c>
      <c r="K758" s="2" t="s">
        <v>1255</v>
      </c>
      <c r="L758" s="2" t="s">
        <v>127</v>
      </c>
      <c r="M758" s="2"/>
      <c r="N758" s="2"/>
      <c r="O758" s="2"/>
      <c r="P758" s="2" t="s">
        <v>4013</v>
      </c>
      <c r="Q758" s="6" t="s">
        <v>97</v>
      </c>
      <c r="R758" s="6" t="s">
        <v>106</v>
      </c>
      <c r="S758" s="9" t="s">
        <v>1518</v>
      </c>
      <c r="T758" s="6"/>
      <c r="U758" s="6"/>
      <c r="V758" s="10"/>
      <c r="W758" s="10" t="s">
        <v>88</v>
      </c>
      <c r="X758" s="10"/>
      <c r="Y758" s="10"/>
    </row>
    <row r="759" customFormat="false" ht="23.85" hidden="false" customHeight="false" outlineLevel="0" collapsed="false">
      <c r="A759" s="6" t="n">
        <v>758</v>
      </c>
      <c r="B759" s="7" t="s">
        <v>4014</v>
      </c>
      <c r="C759" s="6" t="str">
        <f aca="false">IF(U759&lt;&gt;"","Client",IF(D759&gt;=9,"A",IF(D759&gt;=7,"B","C")))</f>
        <v>C</v>
      </c>
      <c r="D759" s="6" t="n">
        <f aca="false">E759+F759+G759</f>
        <v>2</v>
      </c>
      <c r="E759" s="6" t="n">
        <v>2</v>
      </c>
      <c r="F759" s="6" t="n">
        <v>0</v>
      </c>
      <c r="G759" s="8" t="n">
        <v>0</v>
      </c>
      <c r="H759" s="6" t="s">
        <v>507</v>
      </c>
      <c r="I759" s="6" t="s">
        <v>1445</v>
      </c>
      <c r="J759" s="2" t="s">
        <v>4015</v>
      </c>
      <c r="K759" s="2" t="s">
        <v>3356</v>
      </c>
      <c r="L759" s="2" t="s">
        <v>1175</v>
      </c>
      <c r="M759" s="2"/>
      <c r="N759" s="2"/>
      <c r="O759" s="2" t="s">
        <v>4016</v>
      </c>
      <c r="P759" s="2" t="s">
        <v>4017</v>
      </c>
      <c r="Q759" s="6" t="s">
        <v>389</v>
      </c>
      <c r="R759" s="6" t="s">
        <v>106</v>
      </c>
      <c r="S759" s="9" t="s">
        <v>4018</v>
      </c>
      <c r="T759" s="6"/>
      <c r="U759" s="6"/>
      <c r="V759" s="10"/>
      <c r="W759" s="10" t="s">
        <v>88</v>
      </c>
      <c r="X759" s="10"/>
      <c r="Y759" s="10"/>
    </row>
    <row r="760" customFormat="false" ht="15" hidden="false" customHeight="false" outlineLevel="0" collapsed="false">
      <c r="A760" s="6" t="n">
        <v>759</v>
      </c>
      <c r="B760" s="7" t="s">
        <v>4019</v>
      </c>
      <c r="C760" s="6" t="str">
        <f aca="false">IF(U760&lt;&gt;"","Client",IF(D760&gt;=9,"A",IF(D760&gt;=7,"B","C")))</f>
        <v>C</v>
      </c>
      <c r="D760" s="6" t="n">
        <f aca="false">E760+F760+G760</f>
        <v>2</v>
      </c>
      <c r="E760" s="6" t="n">
        <v>2</v>
      </c>
      <c r="F760" s="6" t="n">
        <v>0</v>
      </c>
      <c r="G760" s="8" t="n">
        <v>0</v>
      </c>
      <c r="H760" s="6" t="s">
        <v>507</v>
      </c>
      <c r="I760" s="6" t="s">
        <v>1445</v>
      </c>
      <c r="J760" s="2" t="s">
        <v>4019</v>
      </c>
      <c r="K760" s="2" t="s">
        <v>4020</v>
      </c>
      <c r="L760" s="2" t="s">
        <v>102</v>
      </c>
      <c r="M760" s="2"/>
      <c r="N760" s="2" t="s">
        <v>1043</v>
      </c>
      <c r="O760" s="2" t="s">
        <v>4021</v>
      </c>
      <c r="P760" s="2" t="s">
        <v>4022</v>
      </c>
      <c r="Q760" s="6" t="s">
        <v>160</v>
      </c>
      <c r="R760" s="6" t="s">
        <v>85</v>
      </c>
      <c r="S760" s="9" t="s">
        <v>4023</v>
      </c>
      <c r="T760" s="6"/>
      <c r="U760" s="6"/>
      <c r="V760" s="10"/>
      <c r="W760" s="10" t="s">
        <v>88</v>
      </c>
      <c r="X760" s="10"/>
      <c r="Y760" s="10"/>
    </row>
    <row r="761" customFormat="false" ht="35.05" hidden="false" customHeight="false" outlineLevel="0" collapsed="false">
      <c r="A761" s="6" t="n">
        <v>760</v>
      </c>
      <c r="B761" s="7" t="s">
        <v>4024</v>
      </c>
      <c r="C761" s="6" t="str">
        <f aca="false">IF(U761&lt;&gt;"","Client",IF(D761&gt;=9,"A",IF(D761&gt;=7,"B","C")))</f>
        <v>C</v>
      </c>
      <c r="D761" s="6" t="n">
        <f aca="false">E761+F761+G761</f>
        <v>1</v>
      </c>
      <c r="E761" s="6" t="n">
        <v>1</v>
      </c>
      <c r="F761" s="6" t="n">
        <v>0</v>
      </c>
      <c r="G761" s="8" t="n">
        <v>0</v>
      </c>
      <c r="H761" s="6" t="s">
        <v>1598</v>
      </c>
      <c r="I761" s="6" t="s">
        <v>1445</v>
      </c>
      <c r="J761" s="2" t="s">
        <v>4025</v>
      </c>
      <c r="K761" s="2" t="s">
        <v>4026</v>
      </c>
      <c r="L761" s="2" t="s">
        <v>102</v>
      </c>
      <c r="M761" s="2"/>
      <c r="N761" s="2" t="s">
        <v>1483</v>
      </c>
      <c r="O761" s="2" t="s">
        <v>4027</v>
      </c>
      <c r="P761" s="2" t="s">
        <v>4028</v>
      </c>
      <c r="Q761" s="6" t="s">
        <v>160</v>
      </c>
      <c r="R761" s="6" t="s">
        <v>85</v>
      </c>
      <c r="S761" s="9" t="s">
        <v>4029</v>
      </c>
      <c r="T761" s="6"/>
      <c r="U761" s="6"/>
      <c r="V761" s="10"/>
      <c r="W761" s="10" t="s">
        <v>88</v>
      </c>
      <c r="X761" s="10"/>
      <c r="Y761" s="10"/>
    </row>
    <row r="762" customFormat="false" ht="23.85" hidden="false" customHeight="false" outlineLevel="0" collapsed="false">
      <c r="A762" s="6" t="n">
        <v>761</v>
      </c>
      <c r="B762" s="7" t="s">
        <v>4030</v>
      </c>
      <c r="C762" s="6" t="str">
        <f aca="false">IF(U762&lt;&gt;"","Client",IF(D762&gt;=9,"A",IF(D762&gt;=7,"B","C")))</f>
        <v>C</v>
      </c>
      <c r="D762" s="6" t="n">
        <f aca="false">E762+F762+G762</f>
        <v>1</v>
      </c>
      <c r="E762" s="6" t="n">
        <v>1</v>
      </c>
      <c r="F762" s="6" t="n">
        <v>0</v>
      </c>
      <c r="G762" s="8" t="n">
        <v>0</v>
      </c>
      <c r="H762" s="6" t="s">
        <v>1644</v>
      </c>
      <c r="I762" s="6" t="s">
        <v>1445</v>
      </c>
      <c r="J762" s="2" t="s">
        <v>4031</v>
      </c>
      <c r="K762" s="2" t="s">
        <v>1049</v>
      </c>
      <c r="L762" s="2" t="s">
        <v>127</v>
      </c>
      <c r="M762" s="2"/>
      <c r="N762" s="2" t="s">
        <v>1533</v>
      </c>
      <c r="O762" s="2" t="s">
        <v>4032</v>
      </c>
      <c r="P762" s="2" t="s">
        <v>4033</v>
      </c>
      <c r="Q762" s="6" t="s">
        <v>308</v>
      </c>
      <c r="R762" s="6" t="s">
        <v>85</v>
      </c>
      <c r="S762" s="9" t="s">
        <v>309</v>
      </c>
      <c r="T762" s="6"/>
      <c r="U762" s="6"/>
      <c r="V762" s="10"/>
      <c r="W762" s="10" t="s">
        <v>88</v>
      </c>
      <c r="X762" s="10"/>
      <c r="Y762" s="10"/>
    </row>
    <row r="763" customFormat="false" ht="23.85" hidden="false" customHeight="false" outlineLevel="0" collapsed="false">
      <c r="A763" s="6" t="n">
        <v>762</v>
      </c>
      <c r="B763" s="7" t="s">
        <v>4034</v>
      </c>
      <c r="C763" s="6" t="str">
        <f aca="false">IF(U763&lt;&gt;"","Client",IF(D763&gt;=9,"A",IF(D763&gt;=7,"B","C")))</f>
        <v>C</v>
      </c>
      <c r="D763" s="6" t="n">
        <f aca="false">E763+F763+G763</f>
        <v>1</v>
      </c>
      <c r="E763" s="6" t="n">
        <v>1</v>
      </c>
      <c r="F763" s="6" t="n">
        <v>0</v>
      </c>
      <c r="G763" s="8" t="n">
        <v>0</v>
      </c>
      <c r="H763" s="6" t="s">
        <v>3000</v>
      </c>
      <c r="I763" s="6" t="s">
        <v>1445</v>
      </c>
      <c r="J763" s="2" t="s">
        <v>2774</v>
      </c>
      <c r="K763" s="2" t="s">
        <v>4035</v>
      </c>
      <c r="L763" s="2" t="s">
        <v>127</v>
      </c>
      <c r="M763" s="2"/>
      <c r="N763" s="2"/>
      <c r="O763" s="2"/>
      <c r="P763" s="2" t="s">
        <v>4036</v>
      </c>
      <c r="Q763" s="6" t="s">
        <v>160</v>
      </c>
      <c r="R763" s="6" t="s">
        <v>106</v>
      </c>
      <c r="S763" s="9" t="s">
        <v>4037</v>
      </c>
      <c r="T763" s="6"/>
      <c r="U763" s="6"/>
      <c r="V763" s="10"/>
      <c r="W763" s="10" t="s">
        <v>88</v>
      </c>
      <c r="X763" s="10"/>
      <c r="Y763" s="10"/>
    </row>
    <row r="764" customFormat="false" ht="23.85" hidden="false" customHeight="false" outlineLevel="0" collapsed="false">
      <c r="A764" s="6" t="n">
        <v>763</v>
      </c>
      <c r="B764" s="7" t="s">
        <v>4038</v>
      </c>
      <c r="C764" s="6" t="str">
        <f aca="false">IF(U764&lt;&gt;"","Client",IF(D764&gt;=9,"A",IF(D764&gt;=7,"B","C")))</f>
        <v>C</v>
      </c>
      <c r="D764" s="6" t="n">
        <f aca="false">E764+F764+G764</f>
        <v>1</v>
      </c>
      <c r="E764" s="6" t="n">
        <v>1</v>
      </c>
      <c r="F764" s="6" t="n">
        <v>0</v>
      </c>
      <c r="G764" s="8" t="n">
        <v>0</v>
      </c>
      <c r="H764" s="6" t="s">
        <v>1215</v>
      </c>
      <c r="I764" s="6" t="s">
        <v>1445</v>
      </c>
      <c r="J764" s="2" t="s">
        <v>4039</v>
      </c>
      <c r="K764" s="2" t="s">
        <v>4040</v>
      </c>
      <c r="L764" s="2" t="s">
        <v>102</v>
      </c>
      <c r="M764" s="2"/>
      <c r="N764" s="2"/>
      <c r="O764" s="2"/>
      <c r="P764" s="2" t="s">
        <v>4041</v>
      </c>
      <c r="Q764" s="6" t="s">
        <v>256</v>
      </c>
      <c r="R764" s="6" t="s">
        <v>106</v>
      </c>
      <c r="S764" s="9" t="s">
        <v>4042</v>
      </c>
      <c r="T764" s="6"/>
      <c r="U764" s="6"/>
      <c r="V764" s="10"/>
      <c r="W764" s="10" t="s">
        <v>88</v>
      </c>
      <c r="X764" s="10"/>
      <c r="Y764" s="10"/>
    </row>
    <row r="765" customFormat="false" ht="23.85" hidden="false" customHeight="false" outlineLevel="0" collapsed="false">
      <c r="A765" s="6" t="n">
        <v>764</v>
      </c>
      <c r="B765" s="7" t="s">
        <v>4043</v>
      </c>
      <c r="C765" s="6" t="str">
        <f aca="false">IF(U765&lt;&gt;"","Client",IF(D765&gt;=9,"A",IF(D765&gt;=7,"B","C")))</f>
        <v>C</v>
      </c>
      <c r="D765" s="6" t="n">
        <f aca="false">E765+F765+G765</f>
        <v>1</v>
      </c>
      <c r="E765" s="6" t="n">
        <v>1</v>
      </c>
      <c r="F765" s="6" t="n">
        <v>0</v>
      </c>
      <c r="G765" s="8" t="n">
        <v>0</v>
      </c>
      <c r="H765" s="6" t="s">
        <v>1598</v>
      </c>
      <c r="I765" s="6" t="s">
        <v>1445</v>
      </c>
      <c r="J765" s="2" t="s">
        <v>4044</v>
      </c>
      <c r="K765" s="2" t="s">
        <v>4045</v>
      </c>
      <c r="L765" s="2" t="s">
        <v>127</v>
      </c>
      <c r="M765" s="2"/>
      <c r="N765" s="2" t="s">
        <v>1050</v>
      </c>
      <c r="O765" s="2" t="s">
        <v>4046</v>
      </c>
      <c r="P765" s="2" t="s">
        <v>4047</v>
      </c>
      <c r="Q765" s="6" t="s">
        <v>308</v>
      </c>
      <c r="R765" s="6" t="s">
        <v>85</v>
      </c>
      <c r="S765" s="9" t="s">
        <v>309</v>
      </c>
      <c r="T765" s="6"/>
      <c r="U765" s="6"/>
      <c r="V765" s="10"/>
      <c r="W765" s="10" t="s">
        <v>88</v>
      </c>
      <c r="X765" s="10"/>
      <c r="Y765" s="10"/>
    </row>
    <row r="766" customFormat="false" ht="23.85" hidden="false" customHeight="false" outlineLevel="0" collapsed="false">
      <c r="A766" s="6" t="n">
        <v>765</v>
      </c>
      <c r="B766" s="7" t="s">
        <v>4048</v>
      </c>
      <c r="C766" s="6" t="str">
        <f aca="false">IF(U766&lt;&gt;"","Client",IF(D766&gt;=9,"A",IF(D766&gt;=7,"B","C")))</f>
        <v>C</v>
      </c>
      <c r="D766" s="6" t="n">
        <f aca="false">E766+F766+G766</f>
        <v>1</v>
      </c>
      <c r="E766" s="6" t="n">
        <v>1</v>
      </c>
      <c r="F766" s="6" t="n">
        <v>0</v>
      </c>
      <c r="G766" s="8" t="n">
        <v>0</v>
      </c>
      <c r="H766" s="6" t="s">
        <v>2312</v>
      </c>
      <c r="I766" s="6" t="s">
        <v>1445</v>
      </c>
      <c r="J766" s="2" t="s">
        <v>4049</v>
      </c>
      <c r="K766" s="2" t="s">
        <v>4050</v>
      </c>
      <c r="L766" s="2" t="s">
        <v>127</v>
      </c>
      <c r="M766" s="2"/>
      <c r="N766" s="2"/>
      <c r="O766" s="2"/>
      <c r="P766" s="2" t="s">
        <v>4051</v>
      </c>
      <c r="Q766" s="6" t="s">
        <v>2166</v>
      </c>
      <c r="R766" s="6" t="s">
        <v>106</v>
      </c>
      <c r="S766" s="9" t="s">
        <v>4052</v>
      </c>
      <c r="T766" s="6"/>
      <c r="U766" s="6"/>
      <c r="V766" s="10"/>
      <c r="W766" s="10" t="s">
        <v>88</v>
      </c>
      <c r="X766" s="10"/>
      <c r="Y766" s="10"/>
    </row>
    <row r="767" customFormat="false" ht="15" hidden="false" customHeight="false" outlineLevel="0" collapsed="false">
      <c r="A767" s="6" t="n">
        <v>766</v>
      </c>
      <c r="B767" s="7" t="s">
        <v>4053</v>
      </c>
      <c r="C767" s="6" t="str">
        <f aca="false">IF(U767&lt;&gt;"","Client",IF(D767&gt;=9,"A",IF(D767&gt;=7,"B","C")))</f>
        <v>C</v>
      </c>
      <c r="D767" s="6" t="n">
        <f aca="false">E767+F767+G767</f>
        <v>1</v>
      </c>
      <c r="E767" s="6" t="n">
        <v>1</v>
      </c>
      <c r="F767" s="6" t="n">
        <v>0</v>
      </c>
      <c r="G767" s="8" t="n">
        <v>0</v>
      </c>
      <c r="H767" s="6" t="s">
        <v>1215</v>
      </c>
      <c r="I767" s="6" t="s">
        <v>1445</v>
      </c>
      <c r="J767" s="2" t="s">
        <v>4054</v>
      </c>
      <c r="K767" s="2" t="s">
        <v>1784</v>
      </c>
      <c r="L767" s="2" t="s">
        <v>102</v>
      </c>
      <c r="M767" s="2"/>
      <c r="N767" s="2"/>
      <c r="O767" s="2"/>
      <c r="P767" s="2" t="s">
        <v>4055</v>
      </c>
      <c r="Q767" s="6" t="s">
        <v>1455</v>
      </c>
      <c r="R767" s="6" t="s">
        <v>106</v>
      </c>
      <c r="S767" s="9" t="s">
        <v>4056</v>
      </c>
      <c r="T767" s="6"/>
      <c r="U767" s="6"/>
      <c r="V767" s="10"/>
      <c r="W767" s="10" t="s">
        <v>88</v>
      </c>
      <c r="X767" s="10"/>
      <c r="Y767" s="10"/>
    </row>
    <row r="768" customFormat="false" ht="15" hidden="false" customHeight="false" outlineLevel="0" collapsed="false">
      <c r="A768" s="6" t="n">
        <v>767</v>
      </c>
      <c r="B768" s="7" t="s">
        <v>4057</v>
      </c>
      <c r="C768" s="6" t="str">
        <f aca="false">IF(U768&lt;&gt;"","Client",IF(D768&gt;=9,"A",IF(D768&gt;=7,"B","C")))</f>
        <v>C</v>
      </c>
      <c r="D768" s="6" t="n">
        <f aca="false">E768+F768+G768</f>
        <v>1</v>
      </c>
      <c r="E768" s="6" t="n">
        <v>1</v>
      </c>
      <c r="F768" s="6" t="n">
        <v>0</v>
      </c>
      <c r="G768" s="8" t="n">
        <v>0</v>
      </c>
      <c r="H768" s="6" t="s">
        <v>1598</v>
      </c>
      <c r="I768" s="6" t="s">
        <v>1445</v>
      </c>
      <c r="J768" s="2" t="s">
        <v>4058</v>
      </c>
      <c r="K768" s="2" t="s">
        <v>4059</v>
      </c>
      <c r="L768" s="2" t="s">
        <v>127</v>
      </c>
      <c r="M768" s="2"/>
      <c r="N768" s="2"/>
      <c r="O768" s="2"/>
      <c r="P768" s="2" t="s">
        <v>4060</v>
      </c>
      <c r="Q768" s="6" t="s">
        <v>1943</v>
      </c>
      <c r="R768" s="6" t="s">
        <v>106</v>
      </c>
      <c r="S768" s="9" t="s">
        <v>4061</v>
      </c>
      <c r="T768" s="6"/>
      <c r="U768" s="6"/>
      <c r="V768" s="10"/>
      <c r="W768" s="10" t="s">
        <v>88</v>
      </c>
      <c r="X768" s="10"/>
      <c r="Y768" s="10"/>
    </row>
    <row r="769" customFormat="false" ht="23.85" hidden="false" customHeight="false" outlineLevel="0" collapsed="false">
      <c r="A769" s="6" t="n">
        <v>768</v>
      </c>
      <c r="B769" s="7" t="s">
        <v>4062</v>
      </c>
      <c r="C769" s="6" t="str">
        <f aca="false">IF(U769&lt;&gt;"","Client",IF(D769&gt;=9,"A",IF(D769&gt;=7,"B","C")))</f>
        <v>C</v>
      </c>
      <c r="D769" s="6" t="n">
        <f aca="false">E769+F769+G769</f>
        <v>1</v>
      </c>
      <c r="E769" s="6" t="n">
        <v>1</v>
      </c>
      <c r="F769" s="6" t="n">
        <v>0</v>
      </c>
      <c r="G769" s="8" t="n">
        <v>0</v>
      </c>
      <c r="H769" s="6" t="s">
        <v>1598</v>
      </c>
      <c r="I769" s="6" t="s">
        <v>1445</v>
      </c>
      <c r="J769" s="2" t="s">
        <v>4063</v>
      </c>
      <c r="K769" s="2" t="s">
        <v>4064</v>
      </c>
      <c r="L769" s="2" t="s">
        <v>1362</v>
      </c>
      <c r="M769" s="2"/>
      <c r="N769" s="2"/>
      <c r="O769" s="2" t="s">
        <v>4065</v>
      </c>
      <c r="P769" s="2" t="s">
        <v>4066</v>
      </c>
      <c r="Q769" s="6" t="s">
        <v>160</v>
      </c>
      <c r="R769" s="6" t="s">
        <v>106</v>
      </c>
      <c r="S769" s="9" t="s">
        <v>4067</v>
      </c>
      <c r="T769" s="9" t="s">
        <v>3730</v>
      </c>
      <c r="U769" s="6"/>
      <c r="V769" s="10"/>
      <c r="W769" s="10" t="s">
        <v>88</v>
      </c>
      <c r="X769" s="10"/>
      <c r="Y769" s="10"/>
    </row>
    <row r="770" customFormat="false" ht="15" hidden="false" customHeight="false" outlineLevel="0" collapsed="false">
      <c r="A770" s="6" t="n">
        <v>769</v>
      </c>
      <c r="B770" s="7" t="s">
        <v>4068</v>
      </c>
      <c r="C770" s="6" t="str">
        <f aca="false">IF(U770&lt;&gt;"","Client",IF(D770&gt;=9,"A",IF(D770&gt;=7,"B","C")))</f>
        <v>C</v>
      </c>
      <c r="D770" s="6" t="n">
        <f aca="false">E770+F770+G770</f>
        <v>1</v>
      </c>
      <c r="E770" s="6" t="n">
        <v>1</v>
      </c>
      <c r="F770" s="6" t="n">
        <v>0</v>
      </c>
      <c r="G770" s="8" t="n">
        <v>0</v>
      </c>
      <c r="H770" s="6" t="s">
        <v>1215</v>
      </c>
      <c r="I770" s="6" t="s">
        <v>1445</v>
      </c>
      <c r="J770" s="2" t="s">
        <v>4068</v>
      </c>
      <c r="K770" s="2" t="s">
        <v>4069</v>
      </c>
      <c r="L770" s="2" t="s">
        <v>102</v>
      </c>
      <c r="M770" s="2"/>
      <c r="N770" s="2"/>
      <c r="O770" s="2"/>
      <c r="P770" s="2" t="s">
        <v>4070</v>
      </c>
      <c r="Q770" s="6" t="s">
        <v>4071</v>
      </c>
      <c r="R770" s="6" t="s">
        <v>106</v>
      </c>
      <c r="S770" s="9" t="s">
        <v>4072</v>
      </c>
      <c r="T770" s="6"/>
      <c r="U770" s="6"/>
      <c r="V770" s="10"/>
      <c r="W770" s="10" t="s">
        <v>88</v>
      </c>
      <c r="X770" s="10"/>
      <c r="Y770" s="10"/>
    </row>
    <row r="771" customFormat="false" ht="23.85" hidden="false" customHeight="false" outlineLevel="0" collapsed="false">
      <c r="A771" s="6" t="n">
        <v>770</v>
      </c>
      <c r="B771" s="7" t="s">
        <v>4073</v>
      </c>
      <c r="C771" s="6" t="str">
        <f aca="false">IF(U771&lt;&gt;"","Client",IF(D771&gt;=9,"A",IF(D771&gt;=7,"B","C")))</f>
        <v>C</v>
      </c>
      <c r="D771" s="6" t="n">
        <f aca="false">E771+F771+G771</f>
        <v>1</v>
      </c>
      <c r="E771" s="6" t="n">
        <v>1</v>
      </c>
      <c r="F771" s="6" t="n">
        <v>0</v>
      </c>
      <c r="G771" s="8" t="n">
        <v>0</v>
      </c>
      <c r="H771" s="6" t="s">
        <v>1598</v>
      </c>
      <c r="I771" s="6" t="s">
        <v>1445</v>
      </c>
      <c r="J771" s="2" t="s">
        <v>708</v>
      </c>
      <c r="K771" s="2" t="s">
        <v>1667</v>
      </c>
      <c r="L771" s="2" t="s">
        <v>167</v>
      </c>
      <c r="M771" s="2"/>
      <c r="N771" s="2"/>
      <c r="O771" s="2"/>
      <c r="P771" s="2" t="s">
        <v>4074</v>
      </c>
      <c r="Q771" s="6" t="s">
        <v>308</v>
      </c>
      <c r="R771" s="6" t="s">
        <v>85</v>
      </c>
      <c r="S771" s="9" t="s">
        <v>4075</v>
      </c>
      <c r="T771" s="6"/>
      <c r="U771" s="6"/>
      <c r="V771" s="10"/>
      <c r="W771" s="10" t="s">
        <v>88</v>
      </c>
      <c r="X771" s="10"/>
      <c r="Y771" s="10"/>
    </row>
    <row r="772" customFormat="false" ht="23.85" hidden="false" customHeight="false" outlineLevel="0" collapsed="false">
      <c r="A772" s="6" t="n">
        <v>771</v>
      </c>
      <c r="B772" s="7" t="s">
        <v>4076</v>
      </c>
      <c r="C772" s="6" t="str">
        <f aca="false">IF(U772&lt;&gt;"","Client",IF(D772&gt;=9,"A",IF(D772&gt;=7,"B","C")))</f>
        <v>C</v>
      </c>
      <c r="D772" s="6" t="n">
        <f aca="false">E772+F772+G772</f>
        <v>1</v>
      </c>
      <c r="E772" s="6" t="n">
        <v>1</v>
      </c>
      <c r="F772" s="6" t="n">
        <v>0</v>
      </c>
      <c r="G772" s="8" t="n">
        <v>0</v>
      </c>
      <c r="H772" s="6" t="s">
        <v>1598</v>
      </c>
      <c r="I772" s="6" t="s">
        <v>1445</v>
      </c>
      <c r="J772" s="2" t="s">
        <v>2307</v>
      </c>
      <c r="K772" s="2" t="s">
        <v>1159</v>
      </c>
      <c r="L772" s="2" t="s">
        <v>167</v>
      </c>
      <c r="M772" s="2"/>
      <c r="N772" s="2"/>
      <c r="O772" s="2"/>
      <c r="P772" s="2" t="s">
        <v>4077</v>
      </c>
      <c r="Q772" s="6" t="s">
        <v>461</v>
      </c>
      <c r="R772" s="6" t="s">
        <v>85</v>
      </c>
      <c r="S772" s="9" t="s">
        <v>4078</v>
      </c>
      <c r="T772" s="6"/>
      <c r="U772" s="6"/>
      <c r="V772" s="10"/>
      <c r="W772" s="10" t="s">
        <v>88</v>
      </c>
      <c r="X772" s="10"/>
      <c r="Y772" s="10"/>
    </row>
    <row r="773" customFormat="false" ht="23.85" hidden="false" customHeight="false" outlineLevel="0" collapsed="false">
      <c r="A773" s="6" t="n">
        <v>772</v>
      </c>
      <c r="B773" s="7" t="s">
        <v>4079</v>
      </c>
      <c r="C773" s="6" t="str">
        <f aca="false">IF(U773&lt;&gt;"","Client",IF(D773&gt;=9,"A",IF(D773&gt;=7,"B","C")))</f>
        <v>C</v>
      </c>
      <c r="D773" s="6" t="n">
        <f aca="false">E773+F773+G773</f>
        <v>1</v>
      </c>
      <c r="E773" s="6" t="n">
        <v>1</v>
      </c>
      <c r="F773" s="6" t="n">
        <v>0</v>
      </c>
      <c r="G773" s="8" t="n">
        <v>0</v>
      </c>
      <c r="H773" s="6" t="s">
        <v>1598</v>
      </c>
      <c r="I773" s="6" t="s">
        <v>1445</v>
      </c>
      <c r="J773" s="2" t="s">
        <v>2307</v>
      </c>
      <c r="K773" s="2" t="s">
        <v>1159</v>
      </c>
      <c r="L773" s="2" t="s">
        <v>167</v>
      </c>
      <c r="M773" s="2"/>
      <c r="N773" s="2"/>
      <c r="O773" s="2"/>
      <c r="P773" s="2" t="s">
        <v>4080</v>
      </c>
      <c r="Q773" s="6" t="s">
        <v>160</v>
      </c>
      <c r="R773" s="6" t="s">
        <v>85</v>
      </c>
      <c r="S773" s="9" t="s">
        <v>4081</v>
      </c>
      <c r="T773" s="6"/>
      <c r="U773" s="6"/>
      <c r="V773" s="10"/>
      <c r="W773" s="10" t="s">
        <v>88</v>
      </c>
      <c r="X773" s="10"/>
      <c r="Y773" s="10"/>
    </row>
    <row r="774" customFormat="false" ht="23.85" hidden="false" customHeight="false" outlineLevel="0" collapsed="false">
      <c r="A774" s="6" t="n">
        <v>773</v>
      </c>
      <c r="B774" s="7" t="s">
        <v>4082</v>
      </c>
      <c r="C774" s="6" t="str">
        <f aca="false">IF(U774&lt;&gt;"","Client",IF(D774&gt;=9,"A",IF(D774&gt;=7,"B","C")))</f>
        <v>C</v>
      </c>
      <c r="D774" s="6" t="n">
        <f aca="false">E774+F774+G774</f>
        <v>1</v>
      </c>
      <c r="E774" s="6" t="n">
        <v>1</v>
      </c>
      <c r="F774" s="6" t="n">
        <v>0</v>
      </c>
      <c r="G774" s="8" t="n">
        <v>0</v>
      </c>
      <c r="H774" s="6" t="s">
        <v>1598</v>
      </c>
      <c r="I774" s="6" t="s">
        <v>1445</v>
      </c>
      <c r="J774" s="2" t="s">
        <v>3863</v>
      </c>
      <c r="K774" s="2" t="s">
        <v>1784</v>
      </c>
      <c r="L774" s="2" t="s">
        <v>102</v>
      </c>
      <c r="M774" s="2"/>
      <c r="N774" s="2"/>
      <c r="O774" s="2"/>
      <c r="P774" s="2" t="s">
        <v>4083</v>
      </c>
      <c r="Q774" s="6" t="s">
        <v>655</v>
      </c>
      <c r="R774" s="6" t="s">
        <v>106</v>
      </c>
      <c r="S774" s="9" t="s">
        <v>4084</v>
      </c>
      <c r="T774" s="6"/>
      <c r="U774" s="6"/>
      <c r="V774" s="10"/>
      <c r="W774" s="10" t="s">
        <v>88</v>
      </c>
      <c r="X774" s="10"/>
      <c r="Y774" s="10"/>
    </row>
    <row r="775" customFormat="false" ht="23.85" hidden="false" customHeight="false" outlineLevel="0" collapsed="false">
      <c r="A775" s="6" t="n">
        <v>774</v>
      </c>
      <c r="B775" s="7" t="s">
        <v>4085</v>
      </c>
      <c r="C775" s="6" t="str">
        <f aca="false">IF(U775&lt;&gt;"","Client",IF(D775&gt;=9,"A",IF(D775&gt;=7,"B","C")))</f>
        <v>C</v>
      </c>
      <c r="D775" s="6" t="n">
        <f aca="false">E775+F775+G775</f>
        <v>1</v>
      </c>
      <c r="E775" s="6" t="n">
        <v>1</v>
      </c>
      <c r="F775" s="6" t="n">
        <v>0</v>
      </c>
      <c r="G775" s="8" t="n">
        <v>0</v>
      </c>
      <c r="H775" s="6" t="s">
        <v>1215</v>
      </c>
      <c r="I775" s="6" t="s">
        <v>1445</v>
      </c>
      <c r="J775" s="2" t="s">
        <v>4086</v>
      </c>
      <c r="K775" s="2" t="s">
        <v>2253</v>
      </c>
      <c r="L775" s="2" t="s">
        <v>652</v>
      </c>
      <c r="M775" s="2"/>
      <c r="N775" s="2"/>
      <c r="O775" s="2"/>
      <c r="P775" s="2" t="s">
        <v>4087</v>
      </c>
      <c r="Q775" s="6" t="s">
        <v>281</v>
      </c>
      <c r="R775" s="6" t="s">
        <v>106</v>
      </c>
      <c r="S775" s="9" t="s">
        <v>4088</v>
      </c>
      <c r="T775" s="6"/>
      <c r="U775" s="6"/>
      <c r="V775" s="10"/>
      <c r="W775" s="10" t="s">
        <v>88</v>
      </c>
      <c r="X775" s="10"/>
      <c r="Y775" s="10"/>
    </row>
    <row r="776" customFormat="false" ht="23.85" hidden="false" customHeight="false" outlineLevel="0" collapsed="false">
      <c r="A776" s="6" t="n">
        <v>775</v>
      </c>
      <c r="B776" s="7" t="s">
        <v>4089</v>
      </c>
      <c r="C776" s="6" t="str">
        <f aca="false">IF(U776&lt;&gt;"","Client",IF(D776&gt;=9,"A",IF(D776&gt;=7,"B","C")))</f>
        <v>C</v>
      </c>
      <c r="D776" s="6" t="n">
        <f aca="false">E776+F776+G776</f>
        <v>1</v>
      </c>
      <c r="E776" s="6" t="n">
        <v>1</v>
      </c>
      <c r="F776" s="6" t="n">
        <v>0</v>
      </c>
      <c r="G776" s="8" t="n">
        <v>0</v>
      </c>
      <c r="H776" s="6" t="s">
        <v>1598</v>
      </c>
      <c r="I776" s="6" t="s">
        <v>1445</v>
      </c>
      <c r="J776" s="2" t="s">
        <v>4090</v>
      </c>
      <c r="K776" s="2" t="s">
        <v>3313</v>
      </c>
      <c r="L776" s="2" t="s">
        <v>1539</v>
      </c>
      <c r="M776" s="2"/>
      <c r="N776" s="2"/>
      <c r="O776" s="2"/>
      <c r="P776" s="2" t="s">
        <v>4091</v>
      </c>
      <c r="Q776" s="6" t="s">
        <v>308</v>
      </c>
      <c r="R776" s="6" t="s">
        <v>106</v>
      </c>
      <c r="S776" s="9" t="s">
        <v>4092</v>
      </c>
      <c r="T776" s="6"/>
      <c r="U776" s="6"/>
      <c r="V776" s="10"/>
      <c r="W776" s="10" t="s">
        <v>88</v>
      </c>
      <c r="X776" s="10"/>
      <c r="Y776" s="10"/>
    </row>
    <row r="777" customFormat="false" ht="23.85" hidden="false" customHeight="false" outlineLevel="0" collapsed="false">
      <c r="A777" s="6" t="n">
        <v>776</v>
      </c>
      <c r="B777" s="7" t="s">
        <v>4093</v>
      </c>
      <c r="C777" s="6" t="str">
        <f aca="false">IF(U777&lt;&gt;"","Client",IF(D777&gt;=9,"A",IF(D777&gt;=7,"B","C")))</f>
        <v>C</v>
      </c>
      <c r="D777" s="6" t="n">
        <f aca="false">E777+F777+G777</f>
        <v>1</v>
      </c>
      <c r="E777" s="6" t="n">
        <v>1</v>
      </c>
      <c r="F777" s="6" t="n">
        <v>0</v>
      </c>
      <c r="G777" s="8" t="n">
        <v>0</v>
      </c>
      <c r="H777" s="6" t="s">
        <v>1598</v>
      </c>
      <c r="I777" s="6" t="s">
        <v>1445</v>
      </c>
      <c r="J777" s="2" t="s">
        <v>3832</v>
      </c>
      <c r="K777" s="2" t="s">
        <v>1159</v>
      </c>
      <c r="L777" s="2" t="s">
        <v>167</v>
      </c>
      <c r="M777" s="2"/>
      <c r="N777" s="2"/>
      <c r="O777" s="2" t="s">
        <v>4094</v>
      </c>
      <c r="P777" s="2" t="s">
        <v>4095</v>
      </c>
      <c r="Q777" s="6" t="s">
        <v>226</v>
      </c>
      <c r="R777" s="6" t="s">
        <v>106</v>
      </c>
      <c r="S777" s="9" t="s">
        <v>4096</v>
      </c>
      <c r="T777" s="6"/>
      <c r="U777" s="6"/>
      <c r="V777" s="10"/>
      <c r="W777" s="10" t="s">
        <v>88</v>
      </c>
      <c r="X777" s="10"/>
      <c r="Y777" s="10"/>
    </row>
    <row r="778" customFormat="false" ht="23.85" hidden="false" customHeight="false" outlineLevel="0" collapsed="false">
      <c r="A778" s="6" t="n">
        <v>777</v>
      </c>
      <c r="B778" s="7" t="s">
        <v>4097</v>
      </c>
      <c r="C778" s="6" t="str">
        <f aca="false">IF(U778&lt;&gt;"","Client",IF(D778&gt;=9,"A",IF(D778&gt;=7,"B","C")))</f>
        <v>C</v>
      </c>
      <c r="D778" s="6" t="n">
        <f aca="false">E778+F778+G778</f>
        <v>1</v>
      </c>
      <c r="E778" s="6" t="n">
        <v>1</v>
      </c>
      <c r="F778" s="6" t="n">
        <v>0</v>
      </c>
      <c r="G778" s="8" t="n">
        <v>0</v>
      </c>
      <c r="H778" s="6" t="s">
        <v>1583</v>
      </c>
      <c r="I778" s="6" t="s">
        <v>1445</v>
      </c>
      <c r="J778" s="2" t="s">
        <v>2999</v>
      </c>
      <c r="K778" s="2" t="s">
        <v>4098</v>
      </c>
      <c r="L778" s="2" t="s">
        <v>600</v>
      </c>
      <c r="M778" s="2"/>
      <c r="N778" s="2"/>
      <c r="O778" s="2" t="s">
        <v>4099</v>
      </c>
      <c r="P778" s="2" t="s">
        <v>4100</v>
      </c>
      <c r="Q778" s="6" t="s">
        <v>143</v>
      </c>
      <c r="R778" s="6" t="s">
        <v>106</v>
      </c>
      <c r="S778" s="9" t="s">
        <v>4101</v>
      </c>
      <c r="T778" s="9" t="s">
        <v>3342</v>
      </c>
      <c r="U778" s="6"/>
      <c r="V778" s="10"/>
      <c r="W778" s="10" t="s">
        <v>88</v>
      </c>
      <c r="X778" s="10"/>
      <c r="Y778" s="10"/>
    </row>
    <row r="779" customFormat="false" ht="23.85" hidden="false" customHeight="false" outlineLevel="0" collapsed="false">
      <c r="A779" s="6" t="n">
        <v>778</v>
      </c>
      <c r="B779" s="7" t="s">
        <v>4102</v>
      </c>
      <c r="C779" s="6" t="str">
        <f aca="false">IF(U779&lt;&gt;"","Client",IF(D779&gt;=9,"A",IF(D779&gt;=7,"B","C")))</f>
        <v>C</v>
      </c>
      <c r="D779" s="6" t="n">
        <f aca="false">E779+F779+G779</f>
        <v>1</v>
      </c>
      <c r="E779" s="6" t="n">
        <v>1</v>
      </c>
      <c r="F779" s="6" t="n">
        <v>0</v>
      </c>
      <c r="G779" s="8" t="n">
        <v>0</v>
      </c>
      <c r="H779" s="6" t="s">
        <v>2312</v>
      </c>
      <c r="I779" s="6" t="s">
        <v>1445</v>
      </c>
      <c r="J779" s="2" t="s">
        <v>4103</v>
      </c>
      <c r="K779" s="2" t="s">
        <v>760</v>
      </c>
      <c r="L779" s="2" t="s">
        <v>102</v>
      </c>
      <c r="M779" s="2"/>
      <c r="N779" s="2"/>
      <c r="O779" s="2"/>
      <c r="P779" s="2" t="s">
        <v>4104</v>
      </c>
      <c r="Q779" s="6" t="s">
        <v>440</v>
      </c>
      <c r="R779" s="6" t="s">
        <v>85</v>
      </c>
      <c r="S779" s="9" t="s">
        <v>4105</v>
      </c>
      <c r="T779" s="6"/>
      <c r="U779" s="6"/>
      <c r="V779" s="10"/>
      <c r="W779" s="10" t="s">
        <v>88</v>
      </c>
      <c r="X779" s="10"/>
      <c r="Y779" s="10"/>
    </row>
    <row r="780" customFormat="false" ht="15" hidden="false" customHeight="false" outlineLevel="0" collapsed="false">
      <c r="A780" s="6" t="n">
        <v>779</v>
      </c>
      <c r="B780" s="7" t="s">
        <v>4106</v>
      </c>
      <c r="C780" s="6" t="str">
        <f aca="false">IF(U780&lt;&gt;"","Client",IF(D780&gt;=9,"A",IF(D780&gt;=7,"B","C")))</f>
        <v>C</v>
      </c>
      <c r="D780" s="6" t="n">
        <f aca="false">E780+F780+G780</f>
        <v>1</v>
      </c>
      <c r="E780" s="6" t="n">
        <v>1</v>
      </c>
      <c r="F780" s="6" t="n">
        <v>0</v>
      </c>
      <c r="G780" s="8" t="n">
        <v>0</v>
      </c>
      <c r="H780" s="6" t="s">
        <v>1598</v>
      </c>
      <c r="I780" s="6" t="s">
        <v>1445</v>
      </c>
      <c r="J780" s="2" t="s">
        <v>3832</v>
      </c>
      <c r="K780" s="2" t="s">
        <v>1159</v>
      </c>
      <c r="L780" s="2" t="s">
        <v>167</v>
      </c>
      <c r="M780" s="2"/>
      <c r="N780" s="2"/>
      <c r="O780" s="2"/>
      <c r="P780" s="2" t="s">
        <v>4107</v>
      </c>
      <c r="Q780" s="6" t="s">
        <v>84</v>
      </c>
      <c r="R780" s="6" t="s">
        <v>85</v>
      </c>
      <c r="S780" s="9" t="s">
        <v>4108</v>
      </c>
      <c r="T780" s="6"/>
      <c r="U780" s="6"/>
      <c r="V780" s="10"/>
      <c r="W780" s="10" t="s">
        <v>88</v>
      </c>
      <c r="X780" s="10"/>
      <c r="Y780" s="10"/>
    </row>
    <row r="781" customFormat="false" ht="23.85" hidden="false" customHeight="false" outlineLevel="0" collapsed="false">
      <c r="A781" s="6" t="n">
        <v>780</v>
      </c>
      <c r="B781" s="7" t="s">
        <v>4109</v>
      </c>
      <c r="C781" s="6" t="str">
        <f aca="false">IF(U781&lt;&gt;"","Client",IF(D781&gt;=9,"A",IF(D781&gt;=7,"B","C")))</f>
        <v>C</v>
      </c>
      <c r="D781" s="6" t="n">
        <f aca="false">E781+F781+G781</f>
        <v>1</v>
      </c>
      <c r="E781" s="6" t="n">
        <v>1</v>
      </c>
      <c r="F781" s="6" t="n">
        <v>0</v>
      </c>
      <c r="G781" s="8" t="n">
        <v>0</v>
      </c>
      <c r="H781" s="6" t="s">
        <v>1598</v>
      </c>
      <c r="I781" s="6" t="s">
        <v>1445</v>
      </c>
      <c r="J781" s="2" t="s">
        <v>4110</v>
      </c>
      <c r="K781" s="2" t="s">
        <v>4111</v>
      </c>
      <c r="L781" s="2" t="s">
        <v>652</v>
      </c>
      <c r="M781" s="2"/>
      <c r="N781" s="2"/>
      <c r="O781" s="2"/>
      <c r="P781" s="2" t="s">
        <v>4112</v>
      </c>
      <c r="Q781" s="6" t="s">
        <v>411</v>
      </c>
      <c r="R781" s="6" t="s">
        <v>106</v>
      </c>
      <c r="S781" s="9" t="s">
        <v>4113</v>
      </c>
      <c r="T781" s="6"/>
      <c r="U781" s="6"/>
      <c r="V781" s="10"/>
      <c r="W781" s="10" t="s">
        <v>88</v>
      </c>
      <c r="X781" s="10"/>
      <c r="Y781" s="10"/>
    </row>
    <row r="782" customFormat="false" ht="23.85" hidden="false" customHeight="false" outlineLevel="0" collapsed="false">
      <c r="A782" s="6" t="n">
        <v>781</v>
      </c>
      <c r="B782" s="7" t="s">
        <v>4114</v>
      </c>
      <c r="C782" s="6" t="str">
        <f aca="false">IF(U782&lt;&gt;"","Client",IF(D782&gt;=9,"A",IF(D782&gt;=7,"B","C")))</f>
        <v>C</v>
      </c>
      <c r="D782" s="6" t="n">
        <f aca="false">E782+F782+G782</f>
        <v>1</v>
      </c>
      <c r="E782" s="6" t="n">
        <v>1</v>
      </c>
      <c r="F782" s="6" t="n">
        <v>0</v>
      </c>
      <c r="G782" s="8" t="n">
        <v>0</v>
      </c>
      <c r="H782" s="6" t="s">
        <v>1598</v>
      </c>
      <c r="I782" s="6" t="s">
        <v>1445</v>
      </c>
      <c r="J782" s="2" t="s">
        <v>3838</v>
      </c>
      <c r="K782" s="2" t="s">
        <v>4115</v>
      </c>
      <c r="L782" s="2" t="s">
        <v>127</v>
      </c>
      <c r="M782" s="2"/>
      <c r="N782" s="2"/>
      <c r="O782" s="2"/>
      <c r="P782" s="2" t="s">
        <v>4116</v>
      </c>
      <c r="Q782" s="6" t="s">
        <v>97</v>
      </c>
      <c r="R782" s="6" t="s">
        <v>106</v>
      </c>
      <c r="S782" s="9" t="s">
        <v>4117</v>
      </c>
      <c r="T782" s="6"/>
      <c r="U782" s="6"/>
      <c r="V782" s="10"/>
      <c r="W782" s="10" t="s">
        <v>88</v>
      </c>
      <c r="X782" s="10"/>
      <c r="Y782" s="10"/>
    </row>
    <row r="783" customFormat="false" ht="15" hidden="false" customHeight="false" outlineLevel="0" collapsed="false">
      <c r="A783" s="6" t="n">
        <v>782</v>
      </c>
      <c r="B783" s="7" t="s">
        <v>4118</v>
      </c>
      <c r="C783" s="6" t="str">
        <f aca="false">IF(U783&lt;&gt;"","Client",IF(D783&gt;=9,"A",IF(D783&gt;=7,"B","C")))</f>
        <v>C</v>
      </c>
      <c r="D783" s="6" t="n">
        <f aca="false">E783+F783+G783</f>
        <v>1</v>
      </c>
      <c r="E783" s="6" t="n">
        <v>1</v>
      </c>
      <c r="F783" s="6" t="n">
        <v>0</v>
      </c>
      <c r="G783" s="8" t="n">
        <v>0</v>
      </c>
      <c r="H783" s="6" t="s">
        <v>1598</v>
      </c>
      <c r="I783" s="6" t="s">
        <v>1445</v>
      </c>
      <c r="J783" s="2" t="s">
        <v>4119</v>
      </c>
      <c r="K783" s="2" t="s">
        <v>3799</v>
      </c>
      <c r="L783" s="2" t="s">
        <v>127</v>
      </c>
      <c r="M783" s="2"/>
      <c r="N783" s="2"/>
      <c r="O783" s="2"/>
      <c r="P783" s="2" t="s">
        <v>4120</v>
      </c>
      <c r="Q783" s="6" t="s">
        <v>256</v>
      </c>
      <c r="R783" s="6" t="s">
        <v>85</v>
      </c>
      <c r="S783" s="9" t="s">
        <v>1881</v>
      </c>
      <c r="T783" s="6"/>
      <c r="U783" s="6"/>
      <c r="V783" s="10"/>
      <c r="W783" s="10" t="s">
        <v>88</v>
      </c>
      <c r="X783" s="10"/>
      <c r="Y783" s="10"/>
    </row>
    <row r="784" customFormat="false" ht="23.85" hidden="false" customHeight="false" outlineLevel="0" collapsed="false">
      <c r="A784" s="6" t="n">
        <v>783</v>
      </c>
      <c r="B784" s="7" t="s">
        <v>4121</v>
      </c>
      <c r="C784" s="6" t="str">
        <f aca="false">IF(U784&lt;&gt;"","Client",IF(D784&gt;=9,"A",IF(D784&gt;=7,"B","C")))</f>
        <v>C</v>
      </c>
      <c r="D784" s="6" t="n">
        <f aca="false">E784+F784+G784</f>
        <v>1</v>
      </c>
      <c r="E784" s="6" t="n">
        <v>1</v>
      </c>
      <c r="F784" s="6" t="n">
        <v>0</v>
      </c>
      <c r="G784" s="8" t="n">
        <v>0</v>
      </c>
      <c r="H784" s="6" t="s">
        <v>1598</v>
      </c>
      <c r="I784" s="6" t="s">
        <v>1445</v>
      </c>
      <c r="J784" s="2" t="s">
        <v>3793</v>
      </c>
      <c r="K784" s="2" t="s">
        <v>1229</v>
      </c>
      <c r="L784" s="2" t="s">
        <v>102</v>
      </c>
      <c r="M784" s="2"/>
      <c r="N784" s="2"/>
      <c r="O784" s="2"/>
      <c r="P784" s="2" t="s">
        <v>4122</v>
      </c>
      <c r="Q784" s="6" t="s">
        <v>150</v>
      </c>
      <c r="R784" s="6" t="s">
        <v>106</v>
      </c>
      <c r="S784" s="9" t="s">
        <v>4123</v>
      </c>
      <c r="T784" s="6"/>
      <c r="U784" s="6"/>
      <c r="V784" s="10"/>
      <c r="W784" s="10" t="s">
        <v>88</v>
      </c>
      <c r="X784" s="10"/>
      <c r="Y784" s="10"/>
    </row>
    <row r="785" customFormat="false" ht="23.85" hidden="false" customHeight="false" outlineLevel="0" collapsed="false">
      <c r="A785" s="6" t="n">
        <v>784</v>
      </c>
      <c r="B785" s="7" t="s">
        <v>4124</v>
      </c>
      <c r="C785" s="6" t="str">
        <f aca="false">IF(U785&lt;&gt;"","Client",IF(D785&gt;=9,"A",IF(D785&gt;=7,"B","C")))</f>
        <v>C</v>
      </c>
      <c r="D785" s="6" t="n">
        <f aca="false">E785+F785+G785</f>
        <v>1</v>
      </c>
      <c r="E785" s="6" t="n">
        <v>1</v>
      </c>
      <c r="F785" s="6" t="n">
        <v>0</v>
      </c>
      <c r="G785" s="8" t="n">
        <v>0</v>
      </c>
      <c r="H785" s="6" t="s">
        <v>1598</v>
      </c>
      <c r="I785" s="6" t="s">
        <v>1445</v>
      </c>
      <c r="J785" s="2" t="s">
        <v>4125</v>
      </c>
      <c r="K785" s="2" t="s">
        <v>3799</v>
      </c>
      <c r="L785" s="2" t="s">
        <v>127</v>
      </c>
      <c r="M785" s="2"/>
      <c r="N785" s="2"/>
      <c r="O785" s="2" t="s">
        <v>4126</v>
      </c>
      <c r="P785" s="2" t="s">
        <v>4127</v>
      </c>
      <c r="Q785" s="6" t="s">
        <v>308</v>
      </c>
      <c r="R785" s="6" t="s">
        <v>106</v>
      </c>
      <c r="S785" s="9" t="s">
        <v>4128</v>
      </c>
      <c r="T785" s="6"/>
      <c r="U785" s="6"/>
      <c r="V785" s="10"/>
      <c r="W785" s="10" t="s">
        <v>88</v>
      </c>
      <c r="X785" s="10"/>
      <c r="Y785" s="10"/>
    </row>
    <row r="786" customFormat="false" ht="23.85" hidden="false" customHeight="false" outlineLevel="0" collapsed="false">
      <c r="A786" s="6" t="n">
        <v>785</v>
      </c>
      <c r="B786" s="7" t="s">
        <v>4129</v>
      </c>
      <c r="C786" s="6" t="str">
        <f aca="false">IF(U786&lt;&gt;"","Client",IF(D786&gt;=9,"A",IF(D786&gt;=7,"B","C")))</f>
        <v>C</v>
      </c>
      <c r="D786" s="6" t="n">
        <f aca="false">E786+F786+G786</f>
        <v>1</v>
      </c>
      <c r="E786" s="6" t="n">
        <v>1</v>
      </c>
      <c r="F786" s="6" t="n">
        <v>0</v>
      </c>
      <c r="G786" s="8" t="n">
        <v>0</v>
      </c>
      <c r="H786" s="6" t="s">
        <v>1644</v>
      </c>
      <c r="I786" s="6" t="s">
        <v>1445</v>
      </c>
      <c r="J786" s="2" t="s">
        <v>4130</v>
      </c>
      <c r="K786" s="2" t="s">
        <v>3351</v>
      </c>
      <c r="L786" s="2" t="s">
        <v>127</v>
      </c>
      <c r="M786" s="2"/>
      <c r="N786" s="2"/>
      <c r="O786" s="2" t="s">
        <v>4131</v>
      </c>
      <c r="P786" s="2" t="s">
        <v>4132</v>
      </c>
      <c r="Q786" s="6" t="s">
        <v>308</v>
      </c>
      <c r="R786" s="6" t="s">
        <v>106</v>
      </c>
      <c r="S786" s="9" t="s">
        <v>4133</v>
      </c>
      <c r="T786" s="6"/>
      <c r="U786" s="6"/>
      <c r="V786" s="10"/>
      <c r="W786" s="10" t="s">
        <v>88</v>
      </c>
      <c r="X786" s="10"/>
      <c r="Y786" s="10"/>
    </row>
    <row r="787" customFormat="false" ht="23.85" hidden="false" customHeight="false" outlineLevel="0" collapsed="false">
      <c r="A787" s="6" t="n">
        <v>786</v>
      </c>
      <c r="B787" s="7" t="s">
        <v>4134</v>
      </c>
      <c r="C787" s="6" t="str">
        <f aca="false">IF(U787&lt;&gt;"","Client",IF(D787&gt;=9,"A",IF(D787&gt;=7,"B","C")))</f>
        <v>C</v>
      </c>
      <c r="D787" s="6" t="n">
        <f aca="false">E787+F787+G787</f>
        <v>1</v>
      </c>
      <c r="E787" s="6" t="n">
        <v>1</v>
      </c>
      <c r="F787" s="6" t="n">
        <v>0</v>
      </c>
      <c r="G787" s="8" t="n">
        <v>0</v>
      </c>
      <c r="H787" s="6" t="s">
        <v>2312</v>
      </c>
      <c r="I787" s="6" t="s">
        <v>1445</v>
      </c>
      <c r="J787" s="2" t="s">
        <v>4135</v>
      </c>
      <c r="K787" s="2" t="s">
        <v>4136</v>
      </c>
      <c r="L787" s="2" t="s">
        <v>206</v>
      </c>
      <c r="M787" s="2"/>
      <c r="N787" s="2"/>
      <c r="O787" s="2"/>
      <c r="P787" s="2" t="s">
        <v>4137</v>
      </c>
      <c r="Q787" s="6" t="s">
        <v>324</v>
      </c>
      <c r="R787" s="6" t="s">
        <v>85</v>
      </c>
      <c r="S787" s="9" t="s">
        <v>4138</v>
      </c>
      <c r="T787" s="6"/>
      <c r="U787" s="6"/>
      <c r="V787" s="10"/>
      <c r="W787" s="10" t="s">
        <v>88</v>
      </c>
      <c r="X787" s="10"/>
      <c r="Y787" s="10"/>
    </row>
    <row r="788" customFormat="false" ht="23.85" hidden="false" customHeight="false" outlineLevel="0" collapsed="false">
      <c r="A788" s="6" t="n">
        <v>787</v>
      </c>
      <c r="B788" s="7" t="s">
        <v>4139</v>
      </c>
      <c r="C788" s="6" t="str">
        <f aca="false">IF(U788&lt;&gt;"","Client",IF(D788&gt;=9,"A",IF(D788&gt;=7,"B","C")))</f>
        <v>C</v>
      </c>
      <c r="D788" s="6" t="n">
        <f aca="false">E788+F788+G788</f>
        <v>1</v>
      </c>
      <c r="E788" s="6" t="n">
        <v>1</v>
      </c>
      <c r="F788" s="6" t="n">
        <v>0</v>
      </c>
      <c r="G788" s="8" t="n">
        <v>0</v>
      </c>
      <c r="H788" s="6" t="s">
        <v>2312</v>
      </c>
      <c r="I788" s="6" t="s">
        <v>1445</v>
      </c>
      <c r="J788" s="2" t="s">
        <v>4140</v>
      </c>
      <c r="K788" s="2" t="s">
        <v>1712</v>
      </c>
      <c r="L788" s="2" t="s">
        <v>127</v>
      </c>
      <c r="M788" s="2"/>
      <c r="N788" s="2"/>
      <c r="O788" s="2"/>
      <c r="P788" s="2" t="s">
        <v>4141</v>
      </c>
      <c r="Q788" s="6" t="s">
        <v>143</v>
      </c>
      <c r="R788" s="6" t="s">
        <v>106</v>
      </c>
      <c r="S788" s="9" t="s">
        <v>1715</v>
      </c>
      <c r="T788" s="6"/>
      <c r="U788" s="6"/>
      <c r="V788" s="10"/>
      <c r="W788" s="10" t="s">
        <v>88</v>
      </c>
      <c r="X788" s="10"/>
      <c r="Y788" s="10"/>
    </row>
    <row r="789" customFormat="false" ht="15" hidden="false" customHeight="false" outlineLevel="0" collapsed="false">
      <c r="A789" s="6" t="n">
        <v>788</v>
      </c>
      <c r="B789" s="7" t="s">
        <v>4142</v>
      </c>
      <c r="C789" s="6" t="str">
        <f aca="false">IF(U789&lt;&gt;"","Client",IF(D789&gt;=9,"A",IF(D789&gt;=7,"B","C")))</f>
        <v>C</v>
      </c>
      <c r="D789" s="6" t="n">
        <f aca="false">E789+F789+G789</f>
        <v>1</v>
      </c>
      <c r="E789" s="6" t="n">
        <v>1</v>
      </c>
      <c r="F789" s="6" t="n">
        <v>0</v>
      </c>
      <c r="G789" s="8" t="n">
        <v>0</v>
      </c>
      <c r="H789" s="6" t="s">
        <v>2312</v>
      </c>
      <c r="I789" s="6" t="s">
        <v>1445</v>
      </c>
      <c r="J789" s="2" t="s">
        <v>3793</v>
      </c>
      <c r="K789" s="2" t="s">
        <v>1667</v>
      </c>
      <c r="L789" s="2" t="s">
        <v>167</v>
      </c>
      <c r="M789" s="2"/>
      <c r="N789" s="2"/>
      <c r="O789" s="2"/>
      <c r="P789" s="2" t="s">
        <v>4143</v>
      </c>
      <c r="Q789" s="6" t="s">
        <v>511</v>
      </c>
      <c r="R789" s="6" t="s">
        <v>85</v>
      </c>
      <c r="S789" s="9" t="s">
        <v>4144</v>
      </c>
      <c r="T789" s="6"/>
      <c r="U789" s="6"/>
      <c r="V789" s="10"/>
      <c r="W789" s="10" t="s">
        <v>88</v>
      </c>
      <c r="X789" s="10"/>
      <c r="Y789" s="10"/>
    </row>
    <row r="790" customFormat="false" ht="23.85" hidden="false" customHeight="false" outlineLevel="0" collapsed="false">
      <c r="A790" s="6" t="n">
        <v>789</v>
      </c>
      <c r="B790" s="7" t="s">
        <v>4145</v>
      </c>
      <c r="C790" s="6" t="str">
        <f aca="false">IF(U790&lt;&gt;"","Client",IF(D790&gt;=9,"A",IF(D790&gt;=7,"B","C")))</f>
        <v>C</v>
      </c>
      <c r="D790" s="6" t="n">
        <f aca="false">E790+F790+G790</f>
        <v>1</v>
      </c>
      <c r="E790" s="6" t="n">
        <v>1</v>
      </c>
      <c r="F790" s="6" t="n">
        <v>0</v>
      </c>
      <c r="G790" s="8" t="n">
        <v>0</v>
      </c>
      <c r="H790" s="6" t="s">
        <v>1215</v>
      </c>
      <c r="I790" s="6" t="s">
        <v>1445</v>
      </c>
      <c r="J790" s="2" t="s">
        <v>4146</v>
      </c>
      <c r="K790" s="2" t="s">
        <v>724</v>
      </c>
      <c r="L790" s="2" t="s">
        <v>102</v>
      </c>
      <c r="M790" s="2"/>
      <c r="N790" s="2"/>
      <c r="O790" s="2"/>
      <c r="P790" s="2" t="s">
        <v>4147</v>
      </c>
      <c r="Q790" s="6" t="s">
        <v>130</v>
      </c>
      <c r="R790" s="6" t="s">
        <v>106</v>
      </c>
      <c r="S790" s="9" t="s">
        <v>4148</v>
      </c>
      <c r="T790" s="6"/>
      <c r="U790" s="6"/>
      <c r="V790" s="10"/>
      <c r="W790" s="10" t="s">
        <v>88</v>
      </c>
      <c r="X790" s="10"/>
      <c r="Y790" s="10"/>
    </row>
    <row r="791" customFormat="false" ht="23.85" hidden="false" customHeight="false" outlineLevel="0" collapsed="false">
      <c r="A791" s="6" t="n">
        <v>790</v>
      </c>
      <c r="B791" s="7" t="s">
        <v>4149</v>
      </c>
      <c r="C791" s="6" t="str">
        <f aca="false">IF(U791&lt;&gt;"","Client",IF(D791&gt;=9,"A",IF(D791&gt;=7,"B","C")))</f>
        <v>C</v>
      </c>
      <c r="D791" s="6" t="n">
        <f aca="false">E791+F791+G791</f>
        <v>1</v>
      </c>
      <c r="E791" s="6" t="n">
        <v>1</v>
      </c>
      <c r="F791" s="6" t="n">
        <v>0</v>
      </c>
      <c r="G791" s="8" t="n">
        <v>0</v>
      </c>
      <c r="H791" s="6" t="s">
        <v>1598</v>
      </c>
      <c r="I791" s="6" t="s">
        <v>1445</v>
      </c>
      <c r="J791" s="2" t="s">
        <v>4150</v>
      </c>
      <c r="K791" s="2" t="s">
        <v>4151</v>
      </c>
      <c r="L791" s="2" t="s">
        <v>314</v>
      </c>
      <c r="M791" s="2"/>
      <c r="N791" s="2"/>
      <c r="O791" s="2"/>
      <c r="P791" s="2" t="s">
        <v>4152</v>
      </c>
      <c r="Q791" s="6" t="s">
        <v>143</v>
      </c>
      <c r="R791" s="6" t="s">
        <v>85</v>
      </c>
      <c r="S791" s="9" t="s">
        <v>4153</v>
      </c>
      <c r="T791" s="9" t="s">
        <v>4154</v>
      </c>
      <c r="U791" s="6"/>
      <c r="V791" s="10"/>
      <c r="W791" s="10" t="s">
        <v>88</v>
      </c>
      <c r="X791" s="10"/>
      <c r="Y791" s="10"/>
    </row>
    <row r="792" customFormat="false" ht="23.85" hidden="false" customHeight="false" outlineLevel="0" collapsed="false">
      <c r="A792" s="6" t="n">
        <v>791</v>
      </c>
      <c r="B792" s="7" t="s">
        <v>4155</v>
      </c>
      <c r="C792" s="6" t="str">
        <f aca="false">IF(U792&lt;&gt;"","Client",IF(D792&gt;=9,"A",IF(D792&gt;=7,"B","C")))</f>
        <v>C</v>
      </c>
      <c r="D792" s="6" t="n">
        <f aca="false">E792+F792+G792</f>
        <v>1</v>
      </c>
      <c r="E792" s="6" t="n">
        <v>1</v>
      </c>
      <c r="F792" s="6" t="n">
        <v>0</v>
      </c>
      <c r="G792" s="8" t="n">
        <v>0</v>
      </c>
      <c r="H792" s="6" t="s">
        <v>1215</v>
      </c>
      <c r="I792" s="6" t="s">
        <v>1445</v>
      </c>
      <c r="J792" s="2" t="s">
        <v>4150</v>
      </c>
      <c r="K792" s="2" t="s">
        <v>4156</v>
      </c>
      <c r="L792" s="2" t="s">
        <v>167</v>
      </c>
      <c r="M792" s="2"/>
      <c r="N792" s="2"/>
      <c r="O792" s="2"/>
      <c r="P792" s="2" t="s">
        <v>4157</v>
      </c>
      <c r="Q792" s="6" t="s">
        <v>143</v>
      </c>
      <c r="R792" s="6" t="s">
        <v>85</v>
      </c>
      <c r="S792" s="9" t="s">
        <v>4158</v>
      </c>
      <c r="T792" s="6"/>
      <c r="U792" s="6"/>
      <c r="V792" s="10"/>
      <c r="W792" s="10" t="s">
        <v>88</v>
      </c>
      <c r="X792" s="10"/>
      <c r="Y792" s="10"/>
    </row>
    <row r="793" customFormat="false" ht="23.85" hidden="false" customHeight="false" outlineLevel="0" collapsed="false">
      <c r="A793" s="6" t="n">
        <v>792</v>
      </c>
      <c r="B793" s="7" t="s">
        <v>4159</v>
      </c>
      <c r="C793" s="6" t="str">
        <f aca="false">IF(U793&lt;&gt;"","Client",IF(D793&gt;=9,"A",IF(D793&gt;=7,"B","C")))</f>
        <v>C</v>
      </c>
      <c r="D793" s="6" t="n">
        <f aca="false">E793+F793+G793</f>
        <v>1</v>
      </c>
      <c r="E793" s="6" t="n">
        <v>1</v>
      </c>
      <c r="F793" s="6" t="n">
        <v>0</v>
      </c>
      <c r="G793" s="8" t="n">
        <v>0</v>
      </c>
      <c r="H793" s="6" t="s">
        <v>2312</v>
      </c>
      <c r="I793" s="6" t="s">
        <v>1445</v>
      </c>
      <c r="J793" s="2" t="s">
        <v>4160</v>
      </c>
      <c r="K793" s="2" t="s">
        <v>3741</v>
      </c>
      <c r="L793" s="2" t="s">
        <v>127</v>
      </c>
      <c r="M793" s="2"/>
      <c r="N793" s="2"/>
      <c r="O793" s="2"/>
      <c r="P793" s="2" t="s">
        <v>4161</v>
      </c>
      <c r="Q793" s="6" t="s">
        <v>308</v>
      </c>
      <c r="R793" s="6" t="s">
        <v>106</v>
      </c>
      <c r="S793" s="9" t="s">
        <v>4162</v>
      </c>
      <c r="T793" s="6"/>
      <c r="U793" s="6"/>
      <c r="V793" s="10"/>
      <c r="W793" s="10" t="s">
        <v>88</v>
      </c>
      <c r="X793" s="10"/>
      <c r="Y793" s="10"/>
    </row>
    <row r="794" customFormat="false" ht="15" hidden="false" customHeight="false" outlineLevel="0" collapsed="false">
      <c r="A794" s="6" t="n">
        <v>793</v>
      </c>
      <c r="B794" s="7" t="s">
        <v>4163</v>
      </c>
      <c r="C794" s="6" t="str">
        <f aca="false">IF(U794&lt;&gt;"","Client",IF(D794&gt;=9,"A",IF(D794&gt;=7,"B","C")))</f>
        <v>C</v>
      </c>
      <c r="D794" s="6" t="n">
        <f aca="false">E794+F794+G794</f>
        <v>1</v>
      </c>
      <c r="E794" s="6" t="n">
        <v>1</v>
      </c>
      <c r="F794" s="6" t="n">
        <v>0</v>
      </c>
      <c r="G794" s="8" t="n">
        <v>0</v>
      </c>
      <c r="H794" s="6" t="s">
        <v>2312</v>
      </c>
      <c r="I794" s="6" t="s">
        <v>1445</v>
      </c>
      <c r="J794" s="2" t="s">
        <v>3001</v>
      </c>
      <c r="K794" s="2" t="s">
        <v>664</v>
      </c>
      <c r="L794" s="2" t="s">
        <v>102</v>
      </c>
      <c r="M794" s="2"/>
      <c r="N794" s="2"/>
      <c r="O794" s="2"/>
      <c r="P794" s="2" t="s">
        <v>4164</v>
      </c>
      <c r="Q794" s="6" t="s">
        <v>683</v>
      </c>
      <c r="R794" s="6" t="s">
        <v>106</v>
      </c>
      <c r="S794" s="9" t="s">
        <v>4165</v>
      </c>
      <c r="T794" s="6"/>
      <c r="U794" s="6"/>
      <c r="V794" s="10"/>
      <c r="W794" s="10" t="s">
        <v>88</v>
      </c>
      <c r="X794" s="10"/>
      <c r="Y794" s="10"/>
    </row>
    <row r="795" customFormat="false" ht="23.85" hidden="false" customHeight="false" outlineLevel="0" collapsed="false">
      <c r="A795" s="6" t="n">
        <v>794</v>
      </c>
      <c r="B795" s="7" t="s">
        <v>4166</v>
      </c>
      <c r="C795" s="6" t="str">
        <f aca="false">IF(U795&lt;&gt;"","Client",IF(D795&gt;=9,"A",IF(D795&gt;=7,"B","C")))</f>
        <v>C</v>
      </c>
      <c r="D795" s="6" t="n">
        <f aca="false">E795+F795+G795</f>
        <v>1</v>
      </c>
      <c r="E795" s="6" t="n">
        <v>1</v>
      </c>
      <c r="F795" s="6" t="n">
        <v>0</v>
      </c>
      <c r="G795" s="8" t="n">
        <v>0</v>
      </c>
      <c r="H795" s="6" t="s">
        <v>1215</v>
      </c>
      <c r="I795" s="6" t="s">
        <v>1445</v>
      </c>
      <c r="J795" s="2" t="s">
        <v>4167</v>
      </c>
      <c r="K795" s="2" t="s">
        <v>4168</v>
      </c>
      <c r="L795" s="2" t="s">
        <v>652</v>
      </c>
      <c r="M795" s="2"/>
      <c r="N795" s="2"/>
      <c r="O795" s="2"/>
      <c r="P795" s="2" t="s">
        <v>4169</v>
      </c>
      <c r="Q795" s="6" t="s">
        <v>1455</v>
      </c>
      <c r="R795" s="6" t="s">
        <v>106</v>
      </c>
      <c r="S795" s="9" t="s">
        <v>4170</v>
      </c>
      <c r="T795" s="6"/>
      <c r="U795" s="6"/>
      <c r="V795" s="10"/>
      <c r="W795" s="10" t="s">
        <v>88</v>
      </c>
      <c r="X795" s="10"/>
      <c r="Y795" s="10"/>
    </row>
    <row r="796" customFormat="false" ht="23.85" hidden="false" customHeight="false" outlineLevel="0" collapsed="false">
      <c r="A796" s="6" t="n">
        <v>795</v>
      </c>
      <c r="B796" s="7" t="s">
        <v>4171</v>
      </c>
      <c r="C796" s="6" t="str">
        <f aca="false">IF(U796&lt;&gt;"","Client",IF(D796&gt;=9,"A",IF(D796&gt;=7,"B","C")))</f>
        <v>C</v>
      </c>
      <c r="D796" s="6" t="n">
        <f aca="false">E796+F796+G796</f>
        <v>1</v>
      </c>
      <c r="E796" s="6" t="n">
        <v>1</v>
      </c>
      <c r="F796" s="6" t="n">
        <v>0</v>
      </c>
      <c r="G796" s="8" t="n">
        <v>0</v>
      </c>
      <c r="H796" s="6" t="s">
        <v>1598</v>
      </c>
      <c r="I796" s="6" t="s">
        <v>1445</v>
      </c>
      <c r="J796" s="2" t="s">
        <v>4172</v>
      </c>
      <c r="K796" s="2" t="s">
        <v>4173</v>
      </c>
      <c r="L796" s="2" t="s">
        <v>1539</v>
      </c>
      <c r="M796" s="2"/>
      <c r="N796" s="2"/>
      <c r="O796" s="2"/>
      <c r="P796" s="2" t="s">
        <v>4174</v>
      </c>
      <c r="Q796" s="6" t="s">
        <v>1401</v>
      </c>
      <c r="R796" s="6" t="s">
        <v>85</v>
      </c>
      <c r="S796" s="9" t="s">
        <v>4175</v>
      </c>
      <c r="T796" s="6"/>
      <c r="U796" s="6"/>
      <c r="V796" s="10"/>
      <c r="W796" s="10" t="s">
        <v>88</v>
      </c>
      <c r="X796" s="10"/>
      <c r="Y796" s="10"/>
    </row>
    <row r="797" customFormat="false" ht="15" hidden="false" customHeight="false" outlineLevel="0" collapsed="false">
      <c r="A797" s="6" t="n">
        <v>796</v>
      </c>
      <c r="B797" s="7" t="s">
        <v>4176</v>
      </c>
      <c r="C797" s="6" t="str">
        <f aca="false">IF(U797&lt;&gt;"","Client",IF(D797&gt;=9,"A",IF(D797&gt;=7,"B","C")))</f>
        <v>C</v>
      </c>
      <c r="D797" s="6" t="n">
        <f aca="false">E797+F797+G797</f>
        <v>1</v>
      </c>
      <c r="E797" s="6" t="n">
        <v>1</v>
      </c>
      <c r="F797" s="6" t="n">
        <v>0</v>
      </c>
      <c r="G797" s="8" t="n">
        <v>0</v>
      </c>
      <c r="H797" s="6" t="s">
        <v>1583</v>
      </c>
      <c r="I797" s="6" t="s">
        <v>1445</v>
      </c>
      <c r="J797" s="2" t="s">
        <v>4176</v>
      </c>
      <c r="K797" s="2" t="s">
        <v>2092</v>
      </c>
      <c r="L797" s="2" t="s">
        <v>127</v>
      </c>
      <c r="M797" s="2"/>
      <c r="N797" s="2"/>
      <c r="O797" s="2"/>
      <c r="P797" s="2" t="s">
        <v>4177</v>
      </c>
      <c r="Q797" s="6" t="s">
        <v>143</v>
      </c>
      <c r="R797" s="6" t="s">
        <v>85</v>
      </c>
      <c r="S797" s="9" t="s">
        <v>397</v>
      </c>
      <c r="T797" s="6"/>
      <c r="U797" s="6"/>
      <c r="V797" s="10"/>
      <c r="W797" s="10" t="s">
        <v>88</v>
      </c>
      <c r="X797" s="10"/>
      <c r="Y797" s="10"/>
    </row>
    <row r="798" customFormat="false" ht="15" hidden="false" customHeight="false" outlineLevel="0" collapsed="false">
      <c r="A798" s="6" t="n">
        <v>797</v>
      </c>
      <c r="B798" s="7" t="s">
        <v>4178</v>
      </c>
      <c r="C798" s="6" t="str">
        <f aca="false">IF(U798&lt;&gt;"","Client",IF(D798&gt;=9,"A",IF(D798&gt;=7,"B","C")))</f>
        <v>C</v>
      </c>
      <c r="D798" s="6" t="n">
        <f aca="false">E798+F798+G798</f>
        <v>1</v>
      </c>
      <c r="E798" s="6" t="n">
        <v>1</v>
      </c>
      <c r="F798" s="6" t="n">
        <v>0</v>
      </c>
      <c r="G798" s="8" t="n">
        <v>0</v>
      </c>
      <c r="H798" s="6" t="s">
        <v>1598</v>
      </c>
      <c r="I798" s="6" t="s">
        <v>1445</v>
      </c>
      <c r="J798" s="2" t="s">
        <v>3525</v>
      </c>
      <c r="K798" s="2" t="s">
        <v>4179</v>
      </c>
      <c r="L798" s="2" t="s">
        <v>127</v>
      </c>
      <c r="M798" s="2"/>
      <c r="N798" s="2"/>
      <c r="O798" s="2" t="s">
        <v>4180</v>
      </c>
      <c r="P798" s="2" t="s">
        <v>4181</v>
      </c>
      <c r="Q798" s="6" t="s">
        <v>1561</v>
      </c>
      <c r="R798" s="6" t="s">
        <v>106</v>
      </c>
      <c r="S798" s="9" t="s">
        <v>4182</v>
      </c>
      <c r="T798" s="6"/>
      <c r="U798" s="6"/>
      <c r="V798" s="10"/>
      <c r="W798" s="10" t="s">
        <v>88</v>
      </c>
      <c r="X798" s="10"/>
      <c r="Y798" s="10"/>
    </row>
    <row r="799" customFormat="false" ht="23.85" hidden="false" customHeight="false" outlineLevel="0" collapsed="false">
      <c r="A799" s="6" t="n">
        <v>798</v>
      </c>
      <c r="B799" s="7" t="s">
        <v>3308</v>
      </c>
      <c r="C799" s="6" t="str">
        <f aca="false">IF(U799&lt;&gt;"","Client",IF(D799&gt;=9,"A",IF(D799&gt;=7,"B","C")))</f>
        <v>C</v>
      </c>
      <c r="D799" s="6" t="n">
        <f aca="false">E799+F799+G799</f>
        <v>1</v>
      </c>
      <c r="E799" s="6" t="n">
        <v>1</v>
      </c>
      <c r="F799" s="6" t="n">
        <v>0</v>
      </c>
      <c r="G799" s="8" t="n">
        <v>0</v>
      </c>
      <c r="H799" s="6" t="s">
        <v>1583</v>
      </c>
      <c r="I799" s="6" t="s">
        <v>1445</v>
      </c>
      <c r="J799" s="2" t="s">
        <v>2750</v>
      </c>
      <c r="K799" s="2" t="s">
        <v>1159</v>
      </c>
      <c r="L799" s="2" t="s">
        <v>167</v>
      </c>
      <c r="M799" s="2"/>
      <c r="N799" s="2"/>
      <c r="O799" s="2"/>
      <c r="P799" s="2" t="s">
        <v>4183</v>
      </c>
      <c r="Q799" s="6" t="s">
        <v>411</v>
      </c>
      <c r="R799" s="6" t="s">
        <v>85</v>
      </c>
      <c r="S799" s="9" t="s">
        <v>4184</v>
      </c>
      <c r="T799" s="6"/>
      <c r="U799" s="6"/>
      <c r="V799" s="10"/>
      <c r="W799" s="10" t="s">
        <v>88</v>
      </c>
      <c r="X799" s="10"/>
      <c r="Y799" s="10"/>
    </row>
    <row r="800" customFormat="false" ht="23.85" hidden="false" customHeight="false" outlineLevel="0" collapsed="false">
      <c r="A800" s="6" t="n">
        <v>799</v>
      </c>
      <c r="B800" s="7" t="s">
        <v>4110</v>
      </c>
      <c r="C800" s="6" t="str">
        <f aca="false">IF(U800&lt;&gt;"","Client",IF(D800&gt;=9,"A",IF(D800&gt;=7,"B","C")))</f>
        <v>C</v>
      </c>
      <c r="D800" s="6" t="n">
        <f aca="false">E800+F800+G800</f>
        <v>1</v>
      </c>
      <c r="E800" s="6" t="n">
        <v>1</v>
      </c>
      <c r="F800" s="6" t="n">
        <v>0</v>
      </c>
      <c r="G800" s="8" t="n">
        <v>0</v>
      </c>
      <c r="H800" s="6" t="s">
        <v>1598</v>
      </c>
      <c r="I800" s="6" t="s">
        <v>1445</v>
      </c>
      <c r="J800" s="2" t="s">
        <v>4185</v>
      </c>
      <c r="K800" s="2" t="s">
        <v>4186</v>
      </c>
      <c r="L800" s="2" t="s">
        <v>652</v>
      </c>
      <c r="M800" s="2"/>
      <c r="N800" s="2"/>
      <c r="O800" s="2"/>
      <c r="P800" s="2" t="s">
        <v>4187</v>
      </c>
      <c r="Q800" s="6" t="s">
        <v>4188</v>
      </c>
      <c r="R800" s="6" t="s">
        <v>106</v>
      </c>
      <c r="S800" s="9" t="s">
        <v>4189</v>
      </c>
      <c r="T800" s="6"/>
      <c r="U800" s="6"/>
      <c r="V800" s="10"/>
      <c r="W800" s="10" t="s">
        <v>88</v>
      </c>
      <c r="X800" s="10"/>
      <c r="Y800" s="10"/>
    </row>
    <row r="801" customFormat="false" ht="15" hidden="false" customHeight="false" outlineLevel="0" collapsed="false">
      <c r="A801" s="6" t="n">
        <v>800</v>
      </c>
      <c r="B801" s="7" t="s">
        <v>4190</v>
      </c>
      <c r="C801" s="6" t="str">
        <f aca="false">IF(U801&lt;&gt;"","Client",IF(D801&gt;=9,"A",IF(D801&gt;=7,"B","C")))</f>
        <v>C</v>
      </c>
      <c r="D801" s="6" t="n">
        <f aca="false">E801+F801+G801</f>
        <v>1</v>
      </c>
      <c r="E801" s="6" t="n">
        <v>1</v>
      </c>
      <c r="F801" s="6" t="n">
        <v>0</v>
      </c>
      <c r="G801" s="8" t="n">
        <v>0</v>
      </c>
      <c r="H801" s="6" t="s">
        <v>1215</v>
      </c>
      <c r="I801" s="6" t="s">
        <v>1445</v>
      </c>
      <c r="J801" s="2" t="s">
        <v>3542</v>
      </c>
      <c r="K801" s="2" t="s">
        <v>4191</v>
      </c>
      <c r="L801" s="2" t="s">
        <v>127</v>
      </c>
      <c r="M801" s="2"/>
      <c r="N801" s="2"/>
      <c r="O801" s="2"/>
      <c r="P801" s="2" t="s">
        <v>4192</v>
      </c>
      <c r="Q801" s="6" t="s">
        <v>1636</v>
      </c>
      <c r="R801" s="6" t="s">
        <v>106</v>
      </c>
      <c r="S801" s="9" t="s">
        <v>4193</v>
      </c>
      <c r="T801" s="6"/>
      <c r="U801" s="6"/>
      <c r="V801" s="10"/>
      <c r="W801" s="10" t="s">
        <v>88</v>
      </c>
      <c r="X801" s="10"/>
      <c r="Y801" s="10"/>
    </row>
    <row r="802" customFormat="false" ht="15" hidden="false" customHeight="false" outlineLevel="0" collapsed="false">
      <c r="A802" s="6" t="n">
        <v>801</v>
      </c>
      <c r="B802" s="7" t="s">
        <v>4194</v>
      </c>
      <c r="C802" s="6" t="str">
        <f aca="false">IF(U802&lt;&gt;"","Client",IF(D802&gt;=9,"A",IF(D802&gt;=7,"B","C")))</f>
        <v>C</v>
      </c>
      <c r="D802" s="6" t="n">
        <f aca="false">E802+F802+G802</f>
        <v>1</v>
      </c>
      <c r="E802" s="6" t="n">
        <v>1</v>
      </c>
      <c r="F802" s="6" t="n">
        <v>0</v>
      </c>
      <c r="G802" s="8" t="n">
        <v>0</v>
      </c>
      <c r="H802" s="6" t="s">
        <v>1598</v>
      </c>
      <c r="I802" s="6" t="s">
        <v>1445</v>
      </c>
      <c r="J802" s="2" t="s">
        <v>4194</v>
      </c>
      <c r="K802" s="2" t="s">
        <v>4195</v>
      </c>
      <c r="L802" s="2" t="s">
        <v>127</v>
      </c>
      <c r="M802" s="2"/>
      <c r="N802" s="2"/>
      <c r="O802" s="2"/>
      <c r="P802" s="2" t="s">
        <v>4196</v>
      </c>
      <c r="Q802" s="6" t="s">
        <v>883</v>
      </c>
      <c r="R802" s="6" t="s">
        <v>106</v>
      </c>
      <c r="S802" s="9" t="s">
        <v>4197</v>
      </c>
      <c r="T802" s="6"/>
      <c r="U802" s="6"/>
      <c r="V802" s="10"/>
      <c r="W802" s="10" t="s">
        <v>88</v>
      </c>
      <c r="X802" s="10"/>
      <c r="Y802" s="10"/>
    </row>
    <row r="803" customFormat="false" ht="23.85" hidden="false" customHeight="false" outlineLevel="0" collapsed="false">
      <c r="A803" s="6" t="n">
        <v>802</v>
      </c>
      <c r="B803" s="7" t="s">
        <v>4198</v>
      </c>
      <c r="C803" s="6" t="str">
        <f aca="false">IF(U803&lt;&gt;"","Client",IF(D803&gt;=9,"A",IF(D803&gt;=7,"B","C")))</f>
        <v>C</v>
      </c>
      <c r="D803" s="6" t="n">
        <f aca="false">E803+F803+G803</f>
        <v>1</v>
      </c>
      <c r="E803" s="6" t="n">
        <v>1</v>
      </c>
      <c r="F803" s="6" t="n">
        <v>0</v>
      </c>
      <c r="G803" s="8" t="n">
        <v>0</v>
      </c>
      <c r="H803" s="6" t="s">
        <v>1598</v>
      </c>
      <c r="I803" s="6" t="s">
        <v>1445</v>
      </c>
      <c r="J803" s="2" t="s">
        <v>3793</v>
      </c>
      <c r="K803" s="2" t="s">
        <v>3356</v>
      </c>
      <c r="L803" s="2" t="s">
        <v>1175</v>
      </c>
      <c r="M803" s="2"/>
      <c r="N803" s="2"/>
      <c r="O803" s="2" t="s">
        <v>3794</v>
      </c>
      <c r="P803" s="2" t="s">
        <v>4199</v>
      </c>
      <c r="Q803" s="6" t="s">
        <v>461</v>
      </c>
      <c r="R803" s="6" t="s">
        <v>106</v>
      </c>
      <c r="S803" s="9" t="s">
        <v>4200</v>
      </c>
      <c r="T803" s="6"/>
      <c r="U803" s="6"/>
      <c r="V803" s="10"/>
      <c r="W803" s="10" t="s">
        <v>88</v>
      </c>
      <c r="X803" s="10"/>
      <c r="Y803" s="10"/>
    </row>
    <row r="804" customFormat="false" ht="23.85" hidden="false" customHeight="false" outlineLevel="0" collapsed="false">
      <c r="A804" s="6" t="n">
        <v>803</v>
      </c>
      <c r="B804" s="7" t="s">
        <v>4201</v>
      </c>
      <c r="C804" s="6" t="str">
        <f aca="false">IF(U804&lt;&gt;"","Client",IF(D804&gt;=9,"A",IF(D804&gt;=7,"B","C")))</f>
        <v>C</v>
      </c>
      <c r="D804" s="6" t="n">
        <f aca="false">E804+F804+G804</f>
        <v>1</v>
      </c>
      <c r="E804" s="6" t="n">
        <v>1</v>
      </c>
      <c r="F804" s="6" t="n">
        <v>0</v>
      </c>
      <c r="G804" s="8" t="n">
        <v>0</v>
      </c>
      <c r="H804" s="6" t="s">
        <v>2312</v>
      </c>
      <c r="I804" s="6" t="s">
        <v>1445</v>
      </c>
      <c r="J804" s="2" t="s">
        <v>4202</v>
      </c>
      <c r="K804" s="2" t="s">
        <v>4203</v>
      </c>
      <c r="L804" s="2" t="s">
        <v>127</v>
      </c>
      <c r="M804" s="2"/>
      <c r="N804" s="2" t="s">
        <v>1533</v>
      </c>
      <c r="O804" s="2"/>
      <c r="P804" s="2" t="s">
        <v>4204</v>
      </c>
      <c r="Q804" s="6" t="s">
        <v>97</v>
      </c>
      <c r="R804" s="6" t="s">
        <v>106</v>
      </c>
      <c r="S804" s="9" t="s">
        <v>4205</v>
      </c>
      <c r="T804" s="6"/>
      <c r="U804" s="6"/>
      <c r="V804" s="10"/>
      <c r="W804" s="10" t="s">
        <v>88</v>
      </c>
      <c r="X804" s="10"/>
      <c r="Y804" s="10"/>
    </row>
    <row r="805" customFormat="false" ht="35.05" hidden="false" customHeight="false" outlineLevel="0" collapsed="false">
      <c r="A805" s="6" t="n">
        <v>804</v>
      </c>
      <c r="B805" s="7" t="s">
        <v>4206</v>
      </c>
      <c r="C805" s="6" t="str">
        <f aca="false">IF(U805&lt;&gt;"","Client",IF(D805&gt;=9,"A",IF(D805&gt;=7,"B","C")))</f>
        <v>C</v>
      </c>
      <c r="D805" s="6" t="n">
        <f aca="false">E805+F805+G805</f>
        <v>1</v>
      </c>
      <c r="E805" s="6" t="n">
        <v>1</v>
      </c>
      <c r="F805" s="6" t="n">
        <v>0</v>
      </c>
      <c r="G805" s="8" t="n">
        <v>0</v>
      </c>
      <c r="H805" s="6" t="s">
        <v>1598</v>
      </c>
      <c r="I805" s="6" t="s">
        <v>1445</v>
      </c>
      <c r="J805" s="2" t="s">
        <v>4207</v>
      </c>
      <c r="K805" s="2" t="s">
        <v>4208</v>
      </c>
      <c r="L805" s="2" t="s">
        <v>1539</v>
      </c>
      <c r="M805" s="2"/>
      <c r="N805" s="2" t="s">
        <v>1502</v>
      </c>
      <c r="O805" s="2" t="s">
        <v>4209</v>
      </c>
      <c r="P805" s="2" t="s">
        <v>4210</v>
      </c>
      <c r="Q805" s="6" t="s">
        <v>308</v>
      </c>
      <c r="R805" s="6" t="s">
        <v>85</v>
      </c>
      <c r="S805" s="9" t="s">
        <v>4211</v>
      </c>
      <c r="T805" s="9" t="s">
        <v>4212</v>
      </c>
      <c r="U805" s="6"/>
      <c r="V805" s="10"/>
      <c r="W805" s="10" t="s">
        <v>88</v>
      </c>
      <c r="X805" s="10"/>
      <c r="Y805" s="10"/>
    </row>
    <row r="806" customFormat="false" ht="23.85" hidden="false" customHeight="false" outlineLevel="0" collapsed="false">
      <c r="A806" s="6" t="n">
        <v>805</v>
      </c>
      <c r="B806" s="7" t="s">
        <v>4213</v>
      </c>
      <c r="C806" s="6" t="str">
        <f aca="false">IF(U806&lt;&gt;"","Client",IF(D806&gt;=9,"A",IF(D806&gt;=7,"B","C")))</f>
        <v>C</v>
      </c>
      <c r="D806" s="6" t="n">
        <f aca="false">E806+F806+G806</f>
        <v>1</v>
      </c>
      <c r="E806" s="6" t="n">
        <v>1</v>
      </c>
      <c r="F806" s="6" t="n">
        <v>0</v>
      </c>
      <c r="G806" s="8" t="n">
        <v>0</v>
      </c>
      <c r="H806" s="6" t="s">
        <v>1644</v>
      </c>
      <c r="I806" s="6" t="s">
        <v>1445</v>
      </c>
      <c r="J806" s="2" t="s">
        <v>4214</v>
      </c>
      <c r="K806" s="2" t="s">
        <v>1129</v>
      </c>
      <c r="L806" s="2" t="s">
        <v>102</v>
      </c>
      <c r="M806" s="2"/>
      <c r="N806" s="2"/>
      <c r="O806" s="2"/>
      <c r="P806" s="2" t="s">
        <v>4215</v>
      </c>
      <c r="Q806" s="6" t="s">
        <v>160</v>
      </c>
      <c r="R806" s="6" t="s">
        <v>85</v>
      </c>
      <c r="S806" s="9" t="s">
        <v>4216</v>
      </c>
      <c r="T806" s="6"/>
      <c r="U806" s="6"/>
      <c r="V806" s="10"/>
      <c r="W806" s="10" t="s">
        <v>88</v>
      </c>
      <c r="X806" s="10"/>
      <c r="Y806" s="10"/>
    </row>
    <row r="807" customFormat="false" ht="15" hidden="false" customHeight="false" outlineLevel="0" collapsed="false">
      <c r="A807" s="6" t="n">
        <v>806</v>
      </c>
      <c r="B807" s="7" t="s">
        <v>4217</v>
      </c>
      <c r="C807" s="6" t="str">
        <f aca="false">IF(U807&lt;&gt;"","Client",IF(D807&gt;=9,"A",IF(D807&gt;=7,"B","C")))</f>
        <v>C</v>
      </c>
      <c r="D807" s="6" t="n">
        <f aca="false">E807+F807+G807</f>
        <v>1</v>
      </c>
      <c r="E807" s="6" t="n">
        <v>1</v>
      </c>
      <c r="F807" s="6" t="n">
        <v>0</v>
      </c>
      <c r="G807" s="8" t="n">
        <v>0</v>
      </c>
      <c r="H807" s="6" t="s">
        <v>1215</v>
      </c>
      <c r="I807" s="6" t="s">
        <v>1445</v>
      </c>
      <c r="J807" s="2" t="s">
        <v>4217</v>
      </c>
      <c r="K807" s="2" t="s">
        <v>4218</v>
      </c>
      <c r="L807" s="2" t="s">
        <v>127</v>
      </c>
      <c r="M807" s="2"/>
      <c r="N807" s="2"/>
      <c r="O807" s="2"/>
      <c r="P807" s="2" t="s">
        <v>4219</v>
      </c>
      <c r="Q807" s="6" t="s">
        <v>1455</v>
      </c>
      <c r="R807" s="6" t="s">
        <v>85</v>
      </c>
      <c r="S807" s="9" t="s">
        <v>4220</v>
      </c>
      <c r="T807" s="6"/>
      <c r="U807" s="6"/>
      <c r="V807" s="10"/>
      <c r="W807" s="10" t="s">
        <v>88</v>
      </c>
      <c r="X807" s="10"/>
      <c r="Y807" s="10"/>
    </row>
    <row r="808" customFormat="false" ht="15" hidden="false" customHeight="false" outlineLevel="0" collapsed="false">
      <c r="A808" s="6" t="n">
        <v>807</v>
      </c>
      <c r="B808" s="7" t="s">
        <v>4221</v>
      </c>
      <c r="C808" s="6" t="str">
        <f aca="false">IF(U808&lt;&gt;"","Client",IF(D808&gt;=9,"A",IF(D808&gt;=7,"B","C")))</f>
        <v>C</v>
      </c>
      <c r="D808" s="6" t="n">
        <f aca="false">E808+F808+G808</f>
        <v>1</v>
      </c>
      <c r="E808" s="6" t="n">
        <v>1</v>
      </c>
      <c r="F808" s="6" t="n">
        <v>0</v>
      </c>
      <c r="G808" s="8" t="n">
        <v>0</v>
      </c>
      <c r="H808" s="6" t="s">
        <v>1583</v>
      </c>
      <c r="I808" s="6" t="s">
        <v>1445</v>
      </c>
      <c r="J808" s="2" t="s">
        <v>1689</v>
      </c>
      <c r="K808" s="2" t="s">
        <v>3313</v>
      </c>
      <c r="L808" s="2" t="s">
        <v>1539</v>
      </c>
      <c r="M808" s="2"/>
      <c r="N808" s="2"/>
      <c r="O808" s="2" t="s">
        <v>3419</v>
      </c>
      <c r="P808" s="2" t="s">
        <v>4222</v>
      </c>
      <c r="Q808" s="6" t="s">
        <v>160</v>
      </c>
      <c r="R808" s="6" t="s">
        <v>106</v>
      </c>
      <c r="S808" s="9" t="s">
        <v>4223</v>
      </c>
      <c r="T808" s="6"/>
      <c r="U808" s="6"/>
      <c r="V808" s="10"/>
      <c r="W808" s="10" t="s">
        <v>88</v>
      </c>
      <c r="X808" s="10"/>
      <c r="Y808" s="10"/>
    </row>
    <row r="809" customFormat="false" ht="23.85" hidden="false" customHeight="false" outlineLevel="0" collapsed="false">
      <c r="A809" s="6" t="n">
        <v>808</v>
      </c>
      <c r="B809" s="7" t="s">
        <v>4224</v>
      </c>
      <c r="C809" s="6" t="str">
        <f aca="false">IF(U809&lt;&gt;"","Client",IF(D809&gt;=9,"A",IF(D809&gt;=7,"B","C")))</f>
        <v>C</v>
      </c>
      <c r="D809" s="6" t="n">
        <f aca="false">E809+F809+G809</f>
        <v>1</v>
      </c>
      <c r="E809" s="6" t="n">
        <v>1</v>
      </c>
      <c r="F809" s="6" t="n">
        <v>0</v>
      </c>
      <c r="G809" s="8" t="n">
        <v>0</v>
      </c>
      <c r="H809" s="6" t="s">
        <v>1598</v>
      </c>
      <c r="I809" s="6" t="s">
        <v>1445</v>
      </c>
      <c r="J809" s="2" t="s">
        <v>2906</v>
      </c>
      <c r="K809" s="2" t="s">
        <v>2907</v>
      </c>
      <c r="L809" s="2" t="s">
        <v>102</v>
      </c>
      <c r="M809" s="2"/>
      <c r="N809" s="2"/>
      <c r="O809" s="2"/>
      <c r="P809" s="2" t="s">
        <v>4225</v>
      </c>
      <c r="Q809" s="6" t="s">
        <v>178</v>
      </c>
      <c r="R809" s="6" t="s">
        <v>106</v>
      </c>
      <c r="S809" s="9" t="s">
        <v>4226</v>
      </c>
      <c r="T809" s="6"/>
      <c r="U809" s="6"/>
      <c r="V809" s="10"/>
      <c r="W809" s="10" t="s">
        <v>88</v>
      </c>
      <c r="X809" s="10"/>
      <c r="Y809" s="10"/>
    </row>
    <row r="810" customFormat="false" ht="15" hidden="false" customHeight="false" outlineLevel="0" collapsed="false">
      <c r="A810" s="6" t="n">
        <v>809</v>
      </c>
      <c r="B810" s="7" t="s">
        <v>4227</v>
      </c>
      <c r="C810" s="6" t="str">
        <f aca="false">IF(U810&lt;&gt;"","Client",IF(D810&gt;=9,"A",IF(D810&gt;=7,"B","C")))</f>
        <v>C</v>
      </c>
      <c r="D810" s="6" t="n">
        <f aca="false">E810+F810+G810</f>
        <v>1</v>
      </c>
      <c r="E810" s="6" t="n">
        <v>1</v>
      </c>
      <c r="F810" s="6" t="n">
        <v>0</v>
      </c>
      <c r="G810" s="8" t="n">
        <v>0</v>
      </c>
      <c r="H810" s="6" t="s">
        <v>1598</v>
      </c>
      <c r="I810" s="6" t="s">
        <v>1445</v>
      </c>
      <c r="J810" s="2" t="s">
        <v>4228</v>
      </c>
      <c r="K810" s="2" t="s">
        <v>4229</v>
      </c>
      <c r="L810" s="2" t="s">
        <v>652</v>
      </c>
      <c r="M810" s="2"/>
      <c r="N810" s="2"/>
      <c r="O810" s="2"/>
      <c r="P810" s="2" t="s">
        <v>4230</v>
      </c>
      <c r="Q810" s="6" t="s">
        <v>2000</v>
      </c>
      <c r="R810" s="6" t="s">
        <v>106</v>
      </c>
      <c r="S810" s="9" t="s">
        <v>4231</v>
      </c>
      <c r="T810" s="6"/>
      <c r="U810" s="6"/>
      <c r="V810" s="10"/>
      <c r="W810" s="10" t="s">
        <v>88</v>
      </c>
      <c r="X810" s="10"/>
      <c r="Y810" s="10"/>
    </row>
    <row r="811" customFormat="false" ht="23.85" hidden="false" customHeight="false" outlineLevel="0" collapsed="false">
      <c r="A811" s="6" t="n">
        <v>810</v>
      </c>
      <c r="B811" s="7" t="s">
        <v>4232</v>
      </c>
      <c r="C811" s="6" t="str">
        <f aca="false">IF(U811&lt;&gt;"","Client",IF(D811&gt;=9,"A",IF(D811&gt;=7,"B","C")))</f>
        <v>C</v>
      </c>
      <c r="D811" s="6" t="n">
        <f aca="false">E811+F811+G811</f>
        <v>1</v>
      </c>
      <c r="E811" s="6" t="n">
        <v>1</v>
      </c>
      <c r="F811" s="6" t="n">
        <v>0</v>
      </c>
      <c r="G811" s="8" t="n">
        <v>0</v>
      </c>
      <c r="H811" s="6" t="s">
        <v>1215</v>
      </c>
      <c r="I811" s="6" t="s">
        <v>1445</v>
      </c>
      <c r="J811" s="2" t="s">
        <v>4233</v>
      </c>
      <c r="K811" s="2" t="s">
        <v>4234</v>
      </c>
      <c r="L811" s="2" t="s">
        <v>4235</v>
      </c>
      <c r="M811" s="2"/>
      <c r="N811" s="2" t="s">
        <v>1533</v>
      </c>
      <c r="O811" s="2" t="s">
        <v>4236</v>
      </c>
      <c r="P811" s="2" t="s">
        <v>4237</v>
      </c>
      <c r="Q811" s="6" t="s">
        <v>178</v>
      </c>
      <c r="R811" s="6" t="s">
        <v>85</v>
      </c>
      <c r="S811" s="9" t="s">
        <v>4238</v>
      </c>
      <c r="T811" s="9" t="s">
        <v>4239</v>
      </c>
      <c r="U811" s="6"/>
      <c r="V811" s="10"/>
      <c r="W811" s="10" t="s">
        <v>88</v>
      </c>
      <c r="X811" s="10"/>
      <c r="Y811" s="10"/>
    </row>
    <row r="812" customFormat="false" ht="23.85" hidden="false" customHeight="false" outlineLevel="0" collapsed="false">
      <c r="A812" s="6" t="n">
        <v>811</v>
      </c>
      <c r="B812" s="7" t="s">
        <v>4240</v>
      </c>
      <c r="C812" s="6" t="str">
        <f aca="false">IF(U812&lt;&gt;"","Client",IF(D812&gt;=9,"A",IF(D812&gt;=7,"B","C")))</f>
        <v>C</v>
      </c>
      <c r="D812" s="6" t="n">
        <f aca="false">E812+F812+G812</f>
        <v>1</v>
      </c>
      <c r="E812" s="6" t="n">
        <v>1</v>
      </c>
      <c r="F812" s="6" t="n">
        <v>0</v>
      </c>
      <c r="G812" s="8" t="n">
        <v>0</v>
      </c>
      <c r="H812" s="6" t="s">
        <v>1215</v>
      </c>
      <c r="I812" s="6" t="s">
        <v>1445</v>
      </c>
      <c r="J812" s="2" t="s">
        <v>4241</v>
      </c>
      <c r="K812" s="2" t="s">
        <v>4242</v>
      </c>
      <c r="L812" s="2" t="s">
        <v>744</v>
      </c>
      <c r="M812" s="2"/>
      <c r="N812" s="2"/>
      <c r="O812" s="2"/>
      <c r="P812" s="2" t="s">
        <v>4243</v>
      </c>
      <c r="Q812" s="6" t="s">
        <v>226</v>
      </c>
      <c r="R812" s="6" t="s">
        <v>85</v>
      </c>
      <c r="S812" s="9" t="s">
        <v>4244</v>
      </c>
      <c r="T812" s="9" t="s">
        <v>4245</v>
      </c>
      <c r="U812" s="6"/>
      <c r="V812" s="10"/>
      <c r="W812" s="10" t="s">
        <v>88</v>
      </c>
      <c r="X812" s="10"/>
      <c r="Y812" s="10"/>
    </row>
    <row r="813" customFormat="false" ht="15" hidden="false" customHeight="false" outlineLevel="0" collapsed="false">
      <c r="A813" s="6" t="n">
        <v>812</v>
      </c>
      <c r="B813" s="7" t="s">
        <v>4246</v>
      </c>
      <c r="C813" s="6" t="str">
        <f aca="false">IF(U813&lt;&gt;"","Client",IF(D813&gt;=9,"A",IF(D813&gt;=7,"B","C")))</f>
        <v>C</v>
      </c>
      <c r="D813" s="6" t="n">
        <f aca="false">E813+F813+G813</f>
        <v>1</v>
      </c>
      <c r="E813" s="6" t="n">
        <v>1</v>
      </c>
      <c r="F813" s="6" t="n">
        <v>0</v>
      </c>
      <c r="G813" s="8" t="n">
        <v>0</v>
      </c>
      <c r="H813" s="6" t="s">
        <v>1644</v>
      </c>
      <c r="I813" s="6" t="s">
        <v>1445</v>
      </c>
      <c r="J813" s="2" t="s">
        <v>4247</v>
      </c>
      <c r="K813" s="2" t="s">
        <v>4248</v>
      </c>
      <c r="L813" s="2" t="s">
        <v>127</v>
      </c>
      <c r="M813" s="2"/>
      <c r="N813" s="2"/>
      <c r="O813" s="2"/>
      <c r="P813" s="2" t="s">
        <v>4249</v>
      </c>
      <c r="Q813" s="6" t="s">
        <v>123</v>
      </c>
      <c r="R813" s="6" t="s">
        <v>106</v>
      </c>
      <c r="S813" s="9" t="s">
        <v>4250</v>
      </c>
      <c r="T813" s="6"/>
      <c r="U813" s="6"/>
      <c r="V813" s="10"/>
      <c r="W813" s="10" t="s">
        <v>88</v>
      </c>
      <c r="X813" s="10"/>
      <c r="Y813" s="10"/>
    </row>
    <row r="814" customFormat="false" ht="23.85" hidden="false" customHeight="false" outlineLevel="0" collapsed="false">
      <c r="A814" s="6" t="n">
        <v>813</v>
      </c>
      <c r="B814" s="7" t="s">
        <v>4251</v>
      </c>
      <c r="C814" s="6" t="str">
        <f aca="false">IF(U814&lt;&gt;"","Client",IF(D814&gt;=9,"A",IF(D814&gt;=7,"B","C")))</f>
        <v>C</v>
      </c>
      <c r="D814" s="6" t="n">
        <f aca="false">E814+F814+G814</f>
        <v>1</v>
      </c>
      <c r="E814" s="6" t="n">
        <v>1</v>
      </c>
      <c r="F814" s="6" t="n">
        <v>0</v>
      </c>
      <c r="G814" s="8" t="n">
        <v>0</v>
      </c>
      <c r="H814" s="6" t="s">
        <v>3000</v>
      </c>
      <c r="I814" s="6" t="s">
        <v>1445</v>
      </c>
      <c r="J814" s="2" t="s">
        <v>263</v>
      </c>
      <c r="K814" s="2" t="s">
        <v>4252</v>
      </c>
      <c r="L814" s="2" t="s">
        <v>652</v>
      </c>
      <c r="M814" s="2" t="s">
        <v>4253</v>
      </c>
      <c r="N814" s="2" t="s">
        <v>1043</v>
      </c>
      <c r="O814" s="2" t="s">
        <v>4254</v>
      </c>
      <c r="P814" s="2" t="s">
        <v>4255</v>
      </c>
      <c r="Q814" s="6" t="s">
        <v>281</v>
      </c>
      <c r="R814" s="6" t="s">
        <v>106</v>
      </c>
      <c r="S814" s="9" t="s">
        <v>4256</v>
      </c>
      <c r="T814" s="9" t="s">
        <v>4257</v>
      </c>
      <c r="U814" s="6"/>
      <c r="V814" s="10"/>
      <c r="W814" s="10" t="s">
        <v>88</v>
      </c>
      <c r="X814" s="10"/>
      <c r="Y814" s="10"/>
    </row>
    <row r="815" customFormat="false" ht="15" hidden="false" customHeight="false" outlineLevel="0" collapsed="false">
      <c r="A815" s="6" t="n">
        <v>814</v>
      </c>
      <c r="B815" s="7" t="s">
        <v>4258</v>
      </c>
      <c r="C815" s="6" t="str">
        <f aca="false">IF(U815&lt;&gt;"","Client",IF(D815&gt;=9,"A",IF(D815&gt;=7,"B","C")))</f>
        <v>C</v>
      </c>
      <c r="D815" s="6" t="n">
        <f aca="false">E815+F815+G815</f>
        <v>1</v>
      </c>
      <c r="E815" s="6" t="n">
        <v>1</v>
      </c>
      <c r="F815" s="6" t="n">
        <v>0</v>
      </c>
      <c r="G815" s="8" t="n">
        <v>0</v>
      </c>
      <c r="H815" s="6" t="s">
        <v>1598</v>
      </c>
      <c r="I815" s="6" t="s">
        <v>1445</v>
      </c>
      <c r="J815" s="2" t="s">
        <v>4258</v>
      </c>
      <c r="K815" s="2" t="s">
        <v>4259</v>
      </c>
      <c r="L815" s="2" t="s">
        <v>127</v>
      </c>
      <c r="M815" s="2"/>
      <c r="N815" s="2" t="s">
        <v>1533</v>
      </c>
      <c r="O815" s="2"/>
      <c r="P815" s="2" t="s">
        <v>4260</v>
      </c>
      <c r="Q815" s="6" t="s">
        <v>281</v>
      </c>
      <c r="R815" s="6" t="s">
        <v>85</v>
      </c>
      <c r="S815" s="9" t="s">
        <v>4261</v>
      </c>
      <c r="T815" s="6"/>
      <c r="U815" s="6"/>
      <c r="V815" s="10"/>
      <c r="W815" s="10" t="s">
        <v>88</v>
      </c>
      <c r="X815" s="10"/>
      <c r="Y815" s="10"/>
    </row>
    <row r="816" customFormat="false" ht="23.85" hidden="false" customHeight="false" outlineLevel="0" collapsed="false">
      <c r="A816" s="6" t="n">
        <v>815</v>
      </c>
      <c r="B816" s="7" t="s">
        <v>4262</v>
      </c>
      <c r="C816" s="6" t="str">
        <f aca="false">IF(U816&lt;&gt;"","Client",IF(D816&gt;=9,"A",IF(D816&gt;=7,"B","C")))</f>
        <v>C</v>
      </c>
      <c r="D816" s="6" t="n">
        <f aca="false">E816+F816+G816</f>
        <v>1</v>
      </c>
      <c r="E816" s="6" t="n">
        <v>1</v>
      </c>
      <c r="F816" s="6" t="n">
        <v>0</v>
      </c>
      <c r="G816" s="8" t="n">
        <v>0</v>
      </c>
      <c r="H816" s="6" t="s">
        <v>1598</v>
      </c>
      <c r="I816" s="6" t="s">
        <v>1445</v>
      </c>
      <c r="J816" s="2" t="s">
        <v>4263</v>
      </c>
      <c r="K816" s="2" t="s">
        <v>4264</v>
      </c>
      <c r="L816" s="2" t="s">
        <v>127</v>
      </c>
      <c r="M816" s="2"/>
      <c r="N816" s="2"/>
      <c r="O816" s="2"/>
      <c r="P816" s="2" t="s">
        <v>4265</v>
      </c>
      <c r="Q816" s="6" t="s">
        <v>440</v>
      </c>
      <c r="R816" s="6" t="s">
        <v>85</v>
      </c>
      <c r="S816" s="9" t="s">
        <v>4266</v>
      </c>
      <c r="T816" s="6"/>
      <c r="U816" s="6"/>
      <c r="V816" s="10"/>
      <c r="W816" s="10" t="s">
        <v>88</v>
      </c>
      <c r="X816" s="10"/>
      <c r="Y816" s="10"/>
    </row>
    <row r="817" customFormat="false" ht="23.85" hidden="false" customHeight="false" outlineLevel="0" collapsed="false">
      <c r="A817" s="6" t="n">
        <v>816</v>
      </c>
      <c r="B817" s="7" t="s">
        <v>4267</v>
      </c>
      <c r="C817" s="6" t="str">
        <f aca="false">IF(U817&lt;&gt;"","Client",IF(D817&gt;=9,"A",IF(D817&gt;=7,"B","C")))</f>
        <v>C</v>
      </c>
      <c r="D817" s="6" t="n">
        <f aca="false">E817+F817+G817</f>
        <v>1</v>
      </c>
      <c r="E817" s="6" t="n">
        <v>1</v>
      </c>
      <c r="F817" s="6" t="n">
        <v>0</v>
      </c>
      <c r="G817" s="8" t="n">
        <v>0</v>
      </c>
      <c r="H817" s="6" t="s">
        <v>1598</v>
      </c>
      <c r="I817" s="6" t="s">
        <v>1445</v>
      </c>
      <c r="J817" s="2" t="s">
        <v>3562</v>
      </c>
      <c r="K817" s="2" t="s">
        <v>3249</v>
      </c>
      <c r="L817" s="2" t="s">
        <v>167</v>
      </c>
      <c r="M817" s="2"/>
      <c r="N817" s="2"/>
      <c r="O817" s="2"/>
      <c r="P817" s="2" t="s">
        <v>4268</v>
      </c>
      <c r="Q817" s="6" t="s">
        <v>308</v>
      </c>
      <c r="R817" s="6" t="s">
        <v>85</v>
      </c>
      <c r="S817" s="9" t="s">
        <v>4269</v>
      </c>
      <c r="T817" s="6"/>
      <c r="U817" s="6"/>
      <c r="V817" s="10"/>
      <c r="W817" s="10" t="s">
        <v>88</v>
      </c>
      <c r="X817" s="10"/>
      <c r="Y817" s="10"/>
    </row>
    <row r="818" customFormat="false" ht="35.05" hidden="false" customHeight="false" outlineLevel="0" collapsed="false">
      <c r="A818" s="6" t="n">
        <v>817</v>
      </c>
      <c r="B818" s="7" t="s">
        <v>4270</v>
      </c>
      <c r="C818" s="6" t="str">
        <f aca="false">IF(U818&lt;&gt;"","Client",IF(D818&gt;=9,"A",IF(D818&gt;=7,"B","C")))</f>
        <v>C</v>
      </c>
      <c r="D818" s="6" t="n">
        <f aca="false">E818+F818+G818</f>
        <v>1</v>
      </c>
      <c r="E818" s="6" t="n">
        <v>1</v>
      </c>
      <c r="F818" s="6" t="n">
        <v>0</v>
      </c>
      <c r="G818" s="8" t="n">
        <v>0</v>
      </c>
      <c r="H818" s="6" t="s">
        <v>1215</v>
      </c>
      <c r="I818" s="6" t="s">
        <v>1445</v>
      </c>
      <c r="J818" s="2" t="s">
        <v>4271</v>
      </c>
      <c r="K818" s="2" t="s">
        <v>4272</v>
      </c>
      <c r="L818" s="2" t="s">
        <v>127</v>
      </c>
      <c r="M818" s="2"/>
      <c r="N818" s="2" t="s">
        <v>990</v>
      </c>
      <c r="O818" s="2" t="s">
        <v>4273</v>
      </c>
      <c r="P818" s="2" t="s">
        <v>4274</v>
      </c>
      <c r="Q818" s="6" t="s">
        <v>97</v>
      </c>
      <c r="R818" s="6" t="s">
        <v>85</v>
      </c>
      <c r="S818" s="9" t="s">
        <v>4275</v>
      </c>
      <c r="T818" s="9" t="s">
        <v>4276</v>
      </c>
      <c r="U818" s="6"/>
      <c r="V818" s="10"/>
      <c r="W818" s="10" t="s">
        <v>88</v>
      </c>
      <c r="X818" s="10"/>
      <c r="Y818" s="10"/>
    </row>
    <row r="819" customFormat="false" ht="15" hidden="false" customHeight="false" outlineLevel="0" collapsed="false">
      <c r="A819" s="6" t="n">
        <v>818</v>
      </c>
      <c r="B819" s="7" t="s">
        <v>4277</v>
      </c>
      <c r="C819" s="6" t="str">
        <f aca="false">IF(U819&lt;&gt;"","Client",IF(D819&gt;=9,"A",IF(D819&gt;=7,"B","C")))</f>
        <v>C</v>
      </c>
      <c r="D819" s="6" t="n">
        <f aca="false">E819+F819+G819</f>
        <v>1</v>
      </c>
      <c r="E819" s="6" t="n">
        <v>1</v>
      </c>
      <c r="F819" s="6" t="n">
        <v>0</v>
      </c>
      <c r="G819" s="8" t="n">
        <v>0</v>
      </c>
      <c r="H819" s="6" t="s">
        <v>1598</v>
      </c>
      <c r="I819" s="6" t="s">
        <v>1445</v>
      </c>
      <c r="J819" s="2" t="s">
        <v>4278</v>
      </c>
      <c r="K819" s="2" t="s">
        <v>3351</v>
      </c>
      <c r="L819" s="2" t="s">
        <v>127</v>
      </c>
      <c r="M819" s="2"/>
      <c r="N819" s="2"/>
      <c r="O819" s="2"/>
      <c r="P819" s="2" t="s">
        <v>4279</v>
      </c>
      <c r="Q819" s="6" t="s">
        <v>123</v>
      </c>
      <c r="R819" s="6" t="s">
        <v>85</v>
      </c>
      <c r="S819" s="9" t="s">
        <v>4280</v>
      </c>
      <c r="T819" s="6"/>
      <c r="U819" s="6"/>
      <c r="V819" s="10"/>
      <c r="W819" s="10" t="s">
        <v>88</v>
      </c>
      <c r="X819" s="10"/>
      <c r="Y819" s="10"/>
    </row>
    <row r="820" customFormat="false" ht="15" hidden="false" customHeight="false" outlineLevel="0" collapsed="false">
      <c r="A820" s="6" t="n">
        <v>819</v>
      </c>
      <c r="B820" s="7" t="s">
        <v>4281</v>
      </c>
      <c r="C820" s="6" t="str">
        <f aca="false">IF(U820&lt;&gt;"","Client",IF(D820&gt;=9,"A",IF(D820&gt;=7,"B","C")))</f>
        <v>C</v>
      </c>
      <c r="D820" s="6" t="n">
        <f aca="false">E820+F820+G820</f>
        <v>1</v>
      </c>
      <c r="E820" s="6" t="n">
        <v>1</v>
      </c>
      <c r="F820" s="6" t="n">
        <v>0</v>
      </c>
      <c r="G820" s="8" t="n">
        <v>0</v>
      </c>
      <c r="H820" s="6" t="s">
        <v>1583</v>
      </c>
      <c r="I820" s="6" t="s">
        <v>1445</v>
      </c>
      <c r="J820" s="2" t="s">
        <v>4282</v>
      </c>
      <c r="K820" s="2" t="s">
        <v>4283</v>
      </c>
      <c r="L820" s="2" t="s">
        <v>127</v>
      </c>
      <c r="M820" s="2"/>
      <c r="N820" s="2" t="s">
        <v>1533</v>
      </c>
      <c r="O820" s="2"/>
      <c r="P820" s="2" t="s">
        <v>4284</v>
      </c>
      <c r="Q820" s="6" t="s">
        <v>281</v>
      </c>
      <c r="R820" s="6" t="s">
        <v>85</v>
      </c>
      <c r="S820" s="9" t="s">
        <v>4285</v>
      </c>
      <c r="T820" s="6"/>
      <c r="U820" s="6"/>
      <c r="V820" s="10"/>
      <c r="W820" s="10" t="s">
        <v>88</v>
      </c>
      <c r="X820" s="10"/>
      <c r="Y820" s="10"/>
    </row>
    <row r="821" customFormat="false" ht="23.85" hidden="false" customHeight="false" outlineLevel="0" collapsed="false">
      <c r="A821" s="6" t="n">
        <v>820</v>
      </c>
      <c r="B821" s="7" t="s">
        <v>4286</v>
      </c>
      <c r="C821" s="6" t="str">
        <f aca="false">IF(U821&lt;&gt;"","Client",IF(D821&gt;=9,"A",IF(D821&gt;=7,"B","C")))</f>
        <v>C</v>
      </c>
      <c r="D821" s="6" t="n">
        <f aca="false">E821+F821+G821</f>
        <v>1</v>
      </c>
      <c r="E821" s="6" t="n">
        <v>1</v>
      </c>
      <c r="F821" s="6" t="n">
        <v>0</v>
      </c>
      <c r="G821" s="8" t="n">
        <v>0</v>
      </c>
      <c r="H821" s="6" t="s">
        <v>1598</v>
      </c>
      <c r="I821" s="6" t="s">
        <v>1445</v>
      </c>
      <c r="J821" s="2" t="s">
        <v>3662</v>
      </c>
      <c r="K821" s="2" t="s">
        <v>2330</v>
      </c>
      <c r="L821" s="2" t="s">
        <v>652</v>
      </c>
      <c r="M821" s="2"/>
      <c r="N821" s="2"/>
      <c r="O821" s="2" t="s">
        <v>4287</v>
      </c>
      <c r="P821" s="2" t="s">
        <v>4288</v>
      </c>
      <c r="Q821" s="6" t="s">
        <v>461</v>
      </c>
      <c r="R821" s="6" t="s">
        <v>106</v>
      </c>
      <c r="S821" s="9" t="s">
        <v>1687</v>
      </c>
      <c r="T821" s="6"/>
      <c r="U821" s="6"/>
      <c r="V821" s="10"/>
      <c r="W821" s="10" t="s">
        <v>88</v>
      </c>
      <c r="X821" s="10"/>
      <c r="Y821" s="10"/>
    </row>
    <row r="822" customFormat="false" ht="23.85" hidden="false" customHeight="false" outlineLevel="0" collapsed="false">
      <c r="A822" s="6" t="n">
        <v>821</v>
      </c>
      <c r="B822" s="7" t="s">
        <v>4289</v>
      </c>
      <c r="C822" s="6" t="str">
        <f aca="false">IF(U822&lt;&gt;"","Client",IF(D822&gt;=9,"A",IF(D822&gt;=7,"B","C")))</f>
        <v>C</v>
      </c>
      <c r="D822" s="6" t="n">
        <f aca="false">E822+F822+G822</f>
        <v>1</v>
      </c>
      <c r="E822" s="6" t="n">
        <v>1</v>
      </c>
      <c r="F822" s="6" t="n">
        <v>0</v>
      </c>
      <c r="G822" s="8" t="n">
        <v>0</v>
      </c>
      <c r="H822" s="6" t="s">
        <v>1598</v>
      </c>
      <c r="I822" s="6" t="s">
        <v>1445</v>
      </c>
      <c r="J822" s="2" t="s">
        <v>4290</v>
      </c>
      <c r="K822" s="2" t="s">
        <v>4291</v>
      </c>
      <c r="L822" s="2" t="s">
        <v>127</v>
      </c>
      <c r="M822" s="2"/>
      <c r="N822" s="2"/>
      <c r="O822" s="2"/>
      <c r="P822" s="2" t="s">
        <v>4292</v>
      </c>
      <c r="Q822" s="6" t="s">
        <v>999</v>
      </c>
      <c r="R822" s="6" t="s">
        <v>106</v>
      </c>
      <c r="S822" s="9" t="s">
        <v>4293</v>
      </c>
      <c r="T822" s="6"/>
      <c r="U822" s="6"/>
      <c r="V822" s="10"/>
      <c r="W822" s="10" t="s">
        <v>88</v>
      </c>
      <c r="X822" s="10"/>
      <c r="Y822" s="10"/>
    </row>
    <row r="823" customFormat="false" ht="15" hidden="false" customHeight="false" outlineLevel="0" collapsed="false">
      <c r="A823" s="6" t="n">
        <v>822</v>
      </c>
      <c r="B823" s="7" t="s">
        <v>4294</v>
      </c>
      <c r="C823" s="6" t="str">
        <f aca="false">IF(U823&lt;&gt;"","Client",IF(D823&gt;=9,"A",IF(D823&gt;=7,"B","C")))</f>
        <v>C</v>
      </c>
      <c r="D823" s="6" t="n">
        <f aca="false">E823+F823+G823</f>
        <v>1</v>
      </c>
      <c r="E823" s="6" t="n">
        <v>1</v>
      </c>
      <c r="F823" s="6" t="n">
        <v>0</v>
      </c>
      <c r="G823" s="8" t="n">
        <v>0</v>
      </c>
      <c r="H823" s="6" t="s">
        <v>1598</v>
      </c>
      <c r="I823" s="6" t="s">
        <v>1445</v>
      </c>
      <c r="J823" s="2" t="s">
        <v>3832</v>
      </c>
      <c r="K823" s="2" t="s">
        <v>4295</v>
      </c>
      <c r="L823" s="2" t="s">
        <v>127</v>
      </c>
      <c r="M823" s="2" t="s">
        <v>1667</v>
      </c>
      <c r="N823" s="2" t="s">
        <v>1526</v>
      </c>
      <c r="O823" s="2" t="s">
        <v>4296</v>
      </c>
      <c r="P823" s="2" t="s">
        <v>4297</v>
      </c>
      <c r="Q823" s="6" t="s">
        <v>281</v>
      </c>
      <c r="R823" s="6" t="s">
        <v>85</v>
      </c>
      <c r="S823" s="9" t="s">
        <v>4298</v>
      </c>
      <c r="T823" s="6"/>
      <c r="U823" s="6"/>
      <c r="V823" s="10"/>
      <c r="W823" s="10" t="s">
        <v>88</v>
      </c>
      <c r="X823" s="10"/>
      <c r="Y823" s="10"/>
    </row>
    <row r="824" customFormat="false" ht="23.85" hidden="false" customHeight="false" outlineLevel="0" collapsed="false">
      <c r="A824" s="6" t="n">
        <v>823</v>
      </c>
      <c r="B824" s="7" t="s">
        <v>4299</v>
      </c>
      <c r="C824" s="6" t="str">
        <f aca="false">IF(U824&lt;&gt;"","Client",IF(D824&gt;=9,"A",IF(D824&gt;=7,"B","C")))</f>
        <v>C</v>
      </c>
      <c r="D824" s="6" t="n">
        <f aca="false">E824+F824+G824</f>
        <v>1</v>
      </c>
      <c r="E824" s="6" t="n">
        <v>1</v>
      </c>
      <c r="F824" s="6" t="n">
        <v>0</v>
      </c>
      <c r="G824" s="8" t="n">
        <v>0</v>
      </c>
      <c r="H824" s="6" t="s">
        <v>1583</v>
      </c>
      <c r="I824" s="6" t="s">
        <v>1445</v>
      </c>
      <c r="J824" s="2" t="s">
        <v>4299</v>
      </c>
      <c r="K824" s="2" t="s">
        <v>4300</v>
      </c>
      <c r="L824" s="2" t="s">
        <v>112</v>
      </c>
      <c r="M824" s="2"/>
      <c r="N824" s="2" t="s">
        <v>1483</v>
      </c>
      <c r="O824" s="2" t="s">
        <v>4301</v>
      </c>
      <c r="P824" s="2" t="s">
        <v>4302</v>
      </c>
      <c r="Q824" s="6" t="s">
        <v>308</v>
      </c>
      <c r="R824" s="6" t="s">
        <v>85</v>
      </c>
      <c r="S824" s="9" t="s">
        <v>4303</v>
      </c>
      <c r="T824" s="9" t="s">
        <v>4304</v>
      </c>
      <c r="U824" s="6"/>
      <c r="V824" s="10"/>
      <c r="W824" s="10" t="s">
        <v>88</v>
      </c>
      <c r="X824" s="10"/>
      <c r="Y824" s="10"/>
    </row>
    <row r="825" customFormat="false" ht="23.85" hidden="false" customHeight="false" outlineLevel="0" collapsed="false">
      <c r="A825" s="6" t="n">
        <v>824</v>
      </c>
      <c r="B825" s="7" t="s">
        <v>4305</v>
      </c>
      <c r="C825" s="6" t="str">
        <f aca="false">IF(U825&lt;&gt;"","Client",IF(D825&gt;=9,"A",IF(D825&gt;=7,"B","C")))</f>
        <v>C</v>
      </c>
      <c r="D825" s="6" t="n">
        <f aca="false">E825+F825+G825</f>
        <v>1</v>
      </c>
      <c r="E825" s="6" t="n">
        <v>1</v>
      </c>
      <c r="F825" s="6" t="n">
        <v>0</v>
      </c>
      <c r="G825" s="8" t="n">
        <v>0</v>
      </c>
      <c r="H825" s="6" t="s">
        <v>1598</v>
      </c>
      <c r="I825" s="6" t="s">
        <v>1445</v>
      </c>
      <c r="J825" s="2" t="s">
        <v>4306</v>
      </c>
      <c r="K825" s="2" t="s">
        <v>4307</v>
      </c>
      <c r="L825" s="2" t="s">
        <v>1539</v>
      </c>
      <c r="M825" s="2"/>
      <c r="N825" s="2" t="s">
        <v>1533</v>
      </c>
      <c r="O825" s="2" t="s">
        <v>4308</v>
      </c>
      <c r="P825" s="2" t="s">
        <v>4309</v>
      </c>
      <c r="Q825" s="6" t="s">
        <v>256</v>
      </c>
      <c r="R825" s="6" t="s">
        <v>85</v>
      </c>
      <c r="S825" s="9" t="s">
        <v>4310</v>
      </c>
      <c r="T825" s="9" t="s">
        <v>4311</v>
      </c>
      <c r="U825" s="6"/>
      <c r="V825" s="10"/>
      <c r="W825" s="10" t="s">
        <v>88</v>
      </c>
      <c r="X825" s="10"/>
      <c r="Y825" s="10"/>
    </row>
    <row r="826" customFormat="false" ht="15" hidden="false" customHeight="false" outlineLevel="0" collapsed="false">
      <c r="A826" s="6" t="n">
        <v>825</v>
      </c>
      <c r="B826" s="7" t="s">
        <v>4312</v>
      </c>
      <c r="C826" s="6" t="str">
        <f aca="false">IF(U826&lt;&gt;"","Client",IF(D826&gt;=9,"A",IF(D826&gt;=7,"B","C")))</f>
        <v>C</v>
      </c>
      <c r="D826" s="6" t="n">
        <f aca="false">E826+F826+G826</f>
        <v>1</v>
      </c>
      <c r="E826" s="6" t="n">
        <v>1</v>
      </c>
      <c r="F826" s="6" t="n">
        <v>0</v>
      </c>
      <c r="G826" s="8" t="n">
        <v>0</v>
      </c>
      <c r="H826" s="6" t="s">
        <v>1598</v>
      </c>
      <c r="I826" s="6" t="s">
        <v>1445</v>
      </c>
      <c r="J826" s="2" t="s">
        <v>4313</v>
      </c>
      <c r="K826" s="2" t="s">
        <v>2828</v>
      </c>
      <c r="L826" s="2" t="s">
        <v>1539</v>
      </c>
      <c r="M826" s="2"/>
      <c r="N826" s="2"/>
      <c r="O826" s="2"/>
      <c r="P826" s="2" t="s">
        <v>4314</v>
      </c>
      <c r="Q826" s="6" t="s">
        <v>332</v>
      </c>
      <c r="R826" s="6" t="s">
        <v>106</v>
      </c>
      <c r="S826" s="9" t="s">
        <v>4315</v>
      </c>
      <c r="T826" s="6"/>
      <c r="U826" s="6"/>
      <c r="V826" s="10"/>
      <c r="W826" s="10" t="s">
        <v>88</v>
      </c>
      <c r="X826" s="10"/>
      <c r="Y826" s="10"/>
    </row>
    <row r="827" customFormat="false" ht="23.85" hidden="false" customHeight="false" outlineLevel="0" collapsed="false">
      <c r="A827" s="6" t="n">
        <v>826</v>
      </c>
      <c r="B827" s="7" t="s">
        <v>4316</v>
      </c>
      <c r="C827" s="6" t="str">
        <f aca="false">IF(U827&lt;&gt;"","Client",IF(D827&gt;=9,"A",IF(D827&gt;=7,"B","C")))</f>
        <v>C</v>
      </c>
      <c r="D827" s="6" t="n">
        <f aca="false">E827+F827+G827</f>
        <v>1</v>
      </c>
      <c r="E827" s="6" t="n">
        <v>1</v>
      </c>
      <c r="F827" s="6" t="n">
        <v>0</v>
      </c>
      <c r="G827" s="8" t="n">
        <v>0</v>
      </c>
      <c r="H827" s="6" t="s">
        <v>1598</v>
      </c>
      <c r="I827" s="6" t="s">
        <v>1445</v>
      </c>
      <c r="J827" s="2" t="s">
        <v>4317</v>
      </c>
      <c r="K827" s="2" t="s">
        <v>4318</v>
      </c>
      <c r="L827" s="2" t="s">
        <v>127</v>
      </c>
      <c r="M827" s="2"/>
      <c r="N827" s="2"/>
      <c r="O827" s="2"/>
      <c r="P827" s="2" t="s">
        <v>4319</v>
      </c>
      <c r="Q827" s="6" t="s">
        <v>517</v>
      </c>
      <c r="R827" s="6" t="s">
        <v>106</v>
      </c>
      <c r="S827" s="9" t="s">
        <v>4320</v>
      </c>
      <c r="T827" s="6"/>
      <c r="U827" s="6"/>
      <c r="V827" s="10"/>
      <c r="W827" s="10" t="s">
        <v>88</v>
      </c>
      <c r="X827" s="10"/>
      <c r="Y827" s="10"/>
    </row>
    <row r="828" customFormat="false" ht="23.85" hidden="false" customHeight="false" outlineLevel="0" collapsed="false">
      <c r="A828" s="6" t="n">
        <v>827</v>
      </c>
      <c r="B828" s="7" t="s">
        <v>4321</v>
      </c>
      <c r="C828" s="6" t="str">
        <f aca="false">IF(U828&lt;&gt;"","Client",IF(D828&gt;=9,"A",IF(D828&gt;=7,"B","C")))</f>
        <v>C</v>
      </c>
      <c r="D828" s="6" t="n">
        <f aca="false">E828+F828+G828</f>
        <v>1</v>
      </c>
      <c r="E828" s="6" t="n">
        <v>1</v>
      </c>
      <c r="F828" s="6" t="n">
        <v>0</v>
      </c>
      <c r="G828" s="8" t="n">
        <v>0</v>
      </c>
      <c r="H828" s="6" t="s">
        <v>1598</v>
      </c>
      <c r="I828" s="6" t="s">
        <v>1445</v>
      </c>
      <c r="J828" s="2" t="s">
        <v>4322</v>
      </c>
      <c r="K828" s="2" t="s">
        <v>3475</v>
      </c>
      <c r="L828" s="2" t="s">
        <v>127</v>
      </c>
      <c r="M828" s="2"/>
      <c r="N828" s="2"/>
      <c r="O828" s="2"/>
      <c r="P828" s="2" t="s">
        <v>4323</v>
      </c>
      <c r="Q828" s="6" t="s">
        <v>97</v>
      </c>
      <c r="R828" s="6" t="s">
        <v>106</v>
      </c>
      <c r="S828" s="9" t="s">
        <v>4324</v>
      </c>
      <c r="T828" s="9" t="s">
        <v>2402</v>
      </c>
      <c r="U828" s="6"/>
      <c r="V828" s="10"/>
      <c r="W828" s="10" t="s">
        <v>88</v>
      </c>
      <c r="X828" s="10"/>
      <c r="Y828" s="10"/>
    </row>
    <row r="829" customFormat="false" ht="23.85" hidden="false" customHeight="false" outlineLevel="0" collapsed="false">
      <c r="A829" s="6" t="n">
        <v>828</v>
      </c>
      <c r="B829" s="7" t="s">
        <v>4325</v>
      </c>
      <c r="C829" s="6" t="str">
        <f aca="false">IF(U829&lt;&gt;"","Client",IF(D829&gt;=9,"A",IF(D829&gt;=7,"B","C")))</f>
        <v>C</v>
      </c>
      <c r="D829" s="6" t="n">
        <f aca="false">E829+F829+G829</f>
        <v>1</v>
      </c>
      <c r="E829" s="6" t="n">
        <v>1</v>
      </c>
      <c r="F829" s="6" t="n">
        <v>0</v>
      </c>
      <c r="G829" s="8" t="n">
        <v>0</v>
      </c>
      <c r="H829" s="6" t="s">
        <v>1598</v>
      </c>
      <c r="I829" s="6" t="s">
        <v>1445</v>
      </c>
      <c r="J829" s="2" t="s">
        <v>4326</v>
      </c>
      <c r="K829" s="2" t="s">
        <v>3574</v>
      </c>
      <c r="L829" s="2" t="s">
        <v>127</v>
      </c>
      <c r="M829" s="2"/>
      <c r="N829" s="2"/>
      <c r="O829" s="2"/>
      <c r="P829" s="2" t="s">
        <v>4327</v>
      </c>
      <c r="Q829" s="6" t="s">
        <v>97</v>
      </c>
      <c r="R829" s="6" t="s">
        <v>106</v>
      </c>
      <c r="S829" s="9" t="s">
        <v>2149</v>
      </c>
      <c r="T829" s="6"/>
      <c r="U829" s="6"/>
      <c r="V829" s="10"/>
      <c r="W829" s="10" t="s">
        <v>88</v>
      </c>
      <c r="X829" s="10"/>
      <c r="Y829" s="10"/>
    </row>
    <row r="830" customFormat="false" ht="15" hidden="false" customHeight="false" outlineLevel="0" collapsed="false">
      <c r="A830" s="6" t="n">
        <v>829</v>
      </c>
      <c r="B830" s="7" t="s">
        <v>4328</v>
      </c>
      <c r="C830" s="6" t="str">
        <f aca="false">IF(U830&lt;&gt;"","Client",IF(D830&gt;=9,"A",IF(D830&gt;=7,"B","C")))</f>
        <v>C</v>
      </c>
      <c r="D830" s="6" t="n">
        <f aca="false">E830+F830+G830</f>
        <v>1</v>
      </c>
      <c r="E830" s="6" t="n">
        <v>1</v>
      </c>
      <c r="F830" s="6" t="n">
        <v>0</v>
      </c>
      <c r="G830" s="8" t="n">
        <v>0</v>
      </c>
      <c r="H830" s="6" t="s">
        <v>1583</v>
      </c>
      <c r="I830" s="6" t="s">
        <v>1445</v>
      </c>
      <c r="J830" s="2" t="s">
        <v>1630</v>
      </c>
      <c r="K830" s="2" t="s">
        <v>4329</v>
      </c>
      <c r="L830" s="2" t="s">
        <v>652</v>
      </c>
      <c r="M830" s="2"/>
      <c r="N830" s="2"/>
      <c r="O830" s="2" t="s">
        <v>4330</v>
      </c>
      <c r="P830" s="2" t="s">
        <v>4331</v>
      </c>
      <c r="Q830" s="6" t="s">
        <v>4332</v>
      </c>
      <c r="R830" s="6" t="s">
        <v>106</v>
      </c>
      <c r="S830" s="9" t="s">
        <v>4333</v>
      </c>
      <c r="T830" s="6"/>
      <c r="U830" s="6"/>
      <c r="V830" s="10"/>
      <c r="W830" s="10" t="s">
        <v>88</v>
      </c>
      <c r="X830" s="10"/>
      <c r="Y830" s="10"/>
    </row>
    <row r="831" customFormat="false" ht="23.85" hidden="false" customHeight="false" outlineLevel="0" collapsed="false">
      <c r="A831" s="6" t="n">
        <v>830</v>
      </c>
      <c r="B831" s="7" t="s">
        <v>4334</v>
      </c>
      <c r="C831" s="6" t="str">
        <f aca="false">IF(U831&lt;&gt;"","Client",IF(D831&gt;=9,"A",IF(D831&gt;=7,"B","C")))</f>
        <v>C</v>
      </c>
      <c r="D831" s="6" t="n">
        <f aca="false">E831+F831+G831</f>
        <v>1</v>
      </c>
      <c r="E831" s="6" t="n">
        <v>1</v>
      </c>
      <c r="F831" s="6" t="n">
        <v>0</v>
      </c>
      <c r="G831" s="8" t="n">
        <v>0</v>
      </c>
      <c r="H831" s="6" t="s">
        <v>1215</v>
      </c>
      <c r="I831" s="6" t="s">
        <v>1445</v>
      </c>
      <c r="J831" s="2" t="s">
        <v>4335</v>
      </c>
      <c r="K831" s="2" t="s">
        <v>4336</v>
      </c>
      <c r="L831" s="2" t="s">
        <v>652</v>
      </c>
      <c r="M831" s="2"/>
      <c r="N831" s="2"/>
      <c r="O831" s="2"/>
      <c r="P831" s="2" t="s">
        <v>4337</v>
      </c>
      <c r="Q831" s="6" t="s">
        <v>1636</v>
      </c>
      <c r="R831" s="6" t="s">
        <v>106</v>
      </c>
      <c r="S831" s="9" t="s">
        <v>4338</v>
      </c>
      <c r="T831" s="6"/>
      <c r="U831" s="6"/>
      <c r="V831" s="10"/>
      <c r="W831" s="10" t="s">
        <v>88</v>
      </c>
      <c r="X831" s="10"/>
      <c r="Y831" s="10"/>
    </row>
    <row r="832" customFormat="false" ht="15" hidden="false" customHeight="false" outlineLevel="0" collapsed="false">
      <c r="A832" s="6" t="n">
        <v>831</v>
      </c>
      <c r="B832" s="7" t="s">
        <v>4339</v>
      </c>
      <c r="C832" s="6" t="str">
        <f aca="false">IF(U832&lt;&gt;"","Client",IF(D832&gt;=9,"A",IF(D832&gt;=7,"B","C")))</f>
        <v>C</v>
      </c>
      <c r="D832" s="6" t="n">
        <f aca="false">E832+F832+G832</f>
        <v>1</v>
      </c>
      <c r="E832" s="6" t="n">
        <v>1</v>
      </c>
      <c r="F832" s="6" t="n">
        <v>0</v>
      </c>
      <c r="G832" s="8" t="n">
        <v>0</v>
      </c>
      <c r="H832" s="6" t="s">
        <v>3000</v>
      </c>
      <c r="I832" s="6" t="s">
        <v>1445</v>
      </c>
      <c r="J832" s="2" t="s">
        <v>263</v>
      </c>
      <c r="K832" s="2" t="s">
        <v>2977</v>
      </c>
      <c r="L832" s="2" t="s">
        <v>102</v>
      </c>
      <c r="M832" s="2"/>
      <c r="N832" s="2"/>
      <c r="O832" s="2" t="s">
        <v>3339</v>
      </c>
      <c r="P832" s="2" t="s">
        <v>4340</v>
      </c>
      <c r="Q832" s="6" t="s">
        <v>3698</v>
      </c>
      <c r="R832" s="6" t="s">
        <v>106</v>
      </c>
      <c r="S832" s="9" t="s">
        <v>4341</v>
      </c>
      <c r="T832" s="6"/>
      <c r="U832" s="6"/>
      <c r="V832" s="10"/>
      <c r="W832" s="10" t="s">
        <v>88</v>
      </c>
      <c r="X832" s="10"/>
      <c r="Y832" s="10"/>
    </row>
    <row r="833" customFormat="false" ht="15" hidden="false" customHeight="false" outlineLevel="0" collapsed="false">
      <c r="A833" s="6" t="n">
        <v>832</v>
      </c>
      <c r="B833" s="7" t="s">
        <v>4342</v>
      </c>
      <c r="C833" s="6" t="str">
        <f aca="false">IF(U833&lt;&gt;"","Client",IF(D833&gt;=9,"A",IF(D833&gt;=7,"B","C")))</f>
        <v>C</v>
      </c>
      <c r="D833" s="6" t="n">
        <f aca="false">E833+F833+G833</f>
        <v>1</v>
      </c>
      <c r="E833" s="6" t="n">
        <v>1</v>
      </c>
      <c r="F833" s="6" t="n">
        <v>0</v>
      </c>
      <c r="G833" s="8" t="n">
        <v>0</v>
      </c>
      <c r="H833" s="6" t="s">
        <v>2312</v>
      </c>
      <c r="I833" s="6" t="s">
        <v>1445</v>
      </c>
      <c r="J833" s="2" t="s">
        <v>3793</v>
      </c>
      <c r="K833" s="2" t="s">
        <v>3356</v>
      </c>
      <c r="L833" s="2" t="s">
        <v>1175</v>
      </c>
      <c r="M833" s="2"/>
      <c r="N833" s="2"/>
      <c r="O833" s="2" t="s">
        <v>3794</v>
      </c>
      <c r="P833" s="2" t="s">
        <v>4343</v>
      </c>
      <c r="Q833" s="6" t="s">
        <v>1455</v>
      </c>
      <c r="R833" s="6" t="s">
        <v>106</v>
      </c>
      <c r="S833" s="9" t="s">
        <v>4344</v>
      </c>
      <c r="T833" s="6"/>
      <c r="U833" s="6"/>
      <c r="V833" s="10"/>
      <c r="W833" s="10" t="s">
        <v>88</v>
      </c>
      <c r="X833" s="10"/>
      <c r="Y833" s="10"/>
    </row>
    <row r="834" customFormat="false" ht="23.85" hidden="false" customHeight="false" outlineLevel="0" collapsed="false">
      <c r="A834" s="6" t="n">
        <v>833</v>
      </c>
      <c r="B834" s="7" t="s">
        <v>4345</v>
      </c>
      <c r="C834" s="6" t="str">
        <f aca="false">IF(U834&lt;&gt;"","Client",IF(D834&gt;=9,"A",IF(D834&gt;=7,"B","C")))</f>
        <v>C</v>
      </c>
      <c r="D834" s="6" t="n">
        <f aca="false">E834+F834+G834</f>
        <v>1</v>
      </c>
      <c r="E834" s="6" t="n">
        <v>1</v>
      </c>
      <c r="F834" s="6" t="n">
        <v>0</v>
      </c>
      <c r="G834" s="8" t="n">
        <v>0</v>
      </c>
      <c r="H834" s="6" t="s">
        <v>1598</v>
      </c>
      <c r="I834" s="6" t="s">
        <v>1445</v>
      </c>
      <c r="J834" s="2" t="s">
        <v>3793</v>
      </c>
      <c r="K834" s="2" t="s">
        <v>3356</v>
      </c>
      <c r="L834" s="2" t="s">
        <v>1175</v>
      </c>
      <c r="M834" s="2"/>
      <c r="N834" s="2"/>
      <c r="O834" s="2" t="s">
        <v>3794</v>
      </c>
      <c r="P834" s="2" t="s">
        <v>4346</v>
      </c>
      <c r="Q834" s="6" t="s">
        <v>967</v>
      </c>
      <c r="R834" s="6" t="s">
        <v>106</v>
      </c>
      <c r="S834" s="9" t="s">
        <v>4347</v>
      </c>
      <c r="T834" s="6"/>
      <c r="U834" s="6"/>
      <c r="V834" s="10"/>
      <c r="W834" s="10" t="s">
        <v>88</v>
      </c>
      <c r="X834" s="10"/>
      <c r="Y834" s="10"/>
    </row>
    <row r="835" customFormat="false" ht="23.85" hidden="false" customHeight="false" outlineLevel="0" collapsed="false">
      <c r="A835" s="6" t="n">
        <v>834</v>
      </c>
      <c r="B835" s="7" t="s">
        <v>2982</v>
      </c>
      <c r="C835" s="6" t="str">
        <f aca="false">IF(U835&lt;&gt;"","Client",IF(D835&gt;=9,"A",IF(D835&gt;=7,"B","C")))</f>
        <v>C</v>
      </c>
      <c r="D835" s="6" t="n">
        <f aca="false">E835+F835+G835</f>
        <v>1</v>
      </c>
      <c r="E835" s="6" t="n">
        <v>1</v>
      </c>
      <c r="F835" s="6" t="n">
        <v>0</v>
      </c>
      <c r="G835" s="8" t="n">
        <v>0</v>
      </c>
      <c r="H835" s="6" t="s">
        <v>1598</v>
      </c>
      <c r="I835" s="6" t="s">
        <v>1445</v>
      </c>
      <c r="J835" s="2" t="s">
        <v>4348</v>
      </c>
      <c r="K835" s="2" t="s">
        <v>2125</v>
      </c>
      <c r="L835" s="2" t="s">
        <v>167</v>
      </c>
      <c r="M835" s="2"/>
      <c r="N835" s="2"/>
      <c r="O835" s="2"/>
      <c r="P835" s="2" t="s">
        <v>4349</v>
      </c>
      <c r="Q835" s="6" t="s">
        <v>130</v>
      </c>
      <c r="R835" s="6" t="s">
        <v>85</v>
      </c>
      <c r="S835" s="9" t="s">
        <v>4350</v>
      </c>
      <c r="T835" s="6"/>
      <c r="U835" s="6"/>
      <c r="V835" s="10"/>
      <c r="W835" s="10" t="s">
        <v>88</v>
      </c>
      <c r="X835" s="10"/>
      <c r="Y835" s="10"/>
    </row>
    <row r="836" customFormat="false" ht="23.85" hidden="false" customHeight="false" outlineLevel="0" collapsed="false">
      <c r="A836" s="6" t="n">
        <v>835</v>
      </c>
      <c r="B836" s="7" t="s">
        <v>4351</v>
      </c>
      <c r="C836" s="6" t="str">
        <f aca="false">IF(U836&lt;&gt;"","Client",IF(D836&gt;=9,"A",IF(D836&gt;=7,"B","C")))</f>
        <v>C</v>
      </c>
      <c r="D836" s="6" t="n">
        <f aca="false">E836+F836+G836</f>
        <v>1</v>
      </c>
      <c r="E836" s="6" t="n">
        <v>1</v>
      </c>
      <c r="F836" s="6" t="n">
        <v>0</v>
      </c>
      <c r="G836" s="8" t="n">
        <v>0</v>
      </c>
      <c r="H836" s="6" t="s">
        <v>1583</v>
      </c>
      <c r="I836" s="6" t="s">
        <v>1445</v>
      </c>
      <c r="J836" s="2" t="s">
        <v>3375</v>
      </c>
      <c r="K836" s="2" t="s">
        <v>4352</v>
      </c>
      <c r="L836" s="2" t="s">
        <v>1539</v>
      </c>
      <c r="M836" s="2"/>
      <c r="N836" s="2"/>
      <c r="O836" s="2" t="s">
        <v>4353</v>
      </c>
      <c r="P836" s="2" t="s">
        <v>4354</v>
      </c>
      <c r="Q836" s="6" t="s">
        <v>683</v>
      </c>
      <c r="R836" s="6" t="s">
        <v>85</v>
      </c>
      <c r="S836" s="9" t="s">
        <v>4355</v>
      </c>
      <c r="T836" s="6"/>
      <c r="U836" s="6"/>
      <c r="V836" s="10"/>
      <c r="W836" s="10" t="s">
        <v>88</v>
      </c>
      <c r="X836" s="10"/>
      <c r="Y836" s="10"/>
    </row>
    <row r="837" customFormat="false" ht="15" hidden="false" customHeight="false" outlineLevel="0" collapsed="false">
      <c r="A837" s="6" t="n">
        <v>836</v>
      </c>
      <c r="B837" s="7" t="s">
        <v>4356</v>
      </c>
      <c r="C837" s="6" t="str">
        <f aca="false">IF(U837&lt;&gt;"","Client",IF(D837&gt;=9,"A",IF(D837&gt;=7,"B","C")))</f>
        <v>C</v>
      </c>
      <c r="D837" s="6" t="n">
        <f aca="false">E837+F837+G837</f>
        <v>1</v>
      </c>
      <c r="E837" s="6" t="n">
        <v>1</v>
      </c>
      <c r="F837" s="6" t="n">
        <v>0</v>
      </c>
      <c r="G837" s="8" t="n">
        <v>0</v>
      </c>
      <c r="H837" s="6" t="s">
        <v>1215</v>
      </c>
      <c r="I837" s="6" t="s">
        <v>1445</v>
      </c>
      <c r="J837" s="2" t="s">
        <v>4357</v>
      </c>
      <c r="K837" s="2" t="s">
        <v>664</v>
      </c>
      <c r="L837" s="2" t="s">
        <v>102</v>
      </c>
      <c r="M837" s="2"/>
      <c r="N837" s="2"/>
      <c r="O837" s="2"/>
      <c r="P837" s="2" t="s">
        <v>4358</v>
      </c>
      <c r="Q837" s="6" t="s">
        <v>1455</v>
      </c>
      <c r="R837" s="6" t="s">
        <v>106</v>
      </c>
      <c r="S837" s="9" t="s">
        <v>4359</v>
      </c>
      <c r="T837" s="6"/>
      <c r="U837" s="6"/>
      <c r="V837" s="10"/>
      <c r="W837" s="10" t="s">
        <v>88</v>
      </c>
      <c r="X837" s="10"/>
      <c r="Y837" s="10"/>
    </row>
    <row r="838" customFormat="false" ht="15" hidden="false" customHeight="false" outlineLevel="0" collapsed="false">
      <c r="A838" s="6" t="n">
        <v>837</v>
      </c>
      <c r="B838" s="7" t="s">
        <v>4360</v>
      </c>
      <c r="C838" s="6" t="str">
        <f aca="false">IF(U838&lt;&gt;"","Client",IF(D838&gt;=9,"A",IF(D838&gt;=7,"B","C")))</f>
        <v>C</v>
      </c>
      <c r="D838" s="6" t="n">
        <f aca="false">E838+F838+G838</f>
        <v>1</v>
      </c>
      <c r="E838" s="6" t="n">
        <v>1</v>
      </c>
      <c r="F838" s="6" t="n">
        <v>0</v>
      </c>
      <c r="G838" s="8" t="n">
        <v>0</v>
      </c>
      <c r="H838" s="6" t="s">
        <v>1644</v>
      </c>
      <c r="I838" s="6" t="s">
        <v>1445</v>
      </c>
      <c r="J838" s="2" t="s">
        <v>4361</v>
      </c>
      <c r="K838" s="2" t="s">
        <v>4362</v>
      </c>
      <c r="L838" s="2" t="s">
        <v>102</v>
      </c>
      <c r="M838" s="2"/>
      <c r="N838" s="2"/>
      <c r="O838" s="2"/>
      <c r="P838" s="2" t="s">
        <v>4363</v>
      </c>
      <c r="Q838" s="6" t="s">
        <v>332</v>
      </c>
      <c r="R838" s="6" t="s">
        <v>106</v>
      </c>
      <c r="S838" s="9" t="s">
        <v>4364</v>
      </c>
      <c r="T838" s="6"/>
      <c r="U838" s="6"/>
      <c r="V838" s="10"/>
      <c r="W838" s="10" t="s">
        <v>88</v>
      </c>
      <c r="X838" s="10"/>
      <c r="Y838" s="10"/>
    </row>
    <row r="839" customFormat="false" ht="23.85" hidden="false" customHeight="false" outlineLevel="0" collapsed="false">
      <c r="A839" s="6" t="n">
        <v>838</v>
      </c>
      <c r="B839" s="7" t="s">
        <v>4365</v>
      </c>
      <c r="C839" s="6" t="str">
        <f aca="false">IF(U839&lt;&gt;"","Client",IF(D839&gt;=9,"A",IF(D839&gt;=7,"B","C")))</f>
        <v>C</v>
      </c>
      <c r="D839" s="6" t="n">
        <f aca="false">E839+F839+G839</f>
        <v>1</v>
      </c>
      <c r="E839" s="6" t="n">
        <v>1</v>
      </c>
      <c r="F839" s="6" t="n">
        <v>0</v>
      </c>
      <c r="G839" s="8" t="n">
        <v>0</v>
      </c>
      <c r="H839" s="6" t="s">
        <v>1598</v>
      </c>
      <c r="I839" s="6" t="s">
        <v>1445</v>
      </c>
      <c r="J839" s="2" t="s">
        <v>4366</v>
      </c>
      <c r="K839" s="2" t="s">
        <v>4367</v>
      </c>
      <c r="L839" s="2" t="s">
        <v>652</v>
      </c>
      <c r="M839" s="2"/>
      <c r="N839" s="2"/>
      <c r="O839" s="2" t="s">
        <v>4368</v>
      </c>
      <c r="P839" s="2" t="s">
        <v>4369</v>
      </c>
      <c r="Q839" s="6" t="s">
        <v>4370</v>
      </c>
      <c r="R839" s="6" t="s">
        <v>106</v>
      </c>
      <c r="S839" s="9" t="s">
        <v>4371</v>
      </c>
      <c r="T839" s="6"/>
      <c r="U839" s="6"/>
      <c r="V839" s="10"/>
      <c r="W839" s="10" t="s">
        <v>88</v>
      </c>
      <c r="X839" s="10"/>
      <c r="Y839" s="10"/>
    </row>
    <row r="840" customFormat="false" ht="15" hidden="false" customHeight="false" outlineLevel="0" collapsed="false">
      <c r="A840" s="6" t="n">
        <v>839</v>
      </c>
      <c r="B840" s="7" t="s">
        <v>4372</v>
      </c>
      <c r="C840" s="6" t="str">
        <f aca="false">IF(U840&lt;&gt;"","Client",IF(D840&gt;=9,"A",IF(D840&gt;=7,"B","C")))</f>
        <v>C</v>
      </c>
      <c r="D840" s="6" t="n">
        <f aca="false">E840+F840+G840</f>
        <v>1</v>
      </c>
      <c r="E840" s="6" t="n">
        <v>1</v>
      </c>
      <c r="F840" s="6" t="n">
        <v>0</v>
      </c>
      <c r="G840" s="8" t="n">
        <v>0</v>
      </c>
      <c r="H840" s="6" t="s">
        <v>1215</v>
      </c>
      <c r="I840" s="6" t="s">
        <v>1445</v>
      </c>
      <c r="J840" s="2" t="s">
        <v>4373</v>
      </c>
      <c r="K840" s="2" t="s">
        <v>4374</v>
      </c>
      <c r="L840" s="2" t="s">
        <v>127</v>
      </c>
      <c r="M840" s="2"/>
      <c r="N840" s="2"/>
      <c r="O840" s="2"/>
      <c r="P840" s="2" t="s">
        <v>4375</v>
      </c>
      <c r="Q840" s="6" t="s">
        <v>517</v>
      </c>
      <c r="R840" s="6" t="s">
        <v>85</v>
      </c>
      <c r="S840" s="9" t="s">
        <v>4376</v>
      </c>
      <c r="T840" s="9" t="s">
        <v>4377</v>
      </c>
      <c r="U840" s="6"/>
      <c r="V840" s="10"/>
      <c r="W840" s="10" t="s">
        <v>88</v>
      </c>
      <c r="X840" s="10"/>
      <c r="Y840" s="10"/>
    </row>
    <row r="841" customFormat="false" ht="23.85" hidden="false" customHeight="false" outlineLevel="0" collapsed="false">
      <c r="A841" s="6" t="n">
        <v>840</v>
      </c>
      <c r="B841" s="7" t="s">
        <v>4378</v>
      </c>
      <c r="C841" s="6" t="str">
        <f aca="false">IF(U841&lt;&gt;"","Client",IF(D841&gt;=9,"A",IF(D841&gt;=7,"B","C")))</f>
        <v>C</v>
      </c>
      <c r="D841" s="6" t="n">
        <f aca="false">E841+F841+G841</f>
        <v>1</v>
      </c>
      <c r="E841" s="6" t="n">
        <v>1</v>
      </c>
      <c r="F841" s="6" t="n">
        <v>0</v>
      </c>
      <c r="G841" s="8" t="n">
        <v>0</v>
      </c>
      <c r="H841" s="6" t="s">
        <v>1215</v>
      </c>
      <c r="I841" s="6" t="s">
        <v>1445</v>
      </c>
      <c r="J841" s="2" t="s">
        <v>3360</v>
      </c>
      <c r="K841" s="2" t="s">
        <v>4379</v>
      </c>
      <c r="L841" s="2" t="s">
        <v>652</v>
      </c>
      <c r="M841" s="2"/>
      <c r="N841" s="2"/>
      <c r="O841" s="2" t="s">
        <v>4380</v>
      </c>
      <c r="P841" s="2" t="s">
        <v>4381</v>
      </c>
      <c r="Q841" s="6" t="s">
        <v>123</v>
      </c>
      <c r="R841" s="6" t="s">
        <v>98</v>
      </c>
      <c r="S841" s="9" t="s">
        <v>4382</v>
      </c>
      <c r="T841" s="6"/>
      <c r="U841" s="6"/>
      <c r="V841" s="10"/>
      <c r="W841" s="10" t="s">
        <v>88</v>
      </c>
      <c r="X841" s="10"/>
      <c r="Y841" s="10"/>
    </row>
    <row r="842" customFormat="false" ht="23.85" hidden="false" customHeight="false" outlineLevel="0" collapsed="false">
      <c r="A842" s="6" t="n">
        <v>841</v>
      </c>
      <c r="B842" s="7" t="s">
        <v>4383</v>
      </c>
      <c r="C842" s="6" t="str">
        <f aca="false">IF(U842&lt;&gt;"","Client",IF(D842&gt;=9,"A",IF(D842&gt;=7,"B","C")))</f>
        <v>C</v>
      </c>
      <c r="D842" s="6" t="n">
        <f aca="false">E842+F842+G842</f>
        <v>1</v>
      </c>
      <c r="E842" s="6" t="n">
        <v>1</v>
      </c>
      <c r="F842" s="6" t="n">
        <v>0</v>
      </c>
      <c r="G842" s="8" t="n">
        <v>0</v>
      </c>
      <c r="H842" s="6" t="s">
        <v>1598</v>
      </c>
      <c r="I842" s="6" t="s">
        <v>1445</v>
      </c>
      <c r="J842" s="2" t="s">
        <v>3562</v>
      </c>
      <c r="K842" s="2" t="s">
        <v>1229</v>
      </c>
      <c r="L842" s="2" t="s">
        <v>102</v>
      </c>
      <c r="M842" s="2"/>
      <c r="N842" s="2"/>
      <c r="O842" s="2" t="s">
        <v>4384</v>
      </c>
      <c r="P842" s="2" t="s">
        <v>4385</v>
      </c>
      <c r="Q842" s="6" t="s">
        <v>389</v>
      </c>
      <c r="R842" s="6" t="s">
        <v>85</v>
      </c>
      <c r="S842" s="9" t="s">
        <v>672</v>
      </c>
      <c r="T842" s="6"/>
      <c r="U842" s="6"/>
      <c r="V842" s="10"/>
      <c r="W842" s="10" t="s">
        <v>88</v>
      </c>
      <c r="X842" s="10"/>
      <c r="Y842" s="10"/>
    </row>
    <row r="843" customFormat="false" ht="23.85" hidden="false" customHeight="false" outlineLevel="0" collapsed="false">
      <c r="A843" s="6" t="n">
        <v>842</v>
      </c>
      <c r="B843" s="7" t="s">
        <v>4386</v>
      </c>
      <c r="C843" s="6" t="str">
        <f aca="false">IF(U843&lt;&gt;"","Client",IF(D843&gt;=9,"A",IF(D843&gt;=7,"B","C")))</f>
        <v>C</v>
      </c>
      <c r="D843" s="6" t="n">
        <f aca="false">E843+F843+G843</f>
        <v>1</v>
      </c>
      <c r="E843" s="6" t="n">
        <v>1</v>
      </c>
      <c r="F843" s="6" t="n">
        <v>0</v>
      </c>
      <c r="G843" s="8" t="n">
        <v>0</v>
      </c>
      <c r="H843" s="6" t="s">
        <v>1598</v>
      </c>
      <c r="I843" s="6" t="s">
        <v>1445</v>
      </c>
      <c r="J843" s="2" t="s">
        <v>3562</v>
      </c>
      <c r="K843" s="2" t="s">
        <v>2828</v>
      </c>
      <c r="L843" s="2" t="s">
        <v>1539</v>
      </c>
      <c r="M843" s="2"/>
      <c r="N843" s="2"/>
      <c r="O843" s="2"/>
      <c r="P843" s="2" t="s">
        <v>4387</v>
      </c>
      <c r="Q843" s="6" t="s">
        <v>411</v>
      </c>
      <c r="R843" s="6" t="s">
        <v>106</v>
      </c>
      <c r="S843" s="9" t="s">
        <v>4388</v>
      </c>
      <c r="T843" s="6"/>
      <c r="U843" s="6"/>
      <c r="V843" s="10"/>
      <c r="W843" s="10" t="s">
        <v>88</v>
      </c>
      <c r="X843" s="10"/>
      <c r="Y843" s="10"/>
    </row>
    <row r="844" customFormat="false" ht="23.85" hidden="false" customHeight="false" outlineLevel="0" collapsed="false">
      <c r="A844" s="6" t="n">
        <v>843</v>
      </c>
      <c r="B844" s="7" t="s">
        <v>4389</v>
      </c>
      <c r="C844" s="6" t="str">
        <f aca="false">IF(U844&lt;&gt;"","Client",IF(D844&gt;=9,"A",IF(D844&gt;=7,"B","C")))</f>
        <v>C</v>
      </c>
      <c r="D844" s="6" t="n">
        <f aca="false">E844+F844+G844</f>
        <v>1</v>
      </c>
      <c r="E844" s="6" t="n">
        <v>1</v>
      </c>
      <c r="F844" s="6" t="n">
        <v>0</v>
      </c>
      <c r="G844" s="8" t="n">
        <v>0</v>
      </c>
      <c r="H844" s="6" t="s">
        <v>1598</v>
      </c>
      <c r="I844" s="6" t="s">
        <v>1445</v>
      </c>
      <c r="J844" s="2" t="s">
        <v>3562</v>
      </c>
      <c r="K844" s="2" t="s">
        <v>4390</v>
      </c>
      <c r="L844" s="2" t="s">
        <v>652</v>
      </c>
      <c r="M844" s="2"/>
      <c r="N844" s="2"/>
      <c r="O844" s="2"/>
      <c r="P844" s="2" t="s">
        <v>4391</v>
      </c>
      <c r="Q844" s="6" t="s">
        <v>84</v>
      </c>
      <c r="R844" s="6" t="s">
        <v>106</v>
      </c>
      <c r="S844" s="9" t="s">
        <v>605</v>
      </c>
      <c r="T844" s="6"/>
      <c r="U844" s="6"/>
      <c r="V844" s="10"/>
      <c r="W844" s="10" t="s">
        <v>88</v>
      </c>
      <c r="X844" s="10"/>
      <c r="Y844" s="10"/>
    </row>
    <row r="845" customFormat="false" ht="15" hidden="false" customHeight="false" outlineLevel="0" collapsed="false">
      <c r="A845" s="6" t="n">
        <v>844</v>
      </c>
      <c r="B845" s="7" t="s">
        <v>4392</v>
      </c>
      <c r="C845" s="6" t="str">
        <f aca="false">IF(U845&lt;&gt;"","Client",IF(D845&gt;=9,"A",IF(D845&gt;=7,"B","C")))</f>
        <v>C</v>
      </c>
      <c r="D845" s="6" t="n">
        <f aca="false">E845+F845+G845</f>
        <v>1</v>
      </c>
      <c r="E845" s="6" t="n">
        <v>1</v>
      </c>
      <c r="F845" s="6" t="n">
        <v>0</v>
      </c>
      <c r="G845" s="8" t="n">
        <v>0</v>
      </c>
      <c r="H845" s="6" t="s">
        <v>1215</v>
      </c>
      <c r="I845" s="6" t="s">
        <v>1445</v>
      </c>
      <c r="J845" s="2" t="s">
        <v>3849</v>
      </c>
      <c r="K845" s="2" t="s">
        <v>819</v>
      </c>
      <c r="L845" s="2" t="s">
        <v>127</v>
      </c>
      <c r="M845" s="2"/>
      <c r="N845" s="2"/>
      <c r="O845" s="2"/>
      <c r="P845" s="2" t="s">
        <v>4393</v>
      </c>
      <c r="Q845" s="6" t="s">
        <v>411</v>
      </c>
      <c r="R845" s="6" t="s">
        <v>85</v>
      </c>
      <c r="S845" s="9" t="s">
        <v>4394</v>
      </c>
      <c r="T845" s="6"/>
      <c r="U845" s="6"/>
      <c r="V845" s="10"/>
      <c r="W845" s="10" t="s">
        <v>88</v>
      </c>
      <c r="X845" s="10"/>
      <c r="Y845" s="10"/>
    </row>
    <row r="846" customFormat="false" ht="23.85" hidden="false" customHeight="false" outlineLevel="0" collapsed="false">
      <c r="A846" s="6" t="n">
        <v>845</v>
      </c>
      <c r="B846" s="7" t="s">
        <v>4395</v>
      </c>
      <c r="C846" s="6" t="str">
        <f aca="false">IF(U846&lt;&gt;"","Client",IF(D846&gt;=9,"A",IF(D846&gt;=7,"B","C")))</f>
        <v>C</v>
      </c>
      <c r="D846" s="6" t="n">
        <f aca="false">E846+F846+G846</f>
        <v>1</v>
      </c>
      <c r="E846" s="6" t="n">
        <v>1</v>
      </c>
      <c r="F846" s="6" t="n">
        <v>0</v>
      </c>
      <c r="G846" s="8" t="n">
        <v>0</v>
      </c>
      <c r="H846" s="6" t="s">
        <v>1598</v>
      </c>
      <c r="I846" s="6" t="s">
        <v>1445</v>
      </c>
      <c r="J846" s="2" t="s">
        <v>4396</v>
      </c>
      <c r="K846" s="2" t="s">
        <v>4195</v>
      </c>
      <c r="L846" s="2" t="s">
        <v>127</v>
      </c>
      <c r="M846" s="2"/>
      <c r="N846" s="2"/>
      <c r="O846" s="2"/>
      <c r="P846" s="2" t="s">
        <v>4397</v>
      </c>
      <c r="Q846" s="6" t="s">
        <v>1774</v>
      </c>
      <c r="R846" s="6" t="s">
        <v>106</v>
      </c>
      <c r="S846" s="9" t="s">
        <v>4398</v>
      </c>
      <c r="T846" s="6"/>
      <c r="U846" s="6"/>
      <c r="V846" s="10"/>
      <c r="W846" s="10" t="s">
        <v>88</v>
      </c>
      <c r="X846" s="10"/>
      <c r="Y846" s="10"/>
    </row>
    <row r="847" customFormat="false" ht="23.85" hidden="false" customHeight="false" outlineLevel="0" collapsed="false">
      <c r="A847" s="6" t="n">
        <v>846</v>
      </c>
      <c r="B847" s="7" t="s">
        <v>4399</v>
      </c>
      <c r="C847" s="6" t="str">
        <f aca="false">IF(U847&lt;&gt;"","Client",IF(D847&gt;=9,"A",IF(D847&gt;=7,"B","C")))</f>
        <v>C</v>
      </c>
      <c r="D847" s="6" t="n">
        <f aca="false">E847+F847+G847</f>
        <v>1</v>
      </c>
      <c r="E847" s="6" t="n">
        <v>1</v>
      </c>
      <c r="F847" s="6" t="n">
        <v>0</v>
      </c>
      <c r="G847" s="8" t="n">
        <v>0</v>
      </c>
      <c r="H847" s="6" t="s">
        <v>1583</v>
      </c>
      <c r="I847" s="6" t="s">
        <v>1445</v>
      </c>
      <c r="J847" s="2" t="s">
        <v>4400</v>
      </c>
      <c r="K847" s="2" t="s">
        <v>4401</v>
      </c>
      <c r="L847" s="2" t="s">
        <v>127</v>
      </c>
      <c r="M847" s="2"/>
      <c r="N847" s="2"/>
      <c r="O847" s="2" t="s">
        <v>4402</v>
      </c>
      <c r="P847" s="2" t="s">
        <v>4403</v>
      </c>
      <c r="Q847" s="6" t="s">
        <v>143</v>
      </c>
      <c r="R847" s="6" t="s">
        <v>85</v>
      </c>
      <c r="S847" s="9" t="s">
        <v>4404</v>
      </c>
      <c r="T847" s="9" t="s">
        <v>4405</v>
      </c>
      <c r="U847" s="6"/>
      <c r="V847" s="10"/>
      <c r="W847" s="10" t="s">
        <v>88</v>
      </c>
      <c r="X847" s="10"/>
      <c r="Y847" s="10"/>
    </row>
    <row r="848" customFormat="false" ht="23.85" hidden="false" customHeight="false" outlineLevel="0" collapsed="false">
      <c r="A848" s="6" t="n">
        <v>847</v>
      </c>
      <c r="B848" s="7" t="s">
        <v>4406</v>
      </c>
      <c r="C848" s="6" t="str">
        <f aca="false">IF(U848&lt;&gt;"","Client",IF(D848&gt;=9,"A",IF(D848&gt;=7,"B","C")))</f>
        <v>C</v>
      </c>
      <c r="D848" s="6" t="n">
        <f aca="false">E848+F848+G848</f>
        <v>1</v>
      </c>
      <c r="E848" s="6" t="n">
        <v>1</v>
      </c>
      <c r="F848" s="6" t="n">
        <v>0</v>
      </c>
      <c r="G848" s="8" t="n">
        <v>0</v>
      </c>
      <c r="H848" s="6" t="s">
        <v>1598</v>
      </c>
      <c r="I848" s="6" t="s">
        <v>1445</v>
      </c>
      <c r="J848" s="2" t="s">
        <v>4406</v>
      </c>
      <c r="K848" s="2" t="s">
        <v>4259</v>
      </c>
      <c r="L848" s="2" t="s">
        <v>127</v>
      </c>
      <c r="M848" s="2"/>
      <c r="N848" s="2" t="s">
        <v>1533</v>
      </c>
      <c r="O848" s="2"/>
      <c r="P848" s="2" t="s">
        <v>4407</v>
      </c>
      <c r="Q848" s="6" t="s">
        <v>281</v>
      </c>
      <c r="R848" s="6" t="s">
        <v>85</v>
      </c>
      <c r="S848" s="9" t="s">
        <v>4261</v>
      </c>
      <c r="T848" s="6"/>
      <c r="U848" s="6"/>
      <c r="V848" s="10"/>
      <c r="W848" s="10" t="s">
        <v>88</v>
      </c>
      <c r="X848" s="10"/>
      <c r="Y848" s="10"/>
    </row>
    <row r="849" customFormat="false" ht="23.85" hidden="false" customHeight="false" outlineLevel="0" collapsed="false">
      <c r="A849" s="6" t="n">
        <v>848</v>
      </c>
      <c r="B849" s="7" t="s">
        <v>4408</v>
      </c>
      <c r="C849" s="6" t="str">
        <f aca="false">IF(U849&lt;&gt;"","Client",IF(D849&gt;=9,"A",IF(D849&gt;=7,"B","C")))</f>
        <v>C</v>
      </c>
      <c r="D849" s="6" t="n">
        <f aca="false">E849+F849+G849</f>
        <v>1</v>
      </c>
      <c r="E849" s="6" t="n">
        <v>1</v>
      </c>
      <c r="F849" s="6" t="n">
        <v>0</v>
      </c>
      <c r="G849" s="8" t="n">
        <v>0</v>
      </c>
      <c r="H849" s="6" t="s">
        <v>1598</v>
      </c>
      <c r="I849" s="6" t="s">
        <v>1445</v>
      </c>
      <c r="J849" s="2" t="s">
        <v>4409</v>
      </c>
      <c r="K849" s="2" t="s">
        <v>2818</v>
      </c>
      <c r="L849" s="2" t="s">
        <v>652</v>
      </c>
      <c r="M849" s="2"/>
      <c r="N849" s="2"/>
      <c r="O849" s="2"/>
      <c r="P849" s="2" t="s">
        <v>4410</v>
      </c>
      <c r="Q849" s="6" t="s">
        <v>256</v>
      </c>
      <c r="R849" s="6" t="s">
        <v>85</v>
      </c>
      <c r="S849" s="9" t="s">
        <v>2821</v>
      </c>
      <c r="T849" s="6"/>
      <c r="U849" s="6"/>
      <c r="V849" s="10"/>
      <c r="W849" s="10" t="s">
        <v>88</v>
      </c>
      <c r="X849" s="10"/>
      <c r="Y849" s="10"/>
    </row>
    <row r="850" customFormat="false" ht="23.85" hidden="false" customHeight="false" outlineLevel="0" collapsed="false">
      <c r="A850" s="6" t="n">
        <v>849</v>
      </c>
      <c r="B850" s="7" t="s">
        <v>4411</v>
      </c>
      <c r="C850" s="6" t="str">
        <f aca="false">IF(U850&lt;&gt;"","Client",IF(D850&gt;=9,"A",IF(D850&gt;=7,"B","C")))</f>
        <v>C</v>
      </c>
      <c r="D850" s="6" t="n">
        <f aca="false">E850+F850+G850</f>
        <v>1</v>
      </c>
      <c r="E850" s="6" t="n">
        <v>1</v>
      </c>
      <c r="F850" s="6" t="n">
        <v>0</v>
      </c>
      <c r="G850" s="8" t="n">
        <v>0</v>
      </c>
      <c r="H850" s="6" t="s">
        <v>2312</v>
      </c>
      <c r="I850" s="6" t="s">
        <v>1445</v>
      </c>
      <c r="J850" s="2" t="s">
        <v>4412</v>
      </c>
      <c r="K850" s="2" t="s">
        <v>4413</v>
      </c>
      <c r="L850" s="2" t="s">
        <v>127</v>
      </c>
      <c r="M850" s="2"/>
      <c r="N850" s="2"/>
      <c r="O850" s="2"/>
      <c r="P850" s="2" t="s">
        <v>4414</v>
      </c>
      <c r="Q850" s="6" t="s">
        <v>1943</v>
      </c>
      <c r="R850" s="6" t="s">
        <v>85</v>
      </c>
      <c r="S850" s="9" t="s">
        <v>4415</v>
      </c>
      <c r="T850" s="6"/>
      <c r="U850" s="6"/>
      <c r="V850" s="10"/>
      <c r="W850" s="10" t="s">
        <v>88</v>
      </c>
      <c r="X850" s="10"/>
      <c r="Y850" s="10"/>
    </row>
    <row r="851" customFormat="false" ht="15" hidden="false" customHeight="false" outlineLevel="0" collapsed="false">
      <c r="A851" s="6" t="n">
        <v>850</v>
      </c>
      <c r="B851" s="7" t="s">
        <v>4416</v>
      </c>
      <c r="C851" s="6" t="str">
        <f aca="false">IF(U851&lt;&gt;"","Client",IF(D851&gt;=9,"A",IF(D851&gt;=7,"B","C")))</f>
        <v>C</v>
      </c>
      <c r="D851" s="6" t="n">
        <f aca="false">E851+F851+G851</f>
        <v>1</v>
      </c>
      <c r="E851" s="6" t="n">
        <v>1</v>
      </c>
      <c r="F851" s="6" t="n">
        <v>0</v>
      </c>
      <c r="G851" s="8" t="n">
        <v>0</v>
      </c>
      <c r="H851" s="6" t="s">
        <v>1215</v>
      </c>
      <c r="I851" s="6" t="s">
        <v>1445</v>
      </c>
      <c r="J851" s="2" t="s">
        <v>4417</v>
      </c>
      <c r="K851" s="2" t="s">
        <v>4418</v>
      </c>
      <c r="L851" s="2" t="s">
        <v>102</v>
      </c>
      <c r="M851" s="2"/>
      <c r="N851" s="2"/>
      <c r="O851" s="2" t="s">
        <v>3339</v>
      </c>
      <c r="P851" s="2" t="s">
        <v>4419</v>
      </c>
      <c r="Q851" s="6" t="s">
        <v>2686</v>
      </c>
      <c r="R851" s="6" t="s">
        <v>106</v>
      </c>
      <c r="S851" s="9" t="s">
        <v>3341</v>
      </c>
      <c r="T851" s="6"/>
      <c r="U851" s="6"/>
      <c r="V851" s="10"/>
      <c r="W851" s="10" t="s">
        <v>88</v>
      </c>
      <c r="X851" s="10"/>
      <c r="Y851" s="10"/>
    </row>
    <row r="852" customFormat="false" ht="23.85" hidden="false" customHeight="false" outlineLevel="0" collapsed="false">
      <c r="A852" s="6" t="n">
        <v>851</v>
      </c>
      <c r="B852" s="7" t="s">
        <v>4420</v>
      </c>
      <c r="C852" s="6" t="str">
        <f aca="false">IF(U852&lt;&gt;"","Client",IF(D852&gt;=9,"A",IF(D852&gt;=7,"B","C")))</f>
        <v>C</v>
      </c>
      <c r="D852" s="6" t="n">
        <f aca="false">E852+F852+G852</f>
        <v>1</v>
      </c>
      <c r="E852" s="6" t="n">
        <v>1</v>
      </c>
      <c r="F852" s="6" t="n">
        <v>0</v>
      </c>
      <c r="G852" s="8" t="n">
        <v>0</v>
      </c>
      <c r="H852" s="6" t="s">
        <v>1598</v>
      </c>
      <c r="I852" s="6" t="s">
        <v>1445</v>
      </c>
      <c r="J852" s="2" t="s">
        <v>3832</v>
      </c>
      <c r="K852" s="2" t="s">
        <v>4421</v>
      </c>
      <c r="L852" s="2" t="s">
        <v>167</v>
      </c>
      <c r="M852" s="2"/>
      <c r="N852" s="2"/>
      <c r="O852" s="2"/>
      <c r="P852" s="2" t="s">
        <v>4422</v>
      </c>
      <c r="Q852" s="6" t="s">
        <v>461</v>
      </c>
      <c r="R852" s="6" t="s">
        <v>85</v>
      </c>
      <c r="S852" s="9" t="s">
        <v>4423</v>
      </c>
      <c r="T852" s="6"/>
      <c r="U852" s="6"/>
      <c r="V852" s="10"/>
      <c r="W852" s="10" t="s">
        <v>88</v>
      </c>
      <c r="X852" s="10"/>
      <c r="Y852" s="10"/>
    </row>
    <row r="853" customFormat="false" ht="15" hidden="false" customHeight="false" outlineLevel="0" collapsed="false">
      <c r="A853" s="6" t="n">
        <v>852</v>
      </c>
      <c r="B853" s="7" t="s">
        <v>4424</v>
      </c>
      <c r="C853" s="6" t="str">
        <f aca="false">IF(U853&lt;&gt;"","Client",IF(D853&gt;=9,"A",IF(D853&gt;=7,"B","C")))</f>
        <v>C</v>
      </c>
      <c r="D853" s="6" t="n">
        <f aca="false">E853+F853+G853</f>
        <v>1</v>
      </c>
      <c r="E853" s="6" t="n">
        <v>1</v>
      </c>
      <c r="F853" s="6" t="n">
        <v>0</v>
      </c>
      <c r="G853" s="8" t="n">
        <v>0</v>
      </c>
      <c r="H853" s="6" t="s">
        <v>1598</v>
      </c>
      <c r="I853" s="6" t="s">
        <v>1445</v>
      </c>
      <c r="J853" s="2" t="s">
        <v>4425</v>
      </c>
      <c r="K853" s="2" t="s">
        <v>4426</v>
      </c>
      <c r="L853" s="2" t="s">
        <v>127</v>
      </c>
      <c r="M853" s="2"/>
      <c r="N853" s="2"/>
      <c r="O853" s="2"/>
      <c r="P853" s="2" t="s">
        <v>4427</v>
      </c>
      <c r="Q853" s="6" t="s">
        <v>84</v>
      </c>
      <c r="R853" s="6" t="s">
        <v>85</v>
      </c>
      <c r="S853" s="9" t="s">
        <v>4428</v>
      </c>
      <c r="T853" s="6"/>
      <c r="U853" s="6"/>
      <c r="V853" s="10"/>
      <c r="W853" s="10" t="s">
        <v>88</v>
      </c>
      <c r="X853" s="10"/>
      <c r="Y853" s="10"/>
    </row>
    <row r="854" customFormat="false" ht="23.85" hidden="false" customHeight="false" outlineLevel="0" collapsed="false">
      <c r="A854" s="6" t="n">
        <v>853</v>
      </c>
      <c r="B854" s="7" t="s">
        <v>4429</v>
      </c>
      <c r="C854" s="6" t="str">
        <f aca="false">IF(U854&lt;&gt;"","Client",IF(D854&gt;=9,"A",IF(D854&gt;=7,"B","C")))</f>
        <v>C</v>
      </c>
      <c r="D854" s="6" t="n">
        <f aca="false">E854+F854+G854</f>
        <v>1</v>
      </c>
      <c r="E854" s="6" t="n">
        <v>1</v>
      </c>
      <c r="F854" s="6" t="n">
        <v>0</v>
      </c>
      <c r="G854" s="8" t="n">
        <v>0</v>
      </c>
      <c r="H854" s="6" t="s">
        <v>2312</v>
      </c>
      <c r="I854" s="6" t="s">
        <v>1445</v>
      </c>
      <c r="J854" s="2" t="s">
        <v>4202</v>
      </c>
      <c r="K854" s="2" t="s">
        <v>4430</v>
      </c>
      <c r="L854" s="2" t="s">
        <v>102</v>
      </c>
      <c r="M854" s="2"/>
      <c r="N854" s="2"/>
      <c r="O854" s="2"/>
      <c r="P854" s="2" t="s">
        <v>4431</v>
      </c>
      <c r="Q854" s="6" t="s">
        <v>226</v>
      </c>
      <c r="R854" s="6" t="s">
        <v>85</v>
      </c>
      <c r="S854" s="9" t="s">
        <v>4432</v>
      </c>
      <c r="T854" s="6"/>
      <c r="U854" s="6"/>
      <c r="V854" s="10"/>
      <c r="W854" s="10" t="s">
        <v>88</v>
      </c>
      <c r="X854" s="10"/>
      <c r="Y854" s="10"/>
    </row>
    <row r="855" customFormat="false" ht="15" hidden="false" customHeight="false" outlineLevel="0" collapsed="false">
      <c r="A855" s="6" t="n">
        <v>854</v>
      </c>
      <c r="B855" s="7" t="s">
        <v>4433</v>
      </c>
      <c r="C855" s="6" t="str">
        <f aca="false">IF(U855&lt;&gt;"","Client",IF(D855&gt;=9,"A",IF(D855&gt;=7,"B","C")))</f>
        <v>C</v>
      </c>
      <c r="D855" s="6" t="n">
        <f aca="false">E855+F855+G855</f>
        <v>1</v>
      </c>
      <c r="E855" s="6" t="n">
        <v>1</v>
      </c>
      <c r="F855" s="6" t="n">
        <v>0</v>
      </c>
      <c r="G855" s="8" t="n">
        <v>0</v>
      </c>
      <c r="H855" s="6" t="s">
        <v>1598</v>
      </c>
      <c r="I855" s="6" t="s">
        <v>1445</v>
      </c>
      <c r="J855" s="2" t="s">
        <v>4434</v>
      </c>
      <c r="K855" s="2" t="s">
        <v>4435</v>
      </c>
      <c r="L855" s="2" t="s">
        <v>127</v>
      </c>
      <c r="M855" s="2"/>
      <c r="N855" s="2"/>
      <c r="O855" s="2"/>
      <c r="P855" s="2" t="s">
        <v>4436</v>
      </c>
      <c r="Q855" s="6" t="s">
        <v>461</v>
      </c>
      <c r="R855" s="6" t="s">
        <v>85</v>
      </c>
      <c r="S855" s="9" t="s">
        <v>4437</v>
      </c>
      <c r="T855" s="9" t="s">
        <v>4438</v>
      </c>
      <c r="U855" s="6"/>
      <c r="V855" s="10"/>
      <c r="W855" s="10" t="s">
        <v>88</v>
      </c>
      <c r="X855" s="10"/>
      <c r="Y855" s="10"/>
    </row>
    <row r="856" customFormat="false" ht="15" hidden="false" customHeight="false" outlineLevel="0" collapsed="false">
      <c r="A856" s="6" t="n">
        <v>855</v>
      </c>
      <c r="B856" s="7" t="s">
        <v>4439</v>
      </c>
      <c r="C856" s="6" t="str">
        <f aca="false">IF(U856&lt;&gt;"","Client",IF(D856&gt;=9,"A",IF(D856&gt;=7,"B","C")))</f>
        <v>C</v>
      </c>
      <c r="D856" s="6" t="n">
        <f aca="false">E856+F856+G856</f>
        <v>1</v>
      </c>
      <c r="E856" s="6" t="n">
        <v>1</v>
      </c>
      <c r="F856" s="6" t="n">
        <v>0</v>
      </c>
      <c r="G856" s="8" t="n">
        <v>0</v>
      </c>
      <c r="H856" s="6" t="s">
        <v>2312</v>
      </c>
      <c r="I856" s="6" t="s">
        <v>1445</v>
      </c>
      <c r="J856" s="2" t="s">
        <v>4119</v>
      </c>
      <c r="K856" s="2" t="s">
        <v>3844</v>
      </c>
      <c r="L856" s="2" t="s">
        <v>127</v>
      </c>
      <c r="M856" s="2"/>
      <c r="N856" s="2"/>
      <c r="O856" s="2" t="s">
        <v>4440</v>
      </c>
      <c r="P856" s="2" t="s">
        <v>4441</v>
      </c>
      <c r="Q856" s="6" t="s">
        <v>150</v>
      </c>
      <c r="R856" s="6" t="s">
        <v>106</v>
      </c>
      <c r="S856" s="9" t="s">
        <v>4442</v>
      </c>
      <c r="T856" s="6"/>
      <c r="U856" s="6"/>
      <c r="V856" s="10"/>
      <c r="W856" s="10" t="s">
        <v>88</v>
      </c>
      <c r="X856" s="10"/>
      <c r="Y856" s="10"/>
    </row>
    <row r="857" customFormat="false" ht="23.85" hidden="false" customHeight="false" outlineLevel="0" collapsed="false">
      <c r="A857" s="6" t="n">
        <v>856</v>
      </c>
      <c r="B857" s="7" t="s">
        <v>4443</v>
      </c>
      <c r="C857" s="6" t="str">
        <f aca="false">IF(U857&lt;&gt;"","Client",IF(D857&gt;=9,"A",IF(D857&gt;=7,"B","C")))</f>
        <v>C</v>
      </c>
      <c r="D857" s="6" t="n">
        <f aca="false">E857+F857+G857</f>
        <v>1</v>
      </c>
      <c r="E857" s="6" t="n">
        <v>1</v>
      </c>
      <c r="F857" s="6" t="n">
        <v>0</v>
      </c>
      <c r="G857" s="8" t="n">
        <v>0</v>
      </c>
      <c r="H857" s="6" t="s">
        <v>1598</v>
      </c>
      <c r="I857" s="6" t="s">
        <v>1445</v>
      </c>
      <c r="J857" s="2" t="s">
        <v>4090</v>
      </c>
      <c r="K857" s="2" t="s">
        <v>4444</v>
      </c>
      <c r="L857" s="2" t="s">
        <v>127</v>
      </c>
      <c r="M857" s="2"/>
      <c r="N857" s="2"/>
      <c r="O857" s="2"/>
      <c r="P857" s="2" t="s">
        <v>4445</v>
      </c>
      <c r="Q857" s="6" t="s">
        <v>226</v>
      </c>
      <c r="R857" s="6" t="s">
        <v>106</v>
      </c>
      <c r="S857" s="9" t="s">
        <v>4446</v>
      </c>
      <c r="T857" s="6"/>
      <c r="U857" s="6"/>
      <c r="V857" s="10"/>
      <c r="W857" s="10" t="s">
        <v>88</v>
      </c>
      <c r="X857" s="10"/>
      <c r="Y857" s="10"/>
    </row>
    <row r="858" customFormat="false" ht="23.85" hidden="false" customHeight="false" outlineLevel="0" collapsed="false">
      <c r="A858" s="6" t="n">
        <v>857</v>
      </c>
      <c r="B858" s="7" t="s">
        <v>4447</v>
      </c>
      <c r="C858" s="6" t="str">
        <f aca="false">IF(U858&lt;&gt;"","Client",IF(D858&gt;=9,"A",IF(D858&gt;=7,"B","C")))</f>
        <v>C</v>
      </c>
      <c r="D858" s="6" t="n">
        <f aca="false">E858+F858+G858</f>
        <v>1</v>
      </c>
      <c r="E858" s="6" t="n">
        <v>1</v>
      </c>
      <c r="F858" s="6" t="n">
        <v>0</v>
      </c>
      <c r="G858" s="8" t="n">
        <v>0</v>
      </c>
      <c r="H858" s="6" t="s">
        <v>1215</v>
      </c>
      <c r="I858" s="6" t="s">
        <v>1445</v>
      </c>
      <c r="J858" s="2" t="s">
        <v>4447</v>
      </c>
      <c r="K858" s="2" t="s">
        <v>4448</v>
      </c>
      <c r="L858" s="2" t="s">
        <v>652</v>
      </c>
      <c r="M858" s="2"/>
      <c r="N858" s="2"/>
      <c r="O858" s="2" t="s">
        <v>4449</v>
      </c>
      <c r="P858" s="2" t="s">
        <v>4450</v>
      </c>
      <c r="Q858" s="6" t="s">
        <v>440</v>
      </c>
      <c r="R858" s="6" t="s">
        <v>85</v>
      </c>
      <c r="S858" s="9" t="s">
        <v>4451</v>
      </c>
      <c r="T858" s="6"/>
      <c r="U858" s="6"/>
      <c r="V858" s="10"/>
      <c r="W858" s="10" t="s">
        <v>88</v>
      </c>
      <c r="X858" s="10"/>
      <c r="Y858" s="10"/>
    </row>
    <row r="859" customFormat="false" ht="23.85" hidden="false" customHeight="false" outlineLevel="0" collapsed="false">
      <c r="A859" s="6" t="n">
        <v>858</v>
      </c>
      <c r="B859" s="7" t="s">
        <v>4452</v>
      </c>
      <c r="C859" s="6" t="str">
        <f aca="false">IF(U859&lt;&gt;"","Client",IF(D859&gt;=9,"A",IF(D859&gt;=7,"B","C")))</f>
        <v>C</v>
      </c>
      <c r="D859" s="6" t="n">
        <f aca="false">E859+F859+G859</f>
        <v>1</v>
      </c>
      <c r="E859" s="6" t="n">
        <v>1</v>
      </c>
      <c r="F859" s="6" t="n">
        <v>0</v>
      </c>
      <c r="G859" s="8" t="n">
        <v>0</v>
      </c>
      <c r="H859" s="6" t="s">
        <v>1598</v>
      </c>
      <c r="I859" s="6" t="s">
        <v>1445</v>
      </c>
      <c r="J859" s="2" t="s">
        <v>4453</v>
      </c>
      <c r="K859" s="2" t="s">
        <v>3799</v>
      </c>
      <c r="L859" s="2" t="s">
        <v>127</v>
      </c>
      <c r="M859" s="2"/>
      <c r="N859" s="2"/>
      <c r="O859" s="2"/>
      <c r="P859" s="2" t="s">
        <v>4454</v>
      </c>
      <c r="Q859" s="6" t="s">
        <v>332</v>
      </c>
      <c r="R859" s="6" t="s">
        <v>106</v>
      </c>
      <c r="S859" s="9" t="s">
        <v>4455</v>
      </c>
      <c r="T859" s="6"/>
      <c r="U859" s="6"/>
      <c r="V859" s="10"/>
      <c r="W859" s="10" t="s">
        <v>88</v>
      </c>
      <c r="X859" s="10"/>
      <c r="Y859" s="10"/>
    </row>
    <row r="860" customFormat="false" ht="15" hidden="false" customHeight="false" outlineLevel="0" collapsed="false">
      <c r="A860" s="6" t="n">
        <v>859</v>
      </c>
      <c r="B860" s="7" t="s">
        <v>4456</v>
      </c>
      <c r="C860" s="6" t="str">
        <f aca="false">IF(U860&lt;&gt;"","Client",IF(D860&gt;=9,"A",IF(D860&gt;=7,"B","C")))</f>
        <v>C</v>
      </c>
      <c r="D860" s="6" t="n">
        <f aca="false">E860+F860+G860</f>
        <v>1</v>
      </c>
      <c r="E860" s="6" t="n">
        <v>1</v>
      </c>
      <c r="F860" s="6" t="n">
        <v>0</v>
      </c>
      <c r="G860" s="8" t="n">
        <v>0</v>
      </c>
      <c r="H860" s="6" t="s">
        <v>1598</v>
      </c>
      <c r="I860" s="6" t="s">
        <v>1445</v>
      </c>
      <c r="J860" s="2" t="s">
        <v>3838</v>
      </c>
      <c r="K860" s="2" t="s">
        <v>664</v>
      </c>
      <c r="L860" s="2" t="s">
        <v>102</v>
      </c>
      <c r="M860" s="2"/>
      <c r="N860" s="2"/>
      <c r="O860" s="2"/>
      <c r="P860" s="2" t="s">
        <v>4457</v>
      </c>
      <c r="Q860" s="6" t="s">
        <v>1162</v>
      </c>
      <c r="R860" s="6" t="s">
        <v>106</v>
      </c>
      <c r="S860" s="9" t="s">
        <v>4458</v>
      </c>
      <c r="T860" s="6"/>
      <c r="U860" s="6"/>
      <c r="V860" s="10"/>
      <c r="W860" s="10" t="s">
        <v>88</v>
      </c>
      <c r="X860" s="10"/>
      <c r="Y860" s="10"/>
    </row>
    <row r="861" customFormat="false" ht="15" hidden="false" customHeight="false" outlineLevel="0" collapsed="false">
      <c r="A861" s="6" t="n">
        <v>860</v>
      </c>
      <c r="B861" s="7" t="s">
        <v>4459</v>
      </c>
      <c r="C861" s="6" t="str">
        <f aca="false">IF(U861&lt;&gt;"","Client",IF(D861&gt;=9,"A",IF(D861&gt;=7,"B","C")))</f>
        <v>C</v>
      </c>
      <c r="D861" s="6" t="n">
        <f aca="false">E861+F861+G861</f>
        <v>1</v>
      </c>
      <c r="E861" s="6" t="n">
        <v>1</v>
      </c>
      <c r="F861" s="6" t="n">
        <v>0</v>
      </c>
      <c r="G861" s="8" t="n">
        <v>0</v>
      </c>
      <c r="H861" s="6" t="s">
        <v>1583</v>
      </c>
      <c r="I861" s="6" t="s">
        <v>1445</v>
      </c>
      <c r="J861" s="2" t="s">
        <v>4460</v>
      </c>
      <c r="K861" s="2" t="s">
        <v>4461</v>
      </c>
      <c r="L861" s="2" t="s">
        <v>127</v>
      </c>
      <c r="M861" s="2"/>
      <c r="N861" s="2" t="s">
        <v>1533</v>
      </c>
      <c r="O861" s="2" t="s">
        <v>4462</v>
      </c>
      <c r="P861" s="2" t="s">
        <v>4463</v>
      </c>
      <c r="Q861" s="6" t="s">
        <v>308</v>
      </c>
      <c r="R861" s="6" t="s">
        <v>85</v>
      </c>
      <c r="S861" s="9" t="s">
        <v>4464</v>
      </c>
      <c r="T861" s="6"/>
      <c r="U861" s="6"/>
      <c r="V861" s="10"/>
      <c r="W861" s="10" t="s">
        <v>88</v>
      </c>
      <c r="X861" s="10"/>
      <c r="Y861" s="10"/>
    </row>
    <row r="862" customFormat="false" ht="23.85" hidden="false" customHeight="false" outlineLevel="0" collapsed="false">
      <c r="A862" s="6" t="n">
        <v>861</v>
      </c>
      <c r="B862" s="7" t="s">
        <v>4465</v>
      </c>
      <c r="C862" s="6" t="str">
        <f aca="false">IF(U862&lt;&gt;"","Client",IF(D862&gt;=9,"A",IF(D862&gt;=7,"B","C")))</f>
        <v>C</v>
      </c>
      <c r="D862" s="6" t="n">
        <f aca="false">E862+F862+G862</f>
        <v>1</v>
      </c>
      <c r="E862" s="6" t="n">
        <v>1</v>
      </c>
      <c r="F862" s="6" t="n">
        <v>0</v>
      </c>
      <c r="G862" s="8" t="n">
        <v>0</v>
      </c>
      <c r="H862" s="6" t="s">
        <v>1583</v>
      </c>
      <c r="I862" s="6" t="s">
        <v>1445</v>
      </c>
      <c r="J862" s="2" t="s">
        <v>4466</v>
      </c>
      <c r="K862" s="2" t="s">
        <v>1241</v>
      </c>
      <c r="L862" s="2" t="s">
        <v>652</v>
      </c>
      <c r="M862" s="2"/>
      <c r="N862" s="2"/>
      <c r="O862" s="2" t="s">
        <v>4467</v>
      </c>
      <c r="P862" s="2" t="s">
        <v>4468</v>
      </c>
      <c r="Q862" s="6" t="s">
        <v>967</v>
      </c>
      <c r="R862" s="6" t="s">
        <v>106</v>
      </c>
      <c r="S862" s="9" t="s">
        <v>1737</v>
      </c>
      <c r="T862" s="6"/>
      <c r="U862" s="6"/>
      <c r="V862" s="10"/>
      <c r="W862" s="10" t="s">
        <v>88</v>
      </c>
      <c r="X862" s="10"/>
      <c r="Y862" s="10"/>
    </row>
    <row r="863" customFormat="false" ht="15" hidden="false" customHeight="false" outlineLevel="0" collapsed="false">
      <c r="A863" s="6" t="n">
        <v>862</v>
      </c>
      <c r="B863" s="7" t="s">
        <v>4469</v>
      </c>
      <c r="C863" s="6" t="str">
        <f aca="false">IF(U863&lt;&gt;"","Client",IF(D863&gt;=9,"A",IF(D863&gt;=7,"B","C")))</f>
        <v>C</v>
      </c>
      <c r="D863" s="6" t="n">
        <f aca="false">E863+F863+G863</f>
        <v>1</v>
      </c>
      <c r="E863" s="6" t="n">
        <v>1</v>
      </c>
      <c r="F863" s="6" t="n">
        <v>0</v>
      </c>
      <c r="G863" s="8" t="n">
        <v>0</v>
      </c>
      <c r="H863" s="6" t="s">
        <v>2312</v>
      </c>
      <c r="I863" s="6" t="s">
        <v>1445</v>
      </c>
      <c r="J863" s="2" t="s">
        <v>4470</v>
      </c>
      <c r="K863" s="2" t="s">
        <v>1159</v>
      </c>
      <c r="L863" s="2" t="s">
        <v>167</v>
      </c>
      <c r="M863" s="2"/>
      <c r="N863" s="2"/>
      <c r="O863" s="2"/>
      <c r="P863" s="2" t="s">
        <v>4471</v>
      </c>
      <c r="Q863" s="6" t="s">
        <v>256</v>
      </c>
      <c r="R863" s="6" t="s">
        <v>106</v>
      </c>
      <c r="S863" s="9" t="s">
        <v>4472</v>
      </c>
      <c r="T863" s="6"/>
      <c r="U863" s="6"/>
      <c r="V863" s="10"/>
      <c r="W863" s="10" t="s">
        <v>88</v>
      </c>
      <c r="X863" s="10"/>
      <c r="Y863" s="10"/>
    </row>
    <row r="864" customFormat="false" ht="23.85" hidden="false" customHeight="false" outlineLevel="0" collapsed="false">
      <c r="A864" s="6" t="n">
        <v>863</v>
      </c>
      <c r="B864" s="7" t="s">
        <v>4473</v>
      </c>
      <c r="C864" s="6" t="str">
        <f aca="false">IF(U864&lt;&gt;"","Client",IF(D864&gt;=9,"A",IF(D864&gt;=7,"B","C")))</f>
        <v>C</v>
      </c>
      <c r="D864" s="6" t="n">
        <f aca="false">E864+F864+G864</f>
        <v>1</v>
      </c>
      <c r="E864" s="6" t="n">
        <v>1</v>
      </c>
      <c r="F864" s="6" t="n">
        <v>0</v>
      </c>
      <c r="G864" s="8" t="n">
        <v>0</v>
      </c>
      <c r="H864" s="6" t="s">
        <v>1598</v>
      </c>
      <c r="I864" s="6" t="s">
        <v>1445</v>
      </c>
      <c r="J864" s="2" t="s">
        <v>3832</v>
      </c>
      <c r="K864" s="2" t="s">
        <v>4474</v>
      </c>
      <c r="L864" s="2" t="s">
        <v>127</v>
      </c>
      <c r="M864" s="2"/>
      <c r="N864" s="2"/>
      <c r="O864" s="2"/>
      <c r="P864" s="2" t="s">
        <v>4475</v>
      </c>
      <c r="Q864" s="6" t="s">
        <v>461</v>
      </c>
      <c r="R864" s="6" t="s">
        <v>85</v>
      </c>
      <c r="S864" s="9" t="s">
        <v>4476</v>
      </c>
      <c r="T864" s="6"/>
      <c r="U864" s="6"/>
      <c r="V864" s="10"/>
      <c r="W864" s="10" t="s">
        <v>88</v>
      </c>
      <c r="X864" s="10"/>
      <c r="Y864" s="10"/>
    </row>
    <row r="865" customFormat="false" ht="15" hidden="false" customHeight="false" outlineLevel="0" collapsed="false">
      <c r="A865" s="6" t="n">
        <v>864</v>
      </c>
      <c r="B865" s="7" t="s">
        <v>4477</v>
      </c>
      <c r="C865" s="6" t="str">
        <f aca="false">IF(U865&lt;&gt;"","Client",IF(D865&gt;=9,"A",IF(D865&gt;=7,"B","C")))</f>
        <v>C</v>
      </c>
      <c r="D865" s="6" t="n">
        <f aca="false">E865+F865+G865</f>
        <v>1</v>
      </c>
      <c r="E865" s="6" t="n">
        <v>1</v>
      </c>
      <c r="F865" s="6" t="n">
        <v>0</v>
      </c>
      <c r="G865" s="8" t="n">
        <v>0</v>
      </c>
      <c r="H865" s="6" t="s">
        <v>2312</v>
      </c>
      <c r="I865" s="6" t="s">
        <v>1445</v>
      </c>
      <c r="J865" s="2" t="s">
        <v>4478</v>
      </c>
      <c r="K865" s="2" t="s">
        <v>3116</v>
      </c>
      <c r="L865" s="2" t="s">
        <v>102</v>
      </c>
      <c r="M865" s="2"/>
      <c r="N865" s="2"/>
      <c r="O865" s="2"/>
      <c r="P865" s="2" t="s">
        <v>4479</v>
      </c>
      <c r="Q865" s="6" t="s">
        <v>1198</v>
      </c>
      <c r="R865" s="6" t="s">
        <v>106</v>
      </c>
      <c r="S865" s="9" t="s">
        <v>4480</v>
      </c>
      <c r="T865" s="6"/>
      <c r="U865" s="6"/>
      <c r="V865" s="10"/>
      <c r="W865" s="10" t="s">
        <v>88</v>
      </c>
      <c r="X865" s="10"/>
      <c r="Y865" s="10"/>
    </row>
    <row r="866" customFormat="false" ht="23.85" hidden="false" customHeight="false" outlineLevel="0" collapsed="false">
      <c r="A866" s="6" t="n">
        <v>865</v>
      </c>
      <c r="B866" s="7" t="s">
        <v>4481</v>
      </c>
      <c r="C866" s="6" t="str">
        <f aca="false">IF(U866&lt;&gt;"","Client",IF(D866&gt;=9,"A",IF(D866&gt;=7,"B","C")))</f>
        <v>C</v>
      </c>
      <c r="D866" s="6" t="n">
        <f aca="false">E866+F866+G866</f>
        <v>1</v>
      </c>
      <c r="E866" s="6" t="n">
        <v>1</v>
      </c>
      <c r="F866" s="6" t="n">
        <v>0</v>
      </c>
      <c r="G866" s="8" t="n">
        <v>0</v>
      </c>
      <c r="H866" s="6" t="s">
        <v>2312</v>
      </c>
      <c r="I866" s="6" t="s">
        <v>1445</v>
      </c>
      <c r="J866" s="2" t="s">
        <v>4482</v>
      </c>
      <c r="K866" s="2" t="s">
        <v>2675</v>
      </c>
      <c r="L866" s="2" t="s">
        <v>102</v>
      </c>
      <c r="M866" s="2"/>
      <c r="N866" s="2"/>
      <c r="O866" s="2" t="s">
        <v>2908</v>
      </c>
      <c r="P866" s="2" t="s">
        <v>4483</v>
      </c>
      <c r="Q866" s="6" t="s">
        <v>440</v>
      </c>
      <c r="R866" s="6" t="s">
        <v>85</v>
      </c>
      <c r="S866" s="9" t="s">
        <v>4484</v>
      </c>
      <c r="T866" s="6"/>
      <c r="U866" s="6"/>
      <c r="V866" s="10"/>
      <c r="W866" s="10" t="s">
        <v>88</v>
      </c>
      <c r="X866" s="10"/>
      <c r="Y866" s="10"/>
    </row>
    <row r="867" customFormat="false" ht="23.85" hidden="false" customHeight="false" outlineLevel="0" collapsed="false">
      <c r="A867" s="6" t="n">
        <v>866</v>
      </c>
      <c r="B867" s="7" t="s">
        <v>4485</v>
      </c>
      <c r="C867" s="6" t="str">
        <f aca="false">IF(U867&lt;&gt;"","Client",IF(D867&gt;=9,"A",IF(D867&gt;=7,"B","C")))</f>
        <v>C</v>
      </c>
      <c r="D867" s="6" t="n">
        <f aca="false">E867+F867+G867</f>
        <v>1</v>
      </c>
      <c r="E867" s="6" t="n">
        <v>1</v>
      </c>
      <c r="F867" s="6" t="n">
        <v>0</v>
      </c>
      <c r="G867" s="8" t="n">
        <v>0</v>
      </c>
      <c r="H867" s="6" t="s">
        <v>1644</v>
      </c>
      <c r="I867" s="6" t="s">
        <v>1445</v>
      </c>
      <c r="J867" s="2" t="s">
        <v>4486</v>
      </c>
      <c r="K867" s="2" t="s">
        <v>4487</v>
      </c>
      <c r="L867" s="2" t="s">
        <v>127</v>
      </c>
      <c r="M867" s="2"/>
      <c r="N867" s="2"/>
      <c r="O867" s="2" t="s">
        <v>4488</v>
      </c>
      <c r="P867" s="2" t="s">
        <v>4489</v>
      </c>
      <c r="Q867" s="6" t="s">
        <v>2841</v>
      </c>
      <c r="R867" s="6" t="s">
        <v>106</v>
      </c>
      <c r="S867" s="9" t="s">
        <v>4490</v>
      </c>
      <c r="T867" s="6"/>
      <c r="U867" s="6"/>
      <c r="V867" s="10"/>
      <c r="W867" s="10" t="s">
        <v>88</v>
      </c>
      <c r="X867" s="10"/>
      <c r="Y867" s="10"/>
    </row>
    <row r="868" customFormat="false" ht="23.85" hidden="false" customHeight="false" outlineLevel="0" collapsed="false">
      <c r="A868" s="6" t="n">
        <v>867</v>
      </c>
      <c r="B868" s="7" t="s">
        <v>4491</v>
      </c>
      <c r="C868" s="6" t="str">
        <f aca="false">IF(U868&lt;&gt;"","Client",IF(D868&gt;=9,"A",IF(D868&gt;=7,"B","C")))</f>
        <v>C</v>
      </c>
      <c r="D868" s="6" t="n">
        <f aca="false">E868+F868+G868</f>
        <v>1</v>
      </c>
      <c r="E868" s="6" t="n">
        <v>1</v>
      </c>
      <c r="F868" s="6" t="n">
        <v>0</v>
      </c>
      <c r="G868" s="8" t="n">
        <v>0</v>
      </c>
      <c r="H868" s="6" t="s">
        <v>1215</v>
      </c>
      <c r="I868" s="6" t="s">
        <v>1445</v>
      </c>
      <c r="J868" s="2" t="s">
        <v>263</v>
      </c>
      <c r="K868" s="2" t="s">
        <v>4492</v>
      </c>
      <c r="L868" s="2" t="s">
        <v>102</v>
      </c>
      <c r="M868" s="2"/>
      <c r="N868" s="2"/>
      <c r="O868" s="2" t="s">
        <v>4493</v>
      </c>
      <c r="P868" s="2" t="s">
        <v>4494</v>
      </c>
      <c r="Q868" s="6" t="s">
        <v>1943</v>
      </c>
      <c r="R868" s="6" t="s">
        <v>85</v>
      </c>
      <c r="S868" s="9" t="s">
        <v>4495</v>
      </c>
      <c r="T868" s="6"/>
      <c r="U868" s="6"/>
      <c r="V868" s="10"/>
      <c r="W868" s="10" t="s">
        <v>88</v>
      </c>
      <c r="X868" s="10"/>
      <c r="Y868" s="10"/>
    </row>
    <row r="869" customFormat="false" ht="23.85" hidden="false" customHeight="false" outlineLevel="0" collapsed="false">
      <c r="A869" s="6" t="n">
        <v>868</v>
      </c>
      <c r="B869" s="7" t="s">
        <v>4496</v>
      </c>
      <c r="C869" s="6" t="str">
        <f aca="false">IF(U869&lt;&gt;"","Client",IF(D869&gt;=9,"A",IF(D869&gt;=7,"B","C")))</f>
        <v>C</v>
      </c>
      <c r="D869" s="6" t="n">
        <f aca="false">E869+F869+G869</f>
        <v>1</v>
      </c>
      <c r="E869" s="6" t="n">
        <v>1</v>
      </c>
      <c r="F869" s="6" t="n">
        <v>0</v>
      </c>
      <c r="G869" s="8" t="n">
        <v>0</v>
      </c>
      <c r="H869" s="6" t="s">
        <v>2312</v>
      </c>
      <c r="I869" s="6" t="s">
        <v>1445</v>
      </c>
      <c r="J869" s="2" t="s">
        <v>4497</v>
      </c>
      <c r="K869" s="2" t="s">
        <v>4498</v>
      </c>
      <c r="L869" s="2" t="s">
        <v>167</v>
      </c>
      <c r="M869" s="2"/>
      <c r="N869" s="2"/>
      <c r="O869" s="2"/>
      <c r="P869" s="2" t="s">
        <v>4499</v>
      </c>
      <c r="Q869" s="6" t="s">
        <v>178</v>
      </c>
      <c r="R869" s="6" t="s">
        <v>85</v>
      </c>
      <c r="S869" s="9" t="s">
        <v>4500</v>
      </c>
      <c r="T869" s="6"/>
      <c r="U869" s="6"/>
      <c r="V869" s="10"/>
      <c r="W869" s="10" t="s">
        <v>88</v>
      </c>
      <c r="X869" s="10"/>
      <c r="Y869" s="10"/>
    </row>
    <row r="870" customFormat="false" ht="23.85" hidden="false" customHeight="false" outlineLevel="0" collapsed="false">
      <c r="A870" s="6" t="n">
        <v>869</v>
      </c>
      <c r="B870" s="7" t="s">
        <v>4501</v>
      </c>
      <c r="C870" s="6" t="str">
        <f aca="false">IF(U870&lt;&gt;"","Client",IF(D870&gt;=9,"A",IF(D870&gt;=7,"B","C")))</f>
        <v>C</v>
      </c>
      <c r="D870" s="6" t="n">
        <f aca="false">E870+F870+G870</f>
        <v>1</v>
      </c>
      <c r="E870" s="6" t="n">
        <v>1</v>
      </c>
      <c r="F870" s="6" t="n">
        <v>0</v>
      </c>
      <c r="G870" s="8" t="n">
        <v>0</v>
      </c>
      <c r="H870" s="6" t="s">
        <v>1644</v>
      </c>
      <c r="I870" s="6" t="s">
        <v>1445</v>
      </c>
      <c r="J870" s="2" t="s">
        <v>4502</v>
      </c>
      <c r="K870" s="2" t="s">
        <v>4503</v>
      </c>
      <c r="L870" s="2" t="s">
        <v>1539</v>
      </c>
      <c r="M870" s="2"/>
      <c r="N870" s="2"/>
      <c r="O870" s="2"/>
      <c r="P870" s="2" t="s">
        <v>4504</v>
      </c>
      <c r="Q870" s="6" t="s">
        <v>383</v>
      </c>
      <c r="R870" s="6" t="s">
        <v>85</v>
      </c>
      <c r="S870" s="9" t="s">
        <v>4505</v>
      </c>
      <c r="T870" s="6"/>
      <c r="U870" s="6"/>
      <c r="V870" s="10"/>
      <c r="W870" s="10" t="s">
        <v>88</v>
      </c>
      <c r="X870" s="10"/>
      <c r="Y870" s="10"/>
    </row>
    <row r="871" customFormat="false" ht="23.85" hidden="false" customHeight="false" outlineLevel="0" collapsed="false">
      <c r="A871" s="6" t="n">
        <v>870</v>
      </c>
      <c r="B871" s="7" t="s">
        <v>4506</v>
      </c>
      <c r="C871" s="6" t="str">
        <f aca="false">IF(U871&lt;&gt;"","Client",IF(D871&gt;=9,"A",IF(D871&gt;=7,"B","C")))</f>
        <v>C</v>
      </c>
      <c r="D871" s="6" t="n">
        <f aca="false">E871+F871+G871</f>
        <v>1</v>
      </c>
      <c r="E871" s="6" t="n">
        <v>1</v>
      </c>
      <c r="F871" s="6" t="n">
        <v>0</v>
      </c>
      <c r="G871" s="8" t="n">
        <v>0</v>
      </c>
      <c r="H871" s="6" t="s">
        <v>1598</v>
      </c>
      <c r="I871" s="6" t="s">
        <v>1445</v>
      </c>
      <c r="J871" s="2" t="s">
        <v>3832</v>
      </c>
      <c r="K871" s="2" t="s">
        <v>4507</v>
      </c>
      <c r="L871" s="2" t="s">
        <v>197</v>
      </c>
      <c r="M871" s="2"/>
      <c r="N871" s="2"/>
      <c r="O871" s="2"/>
      <c r="P871" s="2" t="s">
        <v>4508</v>
      </c>
      <c r="Q871" s="6" t="s">
        <v>97</v>
      </c>
      <c r="R871" s="6" t="s">
        <v>106</v>
      </c>
      <c r="S871" s="9" t="s">
        <v>4509</v>
      </c>
      <c r="T871" s="9" t="s">
        <v>4510</v>
      </c>
      <c r="U871" s="6"/>
      <c r="V871" s="10"/>
      <c r="W871" s="10" t="s">
        <v>88</v>
      </c>
      <c r="X871" s="10"/>
      <c r="Y871" s="10"/>
    </row>
    <row r="872" customFormat="false" ht="23.85" hidden="false" customHeight="false" outlineLevel="0" collapsed="false">
      <c r="A872" s="6" t="n">
        <v>871</v>
      </c>
      <c r="B872" s="7" t="s">
        <v>4511</v>
      </c>
      <c r="C872" s="6" t="str">
        <f aca="false">IF(U872&lt;&gt;"","Client",IF(D872&gt;=9,"A",IF(D872&gt;=7,"B","C")))</f>
        <v>C</v>
      </c>
      <c r="D872" s="6" t="n">
        <f aca="false">E872+F872+G872</f>
        <v>1</v>
      </c>
      <c r="E872" s="6" t="n">
        <v>1</v>
      </c>
      <c r="F872" s="6" t="n">
        <v>0</v>
      </c>
      <c r="G872" s="8" t="n">
        <v>0</v>
      </c>
      <c r="H872" s="6" t="s">
        <v>1215</v>
      </c>
      <c r="I872" s="6" t="s">
        <v>1445</v>
      </c>
      <c r="J872" s="2" t="s">
        <v>4512</v>
      </c>
      <c r="K872" s="2" t="s">
        <v>4513</v>
      </c>
      <c r="L872" s="2" t="s">
        <v>167</v>
      </c>
      <c r="M872" s="2"/>
      <c r="N872" s="2"/>
      <c r="O872" s="2"/>
      <c r="P872" s="2" t="s">
        <v>4514</v>
      </c>
      <c r="Q872" s="6" t="s">
        <v>332</v>
      </c>
      <c r="R872" s="6" t="s">
        <v>85</v>
      </c>
      <c r="S872" s="9" t="s">
        <v>4515</v>
      </c>
      <c r="T872" s="6"/>
      <c r="U872" s="6"/>
      <c r="V872" s="10"/>
      <c r="W872" s="10" t="s">
        <v>88</v>
      </c>
      <c r="X872" s="10"/>
      <c r="Y872" s="10"/>
    </row>
    <row r="873" customFormat="false" ht="23.85" hidden="false" customHeight="false" outlineLevel="0" collapsed="false">
      <c r="A873" s="6" t="n">
        <v>872</v>
      </c>
      <c r="B873" s="7" t="s">
        <v>4516</v>
      </c>
      <c r="C873" s="6" t="str">
        <f aca="false">IF(U873&lt;&gt;"","Client",IF(D873&gt;=9,"A",IF(D873&gt;=7,"B","C")))</f>
        <v>C</v>
      </c>
      <c r="D873" s="6" t="n">
        <f aca="false">E873+F873+G873</f>
        <v>1</v>
      </c>
      <c r="E873" s="6" t="n">
        <v>1</v>
      </c>
      <c r="F873" s="6" t="n">
        <v>0</v>
      </c>
      <c r="G873" s="8" t="n">
        <v>0</v>
      </c>
      <c r="H873" s="6" t="s">
        <v>1598</v>
      </c>
      <c r="I873" s="6" t="s">
        <v>1445</v>
      </c>
      <c r="J873" s="2" t="s">
        <v>4409</v>
      </c>
      <c r="K873" s="2" t="s">
        <v>2330</v>
      </c>
      <c r="L873" s="2" t="s">
        <v>652</v>
      </c>
      <c r="M873" s="2"/>
      <c r="N873" s="2"/>
      <c r="O873" s="2"/>
      <c r="P873" s="2" t="s">
        <v>4517</v>
      </c>
      <c r="Q873" s="6" t="s">
        <v>130</v>
      </c>
      <c r="R873" s="6" t="s">
        <v>106</v>
      </c>
      <c r="S873" s="9" t="s">
        <v>4518</v>
      </c>
      <c r="T873" s="6"/>
      <c r="U873" s="6"/>
      <c r="V873" s="10"/>
      <c r="W873" s="10" t="s">
        <v>88</v>
      </c>
      <c r="X873" s="10"/>
      <c r="Y873" s="10"/>
    </row>
    <row r="874" customFormat="false" ht="23.85" hidden="false" customHeight="false" outlineLevel="0" collapsed="false">
      <c r="A874" s="6" t="n">
        <v>873</v>
      </c>
      <c r="B874" s="7" t="s">
        <v>4519</v>
      </c>
      <c r="C874" s="6" t="str">
        <f aca="false">IF(U874&lt;&gt;"","Client",IF(D874&gt;=9,"A",IF(D874&gt;=7,"B","C")))</f>
        <v>C</v>
      </c>
      <c r="D874" s="6" t="n">
        <f aca="false">E874+F874+G874</f>
        <v>1</v>
      </c>
      <c r="E874" s="6" t="n">
        <v>1</v>
      </c>
      <c r="F874" s="6" t="n">
        <v>0</v>
      </c>
      <c r="G874" s="8" t="n">
        <v>0</v>
      </c>
      <c r="H874" s="6" t="s">
        <v>1598</v>
      </c>
      <c r="I874" s="6" t="s">
        <v>1445</v>
      </c>
      <c r="J874" s="2" t="s">
        <v>4520</v>
      </c>
      <c r="K874" s="2" t="s">
        <v>4521</v>
      </c>
      <c r="L874" s="2" t="s">
        <v>652</v>
      </c>
      <c r="M874" s="2"/>
      <c r="N874" s="2"/>
      <c r="O874" s="2"/>
      <c r="P874" s="2" t="s">
        <v>4522</v>
      </c>
      <c r="Q874" s="6" t="s">
        <v>4523</v>
      </c>
      <c r="R874" s="6" t="s">
        <v>106</v>
      </c>
      <c r="S874" s="9" t="s">
        <v>4524</v>
      </c>
      <c r="T874" s="6"/>
      <c r="U874" s="6"/>
      <c r="V874" s="10"/>
      <c r="W874" s="10" t="s">
        <v>88</v>
      </c>
      <c r="X874" s="10"/>
      <c r="Y874" s="10"/>
    </row>
    <row r="875" customFormat="false" ht="23.85" hidden="false" customHeight="false" outlineLevel="0" collapsed="false">
      <c r="A875" s="6" t="n">
        <v>874</v>
      </c>
      <c r="B875" s="7" t="s">
        <v>4525</v>
      </c>
      <c r="C875" s="6" t="str">
        <f aca="false">IF(U875&lt;&gt;"","Client",IF(D875&gt;=9,"A",IF(D875&gt;=7,"B","C")))</f>
        <v>C</v>
      </c>
      <c r="D875" s="6" t="n">
        <f aca="false">E875+F875+G875</f>
        <v>1</v>
      </c>
      <c r="E875" s="6" t="n">
        <v>1</v>
      </c>
      <c r="F875" s="6" t="n">
        <v>0</v>
      </c>
      <c r="G875" s="8" t="n">
        <v>0</v>
      </c>
      <c r="H875" s="6" t="s">
        <v>2312</v>
      </c>
      <c r="I875" s="6" t="s">
        <v>1445</v>
      </c>
      <c r="J875" s="2" t="s">
        <v>3525</v>
      </c>
      <c r="K875" s="2" t="s">
        <v>1667</v>
      </c>
      <c r="L875" s="2" t="s">
        <v>167</v>
      </c>
      <c r="M875" s="2"/>
      <c r="N875" s="2"/>
      <c r="O875" s="2"/>
      <c r="P875" s="2" t="s">
        <v>4526</v>
      </c>
      <c r="Q875" s="6" t="s">
        <v>440</v>
      </c>
      <c r="R875" s="6" t="s">
        <v>85</v>
      </c>
      <c r="S875" s="9" t="s">
        <v>4527</v>
      </c>
      <c r="T875" s="6"/>
      <c r="U875" s="6"/>
      <c r="V875" s="10"/>
      <c r="W875" s="10" t="s">
        <v>88</v>
      </c>
      <c r="X875" s="10"/>
      <c r="Y875" s="10"/>
    </row>
    <row r="876" customFormat="false" ht="23.85" hidden="false" customHeight="false" outlineLevel="0" collapsed="false">
      <c r="A876" s="6" t="n">
        <v>875</v>
      </c>
      <c r="B876" s="7" t="s">
        <v>4528</v>
      </c>
      <c r="C876" s="6" t="str">
        <f aca="false">IF(U876&lt;&gt;"","Client",IF(D876&gt;=9,"A",IF(D876&gt;=7,"B","C")))</f>
        <v>C</v>
      </c>
      <c r="D876" s="6" t="n">
        <f aca="false">E876+F876+G876</f>
        <v>1</v>
      </c>
      <c r="E876" s="6" t="n">
        <v>1</v>
      </c>
      <c r="F876" s="6" t="n">
        <v>0</v>
      </c>
      <c r="G876" s="8" t="n">
        <v>0</v>
      </c>
      <c r="H876" s="6" t="s">
        <v>1598</v>
      </c>
      <c r="I876" s="6" t="s">
        <v>1445</v>
      </c>
      <c r="J876" s="2" t="s">
        <v>4044</v>
      </c>
      <c r="K876" s="2" t="s">
        <v>1159</v>
      </c>
      <c r="L876" s="2" t="s">
        <v>167</v>
      </c>
      <c r="M876" s="2"/>
      <c r="N876" s="2"/>
      <c r="O876" s="2"/>
      <c r="P876" s="2" t="s">
        <v>4529</v>
      </c>
      <c r="Q876" s="6" t="s">
        <v>461</v>
      </c>
      <c r="R876" s="6" t="s">
        <v>85</v>
      </c>
      <c r="S876" s="9" t="s">
        <v>4530</v>
      </c>
      <c r="T876" s="6"/>
      <c r="U876" s="6"/>
      <c r="V876" s="10"/>
      <c r="W876" s="10" t="s">
        <v>88</v>
      </c>
      <c r="X876" s="10"/>
      <c r="Y876" s="10"/>
    </row>
    <row r="877" customFormat="false" ht="23.85" hidden="false" customHeight="false" outlineLevel="0" collapsed="false">
      <c r="A877" s="6" t="n">
        <v>876</v>
      </c>
      <c r="B877" s="7" t="s">
        <v>4531</v>
      </c>
      <c r="C877" s="6" t="str">
        <f aca="false">IF(U877&lt;&gt;"","Client",IF(D877&gt;=9,"A",IF(D877&gt;=7,"B","C")))</f>
        <v>C</v>
      </c>
      <c r="D877" s="6" t="n">
        <f aca="false">E877+F877+G877</f>
        <v>1</v>
      </c>
      <c r="E877" s="6" t="n">
        <v>1</v>
      </c>
      <c r="F877" s="6" t="n">
        <v>0</v>
      </c>
      <c r="G877" s="8" t="n">
        <v>0</v>
      </c>
      <c r="H877" s="6" t="s">
        <v>3000</v>
      </c>
      <c r="I877" s="6" t="s">
        <v>1445</v>
      </c>
      <c r="J877" s="2" t="s">
        <v>3050</v>
      </c>
      <c r="K877" s="2" t="s">
        <v>4532</v>
      </c>
      <c r="L877" s="2" t="s">
        <v>127</v>
      </c>
      <c r="M877" s="2"/>
      <c r="N877" s="2"/>
      <c r="O877" s="2" t="s">
        <v>4533</v>
      </c>
      <c r="P877" s="2" t="s">
        <v>4534</v>
      </c>
      <c r="Q877" s="6" t="s">
        <v>143</v>
      </c>
      <c r="R877" s="6" t="s">
        <v>106</v>
      </c>
      <c r="S877" s="9" t="s">
        <v>3342</v>
      </c>
      <c r="T877" s="6"/>
      <c r="U877" s="6"/>
      <c r="V877" s="10"/>
      <c r="W877" s="10" t="s">
        <v>88</v>
      </c>
      <c r="X877" s="10"/>
      <c r="Y877" s="10"/>
    </row>
    <row r="878" customFormat="false" ht="23.85" hidden="false" customHeight="false" outlineLevel="0" collapsed="false">
      <c r="A878" s="6" t="n">
        <v>877</v>
      </c>
      <c r="B878" s="7" t="s">
        <v>4535</v>
      </c>
      <c r="C878" s="6" t="str">
        <f aca="false">IF(U878&lt;&gt;"","Client",IF(D878&gt;=9,"A",IF(D878&gt;=7,"B","C")))</f>
        <v>C</v>
      </c>
      <c r="D878" s="6" t="n">
        <f aca="false">E878+F878+G878</f>
        <v>1</v>
      </c>
      <c r="E878" s="6" t="n">
        <v>1</v>
      </c>
      <c r="F878" s="6" t="n">
        <v>0</v>
      </c>
      <c r="G878" s="8" t="n">
        <v>0</v>
      </c>
      <c r="H878" s="6" t="s">
        <v>3000</v>
      </c>
      <c r="I878" s="6" t="s">
        <v>1445</v>
      </c>
      <c r="J878" s="2" t="s">
        <v>4531</v>
      </c>
      <c r="K878" s="2" t="s">
        <v>4536</v>
      </c>
      <c r="L878" s="2" t="s">
        <v>127</v>
      </c>
      <c r="M878" s="2"/>
      <c r="N878" s="2"/>
      <c r="O878" s="2"/>
      <c r="P878" s="2" t="s">
        <v>4537</v>
      </c>
      <c r="Q878" s="6" t="s">
        <v>883</v>
      </c>
      <c r="R878" s="6" t="s">
        <v>106</v>
      </c>
      <c r="S878" s="9" t="s">
        <v>1379</v>
      </c>
      <c r="T878" s="6"/>
      <c r="U878" s="6"/>
      <c r="V878" s="10"/>
      <c r="W878" s="10" t="s">
        <v>88</v>
      </c>
      <c r="X878" s="10"/>
      <c r="Y878" s="10"/>
    </row>
    <row r="879" customFormat="false" ht="23.85" hidden="false" customHeight="false" outlineLevel="0" collapsed="false">
      <c r="A879" s="6" t="n">
        <v>878</v>
      </c>
      <c r="B879" s="7" t="s">
        <v>4538</v>
      </c>
      <c r="C879" s="6" t="str">
        <f aca="false">IF(U879&lt;&gt;"","Client",IF(D879&gt;=9,"A",IF(D879&gt;=7,"B","C")))</f>
        <v>C</v>
      </c>
      <c r="D879" s="6" t="n">
        <f aca="false">E879+F879+G879</f>
        <v>1</v>
      </c>
      <c r="E879" s="6" t="n">
        <v>1</v>
      </c>
      <c r="F879" s="6" t="n">
        <v>0</v>
      </c>
      <c r="G879" s="8" t="n">
        <v>0</v>
      </c>
      <c r="H879" s="6" t="s">
        <v>1583</v>
      </c>
      <c r="I879" s="6" t="s">
        <v>1445</v>
      </c>
      <c r="J879" s="2" t="s">
        <v>4539</v>
      </c>
      <c r="K879" s="2" t="s">
        <v>3799</v>
      </c>
      <c r="L879" s="2" t="s">
        <v>127</v>
      </c>
      <c r="M879" s="2"/>
      <c r="N879" s="2"/>
      <c r="O879" s="2"/>
      <c r="P879" s="2" t="s">
        <v>4540</v>
      </c>
      <c r="Q879" s="6" t="s">
        <v>256</v>
      </c>
      <c r="R879" s="6" t="s">
        <v>85</v>
      </c>
      <c r="S879" s="9" t="s">
        <v>1881</v>
      </c>
      <c r="T879" s="6"/>
      <c r="U879" s="6"/>
      <c r="V879" s="10"/>
      <c r="W879" s="10" t="s">
        <v>88</v>
      </c>
      <c r="X879" s="10"/>
      <c r="Y879" s="10"/>
    </row>
    <row r="880" customFormat="false" ht="23.85" hidden="false" customHeight="false" outlineLevel="0" collapsed="false">
      <c r="A880" s="6" t="n">
        <v>879</v>
      </c>
      <c r="B880" s="7" t="s">
        <v>4541</v>
      </c>
      <c r="C880" s="6" t="str">
        <f aca="false">IF(U880&lt;&gt;"","Client",IF(D880&gt;=9,"A",IF(D880&gt;=7,"B","C")))</f>
        <v>C</v>
      </c>
      <c r="D880" s="6" t="n">
        <f aca="false">E880+F880+G880</f>
        <v>1</v>
      </c>
      <c r="E880" s="6" t="n">
        <v>1</v>
      </c>
      <c r="F880" s="6" t="n">
        <v>0</v>
      </c>
      <c r="G880" s="8" t="n">
        <v>0</v>
      </c>
      <c r="H880" s="6" t="s">
        <v>1215</v>
      </c>
      <c r="I880" s="6" t="s">
        <v>1445</v>
      </c>
      <c r="J880" s="2" t="s">
        <v>2169</v>
      </c>
      <c r="K880" s="2" t="s">
        <v>3382</v>
      </c>
      <c r="L880" s="2" t="s">
        <v>127</v>
      </c>
      <c r="M880" s="2"/>
      <c r="N880" s="2"/>
      <c r="O880" s="2"/>
      <c r="P880" s="2" t="s">
        <v>4542</v>
      </c>
      <c r="Q880" s="6" t="s">
        <v>1431</v>
      </c>
      <c r="R880" s="6" t="s">
        <v>106</v>
      </c>
      <c r="S880" s="9" t="s">
        <v>4543</v>
      </c>
      <c r="T880" s="6"/>
      <c r="U880" s="6"/>
      <c r="V880" s="10"/>
      <c r="W880" s="10" t="s">
        <v>88</v>
      </c>
      <c r="X880" s="10"/>
      <c r="Y880" s="10"/>
    </row>
    <row r="881" customFormat="false" ht="23.85" hidden="false" customHeight="false" outlineLevel="0" collapsed="false">
      <c r="A881" s="6" t="n">
        <v>880</v>
      </c>
      <c r="B881" s="7" t="s">
        <v>4544</v>
      </c>
      <c r="C881" s="6" t="str">
        <f aca="false">IF(U881&lt;&gt;"","Client",IF(D881&gt;=9,"A",IF(D881&gt;=7,"B","C")))</f>
        <v>C</v>
      </c>
      <c r="D881" s="6" t="n">
        <f aca="false">E881+F881+G881</f>
        <v>1</v>
      </c>
      <c r="E881" s="6" t="n">
        <v>1</v>
      </c>
      <c r="F881" s="6" t="n">
        <v>0</v>
      </c>
      <c r="G881" s="8" t="n">
        <v>0</v>
      </c>
      <c r="H881" s="6" t="s">
        <v>1598</v>
      </c>
      <c r="I881" s="6" t="s">
        <v>1445</v>
      </c>
      <c r="J881" s="2" t="s">
        <v>3832</v>
      </c>
      <c r="K881" s="2" t="s">
        <v>1667</v>
      </c>
      <c r="L881" s="2" t="s">
        <v>167</v>
      </c>
      <c r="M881" s="2"/>
      <c r="N881" s="2"/>
      <c r="O881" s="2" t="s">
        <v>4545</v>
      </c>
      <c r="P881" s="2" t="s">
        <v>4546</v>
      </c>
      <c r="Q881" s="6" t="s">
        <v>504</v>
      </c>
      <c r="R881" s="6" t="s">
        <v>85</v>
      </c>
      <c r="S881" s="9" t="s">
        <v>4547</v>
      </c>
      <c r="T881" s="6"/>
      <c r="U881" s="6"/>
      <c r="V881" s="10"/>
      <c r="W881" s="10" t="s">
        <v>88</v>
      </c>
      <c r="X881" s="10"/>
      <c r="Y881" s="10"/>
    </row>
    <row r="882" customFormat="false" ht="23.85" hidden="false" customHeight="false" outlineLevel="0" collapsed="false">
      <c r="A882" s="6" t="n">
        <v>881</v>
      </c>
      <c r="B882" s="7" t="s">
        <v>4548</v>
      </c>
      <c r="C882" s="6" t="str">
        <f aca="false">IF(U882&lt;&gt;"","Client",IF(D882&gt;=9,"A",IF(D882&gt;=7,"B","C")))</f>
        <v>C</v>
      </c>
      <c r="D882" s="6" t="n">
        <f aca="false">E882+F882+G882</f>
        <v>1</v>
      </c>
      <c r="E882" s="6" t="n">
        <v>1</v>
      </c>
      <c r="F882" s="6" t="n">
        <v>0</v>
      </c>
      <c r="G882" s="8" t="n">
        <v>0</v>
      </c>
      <c r="H882" s="6" t="s">
        <v>2312</v>
      </c>
      <c r="I882" s="6" t="s">
        <v>1445</v>
      </c>
      <c r="J882" s="2" t="s">
        <v>4549</v>
      </c>
      <c r="K882" s="2" t="s">
        <v>4550</v>
      </c>
      <c r="L882" s="2" t="s">
        <v>127</v>
      </c>
      <c r="M882" s="2"/>
      <c r="N882" s="2"/>
      <c r="O882" s="2"/>
      <c r="P882" s="2" t="s">
        <v>4551</v>
      </c>
      <c r="Q882" s="6" t="s">
        <v>1943</v>
      </c>
      <c r="R882" s="6" t="s">
        <v>106</v>
      </c>
      <c r="S882" s="9" t="s">
        <v>4552</v>
      </c>
      <c r="T882" s="6"/>
      <c r="U882" s="6"/>
      <c r="V882" s="10"/>
      <c r="W882" s="10" t="s">
        <v>88</v>
      </c>
      <c r="X882" s="10"/>
      <c r="Y882" s="10"/>
    </row>
    <row r="883" customFormat="false" ht="23.85" hidden="false" customHeight="false" outlineLevel="0" collapsed="false">
      <c r="A883" s="6" t="n">
        <v>882</v>
      </c>
      <c r="B883" s="7" t="s">
        <v>4553</v>
      </c>
      <c r="C883" s="6" t="str">
        <f aca="false">IF(U883&lt;&gt;"","Client",IF(D883&gt;=9,"A",IF(D883&gt;=7,"B","C")))</f>
        <v>C</v>
      </c>
      <c r="D883" s="6" t="n">
        <f aca="false">E883+F883+G883</f>
        <v>1</v>
      </c>
      <c r="E883" s="6" t="n">
        <v>1</v>
      </c>
      <c r="F883" s="6" t="n">
        <v>0</v>
      </c>
      <c r="G883" s="8" t="n">
        <v>0</v>
      </c>
      <c r="H883" s="6" t="s">
        <v>1598</v>
      </c>
      <c r="I883" s="6" t="s">
        <v>1445</v>
      </c>
      <c r="J883" s="2" t="s">
        <v>4554</v>
      </c>
      <c r="K883" s="2" t="s">
        <v>1667</v>
      </c>
      <c r="L883" s="2" t="s">
        <v>167</v>
      </c>
      <c r="M883" s="2"/>
      <c r="N883" s="2"/>
      <c r="O883" s="2"/>
      <c r="P883" s="2" t="s">
        <v>4555</v>
      </c>
      <c r="Q883" s="6" t="s">
        <v>143</v>
      </c>
      <c r="R883" s="6" t="s">
        <v>85</v>
      </c>
      <c r="S883" s="9" t="s">
        <v>4556</v>
      </c>
      <c r="T883" s="6"/>
      <c r="U883" s="6"/>
      <c r="V883" s="10"/>
      <c r="W883" s="10" t="s">
        <v>88</v>
      </c>
      <c r="X883" s="10"/>
      <c r="Y883" s="10"/>
    </row>
    <row r="884" customFormat="false" ht="23.85" hidden="false" customHeight="false" outlineLevel="0" collapsed="false">
      <c r="A884" s="6" t="n">
        <v>883</v>
      </c>
      <c r="B884" s="7" t="s">
        <v>4557</v>
      </c>
      <c r="C884" s="6" t="str">
        <f aca="false">IF(U884&lt;&gt;"","Client",IF(D884&gt;=9,"A",IF(D884&gt;=7,"B","C")))</f>
        <v>C</v>
      </c>
      <c r="D884" s="6" t="n">
        <f aca="false">E884+F884+G884</f>
        <v>1</v>
      </c>
      <c r="E884" s="6" t="n">
        <v>1</v>
      </c>
      <c r="F884" s="6" t="n">
        <v>0</v>
      </c>
      <c r="G884" s="8" t="n">
        <v>0</v>
      </c>
      <c r="H884" s="6" t="s">
        <v>2312</v>
      </c>
      <c r="I884" s="6" t="s">
        <v>1445</v>
      </c>
      <c r="J884" s="2" t="s">
        <v>134</v>
      </c>
      <c r="K884" s="2" t="s">
        <v>1159</v>
      </c>
      <c r="L884" s="2" t="s">
        <v>167</v>
      </c>
      <c r="M884" s="2"/>
      <c r="N884" s="2"/>
      <c r="O884" s="2"/>
      <c r="P884" s="2" t="s">
        <v>4558</v>
      </c>
      <c r="Q884" s="6" t="s">
        <v>130</v>
      </c>
      <c r="R884" s="6" t="s">
        <v>106</v>
      </c>
      <c r="S884" s="9" t="s">
        <v>2056</v>
      </c>
      <c r="T884" s="6"/>
      <c r="U884" s="6"/>
      <c r="V884" s="10"/>
      <c r="W884" s="10" t="s">
        <v>88</v>
      </c>
      <c r="X884" s="10"/>
      <c r="Y884" s="10"/>
    </row>
    <row r="885" customFormat="false" ht="23.85" hidden="false" customHeight="false" outlineLevel="0" collapsed="false">
      <c r="A885" s="6" t="n">
        <v>884</v>
      </c>
      <c r="B885" s="7" t="s">
        <v>4559</v>
      </c>
      <c r="C885" s="6" t="str">
        <f aca="false">IF(U885&lt;&gt;"","Client",IF(D885&gt;=9,"A",IF(D885&gt;=7,"B","C")))</f>
        <v>C</v>
      </c>
      <c r="D885" s="6" t="n">
        <f aca="false">E885+F885+G885</f>
        <v>1</v>
      </c>
      <c r="E885" s="6" t="n">
        <v>1</v>
      </c>
      <c r="F885" s="6" t="n">
        <v>0</v>
      </c>
      <c r="G885" s="8" t="n">
        <v>0</v>
      </c>
      <c r="H885" s="6" t="s">
        <v>1598</v>
      </c>
      <c r="I885" s="6" t="s">
        <v>1445</v>
      </c>
      <c r="J885" s="2" t="s">
        <v>4560</v>
      </c>
      <c r="K885" s="2" t="s">
        <v>4561</v>
      </c>
      <c r="L885" s="2" t="s">
        <v>127</v>
      </c>
      <c r="M885" s="2"/>
      <c r="N885" s="2"/>
      <c r="O885" s="2"/>
      <c r="P885" s="2" t="s">
        <v>4562</v>
      </c>
      <c r="Q885" s="6" t="s">
        <v>683</v>
      </c>
      <c r="R885" s="6" t="s">
        <v>106</v>
      </c>
      <c r="S885" s="9" t="s">
        <v>4563</v>
      </c>
      <c r="T885" s="6"/>
      <c r="U885" s="6"/>
      <c r="V885" s="10"/>
      <c r="W885" s="10" t="s">
        <v>88</v>
      </c>
      <c r="X885" s="10"/>
      <c r="Y885" s="10"/>
    </row>
    <row r="886" customFormat="false" ht="23.85" hidden="false" customHeight="false" outlineLevel="0" collapsed="false">
      <c r="A886" s="6" t="n">
        <v>885</v>
      </c>
      <c r="B886" s="7" t="s">
        <v>4564</v>
      </c>
      <c r="C886" s="6" t="str">
        <f aca="false">IF(U886&lt;&gt;"","Client",IF(D886&gt;=9,"A",IF(D886&gt;=7,"B","C")))</f>
        <v>C</v>
      </c>
      <c r="D886" s="6" t="n">
        <f aca="false">E886+F886+G886</f>
        <v>1</v>
      </c>
      <c r="E886" s="6" t="n">
        <v>1</v>
      </c>
      <c r="F886" s="6" t="n">
        <v>0</v>
      </c>
      <c r="G886" s="8" t="n">
        <v>0</v>
      </c>
      <c r="H886" s="6" t="s">
        <v>1583</v>
      </c>
      <c r="I886" s="6" t="s">
        <v>1445</v>
      </c>
      <c r="J886" s="2" t="s">
        <v>4565</v>
      </c>
      <c r="K886" s="2" t="s">
        <v>4566</v>
      </c>
      <c r="L886" s="2" t="s">
        <v>127</v>
      </c>
      <c r="M886" s="2"/>
      <c r="N886" s="2"/>
      <c r="O886" s="2" t="s">
        <v>4567</v>
      </c>
      <c r="P886" s="2" t="s">
        <v>4568</v>
      </c>
      <c r="Q886" s="6" t="s">
        <v>866</v>
      </c>
      <c r="R886" s="6" t="s">
        <v>106</v>
      </c>
      <c r="S886" s="9" t="s">
        <v>4569</v>
      </c>
      <c r="T886" s="6"/>
      <c r="U886" s="6"/>
      <c r="V886" s="10"/>
      <c r="W886" s="10" t="s">
        <v>88</v>
      </c>
      <c r="X886" s="10"/>
      <c r="Y886" s="10"/>
    </row>
    <row r="887" customFormat="false" ht="23.85" hidden="false" customHeight="false" outlineLevel="0" collapsed="false">
      <c r="A887" s="6" t="n">
        <v>886</v>
      </c>
      <c r="B887" s="7" t="s">
        <v>4570</v>
      </c>
      <c r="C887" s="6" t="str">
        <f aca="false">IF(U887&lt;&gt;"","Client",IF(D887&gt;=9,"A",IF(D887&gt;=7,"B","C")))</f>
        <v>C</v>
      </c>
      <c r="D887" s="6" t="n">
        <f aca="false">E887+F887+G887</f>
        <v>1</v>
      </c>
      <c r="E887" s="6" t="n">
        <v>1</v>
      </c>
      <c r="F887" s="6" t="n">
        <v>0</v>
      </c>
      <c r="G887" s="8" t="n">
        <v>0</v>
      </c>
      <c r="H887" s="6" t="s">
        <v>2312</v>
      </c>
      <c r="I887" s="6" t="s">
        <v>1445</v>
      </c>
      <c r="J887" s="2" t="s">
        <v>3722</v>
      </c>
      <c r="K887" s="2" t="s">
        <v>4503</v>
      </c>
      <c r="L887" s="2" t="s">
        <v>1539</v>
      </c>
      <c r="M887" s="2"/>
      <c r="N887" s="2"/>
      <c r="O887" s="2"/>
      <c r="P887" s="2" t="s">
        <v>4571</v>
      </c>
      <c r="Q887" s="6" t="s">
        <v>683</v>
      </c>
      <c r="R887" s="6" t="s">
        <v>85</v>
      </c>
      <c r="S887" s="9" t="s">
        <v>4572</v>
      </c>
      <c r="T887" s="6"/>
      <c r="U887" s="6"/>
      <c r="V887" s="10"/>
      <c r="W887" s="10" t="s">
        <v>88</v>
      </c>
      <c r="X887" s="10"/>
      <c r="Y887" s="10"/>
    </row>
    <row r="888" customFormat="false" ht="23.85" hidden="false" customHeight="false" outlineLevel="0" collapsed="false">
      <c r="A888" s="6" t="n">
        <v>887</v>
      </c>
      <c r="B888" s="7" t="s">
        <v>4573</v>
      </c>
      <c r="C888" s="6" t="str">
        <f aca="false">IF(U888&lt;&gt;"","Client",IF(D888&gt;=9,"A",IF(D888&gt;=7,"B","C")))</f>
        <v>C</v>
      </c>
      <c r="D888" s="6" t="n">
        <f aca="false">E888+F888+G888</f>
        <v>1</v>
      </c>
      <c r="E888" s="6" t="n">
        <v>1</v>
      </c>
      <c r="F888" s="6" t="n">
        <v>0</v>
      </c>
      <c r="G888" s="8" t="n">
        <v>0</v>
      </c>
      <c r="H888" s="6" t="s">
        <v>1583</v>
      </c>
      <c r="I888" s="6" t="s">
        <v>1445</v>
      </c>
      <c r="J888" s="2" t="s">
        <v>4574</v>
      </c>
      <c r="K888" s="2" t="s">
        <v>4575</v>
      </c>
      <c r="L888" s="2" t="s">
        <v>127</v>
      </c>
      <c r="M888" s="2"/>
      <c r="N888" s="2"/>
      <c r="O888" s="2"/>
      <c r="P888" s="2" t="s">
        <v>4576</v>
      </c>
      <c r="Q888" s="6" t="s">
        <v>1401</v>
      </c>
      <c r="R888" s="6" t="s">
        <v>85</v>
      </c>
      <c r="S888" s="9" t="s">
        <v>4577</v>
      </c>
      <c r="T888" s="6"/>
      <c r="U888" s="6"/>
      <c r="V888" s="10"/>
      <c r="W888" s="10" t="s">
        <v>88</v>
      </c>
      <c r="X888" s="10"/>
      <c r="Y888" s="10"/>
    </row>
    <row r="889" customFormat="false" ht="23.85" hidden="false" customHeight="false" outlineLevel="0" collapsed="false">
      <c r="A889" s="6" t="n">
        <v>888</v>
      </c>
      <c r="B889" s="7" t="s">
        <v>4578</v>
      </c>
      <c r="C889" s="6" t="str">
        <f aca="false">IF(U889&lt;&gt;"","Client",IF(D889&gt;=9,"A",IF(D889&gt;=7,"B","C")))</f>
        <v>C</v>
      </c>
      <c r="D889" s="6" t="n">
        <f aca="false">E889+F889+G889</f>
        <v>1</v>
      </c>
      <c r="E889" s="6" t="n">
        <v>1</v>
      </c>
      <c r="F889" s="6" t="n">
        <v>0</v>
      </c>
      <c r="G889" s="8" t="n">
        <v>0</v>
      </c>
      <c r="H889" s="6" t="s">
        <v>1598</v>
      </c>
      <c r="I889" s="6" t="s">
        <v>1445</v>
      </c>
      <c r="J889" s="2" t="s">
        <v>3793</v>
      </c>
      <c r="K889" s="2" t="s">
        <v>3356</v>
      </c>
      <c r="L889" s="2" t="s">
        <v>1175</v>
      </c>
      <c r="M889" s="2"/>
      <c r="N889" s="2"/>
      <c r="O889" s="2" t="s">
        <v>3794</v>
      </c>
      <c r="P889" s="2" t="s">
        <v>4579</v>
      </c>
      <c r="Q889" s="6" t="s">
        <v>655</v>
      </c>
      <c r="R889" s="6" t="s">
        <v>106</v>
      </c>
      <c r="S889" s="9" t="s">
        <v>4580</v>
      </c>
      <c r="T889" s="6"/>
      <c r="U889" s="6"/>
      <c r="V889" s="10"/>
      <c r="W889" s="10" t="s">
        <v>88</v>
      </c>
      <c r="X889" s="10"/>
      <c r="Y889" s="10"/>
    </row>
    <row r="890" customFormat="false" ht="15" hidden="false" customHeight="false" outlineLevel="0" collapsed="false">
      <c r="A890" s="6" t="n">
        <v>889</v>
      </c>
      <c r="B890" s="7" t="s">
        <v>4581</v>
      </c>
      <c r="C890" s="6" t="str">
        <f aca="false">IF(U890&lt;&gt;"","Client",IF(D890&gt;=9,"A",IF(D890&gt;=7,"B","C")))</f>
        <v>C</v>
      </c>
      <c r="D890" s="6" t="n">
        <f aca="false">E890+F890+G890</f>
        <v>1</v>
      </c>
      <c r="E890" s="6" t="n">
        <v>1</v>
      </c>
      <c r="F890" s="6" t="n">
        <v>0</v>
      </c>
      <c r="G890" s="8" t="n">
        <v>0</v>
      </c>
      <c r="H890" s="6" t="s">
        <v>1598</v>
      </c>
      <c r="I890" s="6" t="s">
        <v>1445</v>
      </c>
      <c r="J890" s="2" t="s">
        <v>4582</v>
      </c>
      <c r="K890" s="2" t="s">
        <v>3865</v>
      </c>
      <c r="L890" s="2" t="s">
        <v>127</v>
      </c>
      <c r="M890" s="2"/>
      <c r="N890" s="2"/>
      <c r="O890" s="2"/>
      <c r="P890" s="2" t="s">
        <v>4583</v>
      </c>
      <c r="Q890" s="6" t="s">
        <v>123</v>
      </c>
      <c r="R890" s="6" t="s">
        <v>85</v>
      </c>
      <c r="S890" s="9" t="s">
        <v>3353</v>
      </c>
      <c r="T890" s="6"/>
      <c r="U890" s="6"/>
      <c r="V890" s="10"/>
      <c r="W890" s="10" t="s">
        <v>88</v>
      </c>
      <c r="X890" s="10"/>
      <c r="Y890" s="10"/>
    </row>
    <row r="891" customFormat="false" ht="15" hidden="false" customHeight="false" outlineLevel="0" collapsed="false">
      <c r="A891" s="6" t="n">
        <v>890</v>
      </c>
      <c r="B891" s="7" t="s">
        <v>4584</v>
      </c>
      <c r="C891" s="6" t="str">
        <f aca="false">IF(U891&lt;&gt;"","Client",IF(D891&gt;=9,"A",IF(D891&gt;=7,"B","C")))</f>
        <v>C</v>
      </c>
      <c r="D891" s="6" t="n">
        <f aca="false">E891+F891+G891</f>
        <v>1</v>
      </c>
      <c r="E891" s="6" t="n">
        <v>1</v>
      </c>
      <c r="F891" s="6" t="n">
        <v>0</v>
      </c>
      <c r="G891" s="8" t="n">
        <v>0</v>
      </c>
      <c r="H891" s="6" t="s">
        <v>1598</v>
      </c>
      <c r="I891" s="6" t="s">
        <v>1445</v>
      </c>
      <c r="J891" s="2" t="s">
        <v>4585</v>
      </c>
      <c r="K891" s="2" t="s">
        <v>4059</v>
      </c>
      <c r="L891" s="2" t="s">
        <v>127</v>
      </c>
      <c r="M891" s="2"/>
      <c r="N891" s="2"/>
      <c r="O891" s="2"/>
      <c r="P891" s="2" t="s">
        <v>4586</v>
      </c>
      <c r="Q891" s="6" t="s">
        <v>1943</v>
      </c>
      <c r="R891" s="6" t="s">
        <v>106</v>
      </c>
      <c r="S891" s="9" t="s">
        <v>4587</v>
      </c>
      <c r="T891" s="6"/>
      <c r="U891" s="6"/>
      <c r="V891" s="10"/>
      <c r="W891" s="10" t="s">
        <v>88</v>
      </c>
      <c r="X891" s="10"/>
      <c r="Y891" s="10"/>
    </row>
    <row r="892" customFormat="false" ht="15" hidden="false" customHeight="false" outlineLevel="0" collapsed="false">
      <c r="A892" s="6" t="n">
        <v>891</v>
      </c>
      <c r="B892" s="7" t="s">
        <v>4588</v>
      </c>
      <c r="C892" s="6" t="str">
        <f aca="false">IF(U892&lt;&gt;"","Client",IF(D892&gt;=9,"A",IF(D892&gt;=7,"B","C")))</f>
        <v>C</v>
      </c>
      <c r="D892" s="6" t="n">
        <f aca="false">E892+F892+G892</f>
        <v>1</v>
      </c>
      <c r="E892" s="6" t="n">
        <v>1</v>
      </c>
      <c r="F892" s="6" t="n">
        <v>0</v>
      </c>
      <c r="G892" s="8" t="n">
        <v>0</v>
      </c>
      <c r="H892" s="6" t="s">
        <v>1598</v>
      </c>
      <c r="I892" s="6" t="s">
        <v>1445</v>
      </c>
      <c r="J892" s="2" t="s">
        <v>708</v>
      </c>
      <c r="K892" s="2" t="s">
        <v>724</v>
      </c>
      <c r="L892" s="2" t="s">
        <v>102</v>
      </c>
      <c r="M892" s="2"/>
      <c r="N892" s="2"/>
      <c r="O892" s="2"/>
      <c r="P892" s="2" t="s">
        <v>4589</v>
      </c>
      <c r="Q892" s="6" t="s">
        <v>226</v>
      </c>
      <c r="R892" s="6" t="s">
        <v>106</v>
      </c>
      <c r="S892" s="9" t="s">
        <v>4590</v>
      </c>
      <c r="T892" s="6"/>
      <c r="U892" s="6"/>
      <c r="V892" s="10"/>
      <c r="W892" s="10" t="s">
        <v>88</v>
      </c>
      <c r="X892" s="10"/>
      <c r="Y892" s="10"/>
    </row>
    <row r="893" customFormat="false" ht="15" hidden="false" customHeight="false" outlineLevel="0" collapsed="false">
      <c r="A893" s="6" t="n">
        <v>892</v>
      </c>
      <c r="B893" s="7" t="s">
        <v>4591</v>
      </c>
      <c r="C893" s="6" t="str">
        <f aca="false">IF(U893&lt;&gt;"","Client",IF(D893&gt;=9,"A",IF(D893&gt;=7,"B","C")))</f>
        <v>C</v>
      </c>
      <c r="D893" s="6" t="n">
        <f aca="false">E893+F893+G893</f>
        <v>1</v>
      </c>
      <c r="E893" s="6" t="n">
        <v>1</v>
      </c>
      <c r="F893" s="6" t="n">
        <v>0</v>
      </c>
      <c r="G893" s="8" t="n">
        <v>0</v>
      </c>
      <c r="H893" s="6" t="s">
        <v>1583</v>
      </c>
      <c r="I893" s="6" t="s">
        <v>1445</v>
      </c>
      <c r="J893" s="2" t="s">
        <v>2169</v>
      </c>
      <c r="K893" s="2" t="s">
        <v>3475</v>
      </c>
      <c r="L893" s="2" t="s">
        <v>127</v>
      </c>
      <c r="M893" s="2"/>
      <c r="N893" s="2"/>
      <c r="O893" s="2"/>
      <c r="P893" s="2" t="s">
        <v>4592</v>
      </c>
      <c r="Q893" s="6" t="s">
        <v>97</v>
      </c>
      <c r="R893" s="6" t="s">
        <v>106</v>
      </c>
      <c r="S893" s="9" t="s">
        <v>2402</v>
      </c>
      <c r="T893" s="6"/>
      <c r="U893" s="6"/>
      <c r="V893" s="10"/>
      <c r="W893" s="10" t="s">
        <v>88</v>
      </c>
      <c r="X893" s="10"/>
      <c r="Y893" s="10"/>
    </row>
    <row r="894" customFormat="false" ht="23.85" hidden="false" customHeight="false" outlineLevel="0" collapsed="false">
      <c r="A894" s="6" t="n">
        <v>893</v>
      </c>
      <c r="B894" s="7" t="s">
        <v>4593</v>
      </c>
      <c r="C894" s="6" t="str">
        <f aca="false">IF(U894&lt;&gt;"","Client",IF(D894&gt;=9,"A",IF(D894&gt;=7,"B","C")))</f>
        <v>C</v>
      </c>
      <c r="D894" s="6" t="n">
        <f aca="false">E894+F894+G894</f>
        <v>1</v>
      </c>
      <c r="E894" s="6" t="n">
        <v>1</v>
      </c>
      <c r="F894" s="6" t="n">
        <v>0</v>
      </c>
      <c r="G894" s="8" t="n">
        <v>0</v>
      </c>
      <c r="H894" s="6" t="s">
        <v>1598</v>
      </c>
      <c r="I894" s="6" t="s">
        <v>1445</v>
      </c>
      <c r="J894" s="2" t="s">
        <v>4594</v>
      </c>
      <c r="K894" s="2" t="s">
        <v>4595</v>
      </c>
      <c r="L894" s="2" t="s">
        <v>167</v>
      </c>
      <c r="M894" s="2"/>
      <c r="N894" s="2" t="s">
        <v>1043</v>
      </c>
      <c r="O894" s="2" t="s">
        <v>4596</v>
      </c>
      <c r="P894" s="2" t="s">
        <v>4597</v>
      </c>
      <c r="Q894" s="6" t="s">
        <v>308</v>
      </c>
      <c r="R894" s="6" t="s">
        <v>85</v>
      </c>
      <c r="S894" s="9" t="s">
        <v>4598</v>
      </c>
      <c r="T894" s="6"/>
      <c r="U894" s="6"/>
      <c r="V894" s="10"/>
      <c r="W894" s="10" t="s">
        <v>88</v>
      </c>
      <c r="X894" s="10"/>
      <c r="Y894" s="10"/>
    </row>
    <row r="895" customFormat="false" ht="23.85" hidden="false" customHeight="false" outlineLevel="0" collapsed="false">
      <c r="A895" s="6" t="n">
        <v>894</v>
      </c>
      <c r="B895" s="7" t="s">
        <v>4599</v>
      </c>
      <c r="C895" s="6" t="str">
        <f aca="false">IF(U895&lt;&gt;"","Client",IF(D895&gt;=9,"A",IF(D895&gt;=7,"B","C")))</f>
        <v>C</v>
      </c>
      <c r="D895" s="6" t="n">
        <f aca="false">E895+F895+G895</f>
        <v>1</v>
      </c>
      <c r="E895" s="6" t="n">
        <v>1</v>
      </c>
      <c r="F895" s="6" t="n">
        <v>0</v>
      </c>
      <c r="G895" s="8" t="n">
        <v>0</v>
      </c>
      <c r="H895" s="6" t="s">
        <v>1215</v>
      </c>
      <c r="I895" s="6" t="s">
        <v>1445</v>
      </c>
      <c r="J895" s="2" t="s">
        <v>4599</v>
      </c>
      <c r="K895" s="2" t="s">
        <v>4600</v>
      </c>
      <c r="L895" s="2" t="s">
        <v>127</v>
      </c>
      <c r="M895" s="2"/>
      <c r="N895" s="2" t="s">
        <v>1526</v>
      </c>
      <c r="O895" s="2" t="s">
        <v>4601</v>
      </c>
      <c r="P895" s="2" t="s">
        <v>4602</v>
      </c>
      <c r="Q895" s="6" t="s">
        <v>178</v>
      </c>
      <c r="R895" s="6" t="s">
        <v>85</v>
      </c>
      <c r="S895" s="9" t="s">
        <v>4603</v>
      </c>
      <c r="T895" s="9" t="s">
        <v>4604</v>
      </c>
      <c r="U895" s="6"/>
      <c r="V895" s="10"/>
      <c r="W895" s="10" t="s">
        <v>88</v>
      </c>
      <c r="X895" s="10"/>
      <c r="Y895" s="10"/>
    </row>
    <row r="896" customFormat="false" ht="23.85" hidden="false" customHeight="false" outlineLevel="0" collapsed="false">
      <c r="A896" s="6" t="n">
        <v>895</v>
      </c>
      <c r="B896" s="7" t="s">
        <v>4605</v>
      </c>
      <c r="C896" s="6" t="str">
        <f aca="false">IF(U896&lt;&gt;"","Client",IF(D896&gt;=9,"A",IF(D896&gt;=7,"B","C")))</f>
        <v>C</v>
      </c>
      <c r="D896" s="6" t="n">
        <f aca="false">E896+F896+G896</f>
        <v>1</v>
      </c>
      <c r="E896" s="6" t="n">
        <v>1</v>
      </c>
      <c r="F896" s="6" t="n">
        <v>0</v>
      </c>
      <c r="G896" s="8" t="n">
        <v>0</v>
      </c>
      <c r="H896" s="6" t="s">
        <v>1644</v>
      </c>
      <c r="I896" s="6" t="s">
        <v>1445</v>
      </c>
      <c r="J896" s="2" t="s">
        <v>3064</v>
      </c>
      <c r="K896" s="2" t="s">
        <v>4606</v>
      </c>
      <c r="L896" s="2" t="s">
        <v>652</v>
      </c>
      <c r="M896" s="2"/>
      <c r="N896" s="2"/>
      <c r="O896" s="2" t="s">
        <v>4607</v>
      </c>
      <c r="P896" s="2" t="s">
        <v>4608</v>
      </c>
      <c r="Q896" s="6" t="s">
        <v>4609</v>
      </c>
      <c r="R896" s="6" t="s">
        <v>106</v>
      </c>
      <c r="S896" s="9" t="s">
        <v>4610</v>
      </c>
      <c r="T896" s="6"/>
      <c r="U896" s="6"/>
      <c r="V896" s="10"/>
      <c r="W896" s="10" t="s">
        <v>88</v>
      </c>
      <c r="X896" s="10"/>
      <c r="Y896" s="10"/>
    </row>
    <row r="897" customFormat="false" ht="23.85" hidden="false" customHeight="false" outlineLevel="0" collapsed="false">
      <c r="A897" s="6" t="n">
        <v>896</v>
      </c>
      <c r="B897" s="7" t="s">
        <v>4611</v>
      </c>
      <c r="C897" s="6" t="str">
        <f aca="false">IF(U897&lt;&gt;"","Client",IF(D897&gt;=9,"A",IF(D897&gt;=7,"B","C")))</f>
        <v>C</v>
      </c>
      <c r="D897" s="6" t="n">
        <f aca="false">E897+F897+G897</f>
        <v>1</v>
      </c>
      <c r="E897" s="6" t="n">
        <v>1</v>
      </c>
      <c r="F897" s="6" t="n">
        <v>0</v>
      </c>
      <c r="G897" s="8" t="n">
        <v>0</v>
      </c>
      <c r="H897" s="6" t="s">
        <v>1583</v>
      </c>
      <c r="I897" s="6" t="s">
        <v>1445</v>
      </c>
      <c r="J897" s="2" t="s">
        <v>4611</v>
      </c>
      <c r="K897" s="2" t="s">
        <v>1241</v>
      </c>
      <c r="L897" s="2" t="s">
        <v>652</v>
      </c>
      <c r="M897" s="2"/>
      <c r="N897" s="2"/>
      <c r="O897" s="2"/>
      <c r="P897" s="2" t="s">
        <v>4612</v>
      </c>
      <c r="Q897" s="6" t="s">
        <v>448</v>
      </c>
      <c r="R897" s="6" t="s">
        <v>106</v>
      </c>
      <c r="S897" s="9" t="s">
        <v>1737</v>
      </c>
      <c r="T897" s="6"/>
      <c r="U897" s="6"/>
      <c r="V897" s="10"/>
      <c r="W897" s="10" t="s">
        <v>88</v>
      </c>
      <c r="X897" s="10"/>
      <c r="Y897" s="10"/>
    </row>
    <row r="898" customFormat="false" ht="23.85" hidden="false" customHeight="false" outlineLevel="0" collapsed="false">
      <c r="A898" s="6" t="n">
        <v>897</v>
      </c>
      <c r="B898" s="7" t="s">
        <v>4613</v>
      </c>
      <c r="C898" s="6" t="str">
        <f aca="false">IF(U898&lt;&gt;"","Client",IF(D898&gt;=9,"A",IF(D898&gt;=7,"B","C")))</f>
        <v>C</v>
      </c>
      <c r="D898" s="6" t="n">
        <f aca="false">E898+F898+G898</f>
        <v>0</v>
      </c>
      <c r="E898" s="6" t="n">
        <v>0</v>
      </c>
      <c r="F898" s="6" t="n">
        <v>0</v>
      </c>
      <c r="G898" s="8" t="n">
        <v>0</v>
      </c>
      <c r="H898" s="6" t="s">
        <v>2284</v>
      </c>
      <c r="I898" s="6" t="s">
        <v>1445</v>
      </c>
      <c r="J898" s="2" t="s">
        <v>4613</v>
      </c>
      <c r="K898" s="2" t="s">
        <v>4614</v>
      </c>
      <c r="L898" s="2" t="s">
        <v>1362</v>
      </c>
      <c r="M898" s="2"/>
      <c r="N898" s="2" t="s">
        <v>1526</v>
      </c>
      <c r="O898" s="2" t="s">
        <v>4615</v>
      </c>
      <c r="P898" s="2" t="s">
        <v>4616</v>
      </c>
      <c r="Q898" s="6" t="s">
        <v>281</v>
      </c>
      <c r="R898" s="6" t="s">
        <v>85</v>
      </c>
      <c r="S898" s="9" t="s">
        <v>2883</v>
      </c>
      <c r="T898" s="9" t="s">
        <v>4617</v>
      </c>
      <c r="U898" s="6"/>
      <c r="V898" s="10"/>
      <c r="W898" s="10" t="s">
        <v>88</v>
      </c>
      <c r="X898" s="10"/>
      <c r="Y898" s="10"/>
    </row>
    <row r="899" customFormat="false" ht="23.85" hidden="false" customHeight="false" outlineLevel="0" collapsed="false">
      <c r="A899" s="6" t="n">
        <v>898</v>
      </c>
      <c r="B899" s="7" t="s">
        <v>4618</v>
      </c>
      <c r="C899" s="6" t="str">
        <f aca="false">IF(U899&lt;&gt;"","Client",IF(D899&gt;=9,"A",IF(D899&gt;=7,"B","C")))</f>
        <v>C</v>
      </c>
      <c r="D899" s="6" t="n">
        <f aca="false">E899+F899+G899</f>
        <v>0</v>
      </c>
      <c r="E899" s="6" t="n">
        <v>0</v>
      </c>
      <c r="F899" s="6" t="n">
        <v>0</v>
      </c>
      <c r="G899" s="8" t="n">
        <v>0</v>
      </c>
      <c r="H899" s="6" t="s">
        <v>2284</v>
      </c>
      <c r="I899" s="6" t="s">
        <v>1445</v>
      </c>
      <c r="J899" s="2" t="s">
        <v>4619</v>
      </c>
      <c r="K899" s="2" t="s">
        <v>2902</v>
      </c>
      <c r="L899" s="2" t="s">
        <v>127</v>
      </c>
      <c r="M899" s="2"/>
      <c r="N899" s="2" t="s">
        <v>1533</v>
      </c>
      <c r="O899" s="2"/>
      <c r="P899" s="2" t="s">
        <v>4620</v>
      </c>
      <c r="Q899" s="6" t="s">
        <v>97</v>
      </c>
      <c r="R899" s="6" t="s">
        <v>85</v>
      </c>
      <c r="S899" s="9" t="s">
        <v>1518</v>
      </c>
      <c r="T899" s="6"/>
      <c r="U899" s="6"/>
      <c r="V899" s="10"/>
      <c r="W899" s="10" t="s">
        <v>88</v>
      </c>
      <c r="X899" s="10"/>
      <c r="Y899" s="10"/>
    </row>
    <row r="900" customFormat="false" ht="23.85" hidden="false" customHeight="false" outlineLevel="0" collapsed="false">
      <c r="A900" s="6" t="n">
        <v>899</v>
      </c>
      <c r="B900" s="7" t="s">
        <v>4621</v>
      </c>
      <c r="C900" s="6" t="str">
        <f aca="false">IF(U900&lt;&gt;"","Client",IF(D900&gt;=9,"A",IF(D900&gt;=7,"B","C")))</f>
        <v>C</v>
      </c>
      <c r="D900" s="6" t="n">
        <f aca="false">E900+F900+G900</f>
        <v>0</v>
      </c>
      <c r="E900" s="6" t="n">
        <v>0</v>
      </c>
      <c r="F900" s="6" t="n">
        <v>0</v>
      </c>
      <c r="G900" s="8" t="n">
        <v>0</v>
      </c>
      <c r="H900" s="6" t="s">
        <v>2284</v>
      </c>
      <c r="I900" s="6" t="s">
        <v>1445</v>
      </c>
      <c r="J900" s="2" t="s">
        <v>4622</v>
      </c>
      <c r="K900" s="2" t="s">
        <v>4623</v>
      </c>
      <c r="L900" s="2" t="s">
        <v>102</v>
      </c>
      <c r="M900" s="2"/>
      <c r="N900" s="2"/>
      <c r="O900" s="2" t="s">
        <v>3339</v>
      </c>
      <c r="P900" s="2" t="s">
        <v>4624</v>
      </c>
      <c r="Q900" s="6" t="s">
        <v>2017</v>
      </c>
      <c r="R900" s="6" t="s">
        <v>106</v>
      </c>
      <c r="S900" s="9" t="s">
        <v>4625</v>
      </c>
      <c r="T900" s="6"/>
      <c r="U900" s="6"/>
      <c r="V900" s="10"/>
      <c r="W900" s="10" t="s">
        <v>88</v>
      </c>
      <c r="X900" s="10"/>
      <c r="Y900" s="10"/>
    </row>
    <row r="901" customFormat="false" ht="15" hidden="false" customHeight="false" outlineLevel="0" collapsed="false">
      <c r="A901" s="6" t="n">
        <v>900</v>
      </c>
      <c r="B901" s="7" t="s">
        <v>4626</v>
      </c>
      <c r="C901" s="6" t="str">
        <f aca="false">IF(U901&lt;&gt;"","Client",IF(D901&gt;=9,"A",IF(D901&gt;=7,"B","C")))</f>
        <v>C</v>
      </c>
      <c r="D901" s="6" t="n">
        <f aca="false">E901+F901+G901</f>
        <v>0</v>
      </c>
      <c r="E901" s="6" t="n">
        <v>0</v>
      </c>
      <c r="F901" s="6" t="n">
        <v>0</v>
      </c>
      <c r="G901" s="8" t="n">
        <v>0</v>
      </c>
      <c r="H901" s="6" t="s">
        <v>2284</v>
      </c>
      <c r="I901" s="6" t="s">
        <v>1445</v>
      </c>
      <c r="J901" s="2" t="s">
        <v>4627</v>
      </c>
      <c r="K901" s="2" t="s">
        <v>3865</v>
      </c>
      <c r="L901" s="2" t="s">
        <v>127</v>
      </c>
      <c r="M901" s="2"/>
      <c r="N901" s="2"/>
      <c r="O901" s="2"/>
      <c r="P901" s="2" t="s">
        <v>4628</v>
      </c>
      <c r="Q901" s="6" t="s">
        <v>123</v>
      </c>
      <c r="R901" s="6" t="s">
        <v>85</v>
      </c>
      <c r="S901" s="9" t="s">
        <v>3353</v>
      </c>
      <c r="T901" s="6"/>
      <c r="U901" s="6"/>
      <c r="V901" s="10"/>
      <c r="W901" s="10" t="s">
        <v>88</v>
      </c>
      <c r="X901" s="10"/>
      <c r="Y901" s="10"/>
    </row>
    <row r="902" customFormat="false" ht="15" hidden="false" customHeight="false" outlineLevel="0" collapsed="false">
      <c r="A902" s="6" t="n">
        <v>901</v>
      </c>
      <c r="B902" s="7" t="s">
        <v>4629</v>
      </c>
      <c r="C902" s="6" t="str">
        <f aca="false">IF(U902&lt;&gt;"","Client",IF(D902&gt;=9,"A",IF(D902&gt;=7,"B","C")))</f>
        <v>C</v>
      </c>
      <c r="D902" s="6" t="n">
        <f aca="false">E902+F902+G902</f>
        <v>0</v>
      </c>
      <c r="E902" s="6" t="n">
        <v>0</v>
      </c>
      <c r="F902" s="6" t="n">
        <v>0</v>
      </c>
      <c r="G902" s="8" t="n">
        <v>0</v>
      </c>
      <c r="H902" s="6" t="s">
        <v>2284</v>
      </c>
      <c r="I902" s="6" t="s">
        <v>1445</v>
      </c>
      <c r="J902" s="2" t="s">
        <v>4630</v>
      </c>
      <c r="K902" s="2" t="s">
        <v>919</v>
      </c>
      <c r="L902" s="2" t="s">
        <v>127</v>
      </c>
      <c r="M902" s="2"/>
      <c r="N902" s="2"/>
      <c r="O902" s="2"/>
      <c r="P902" s="2" t="s">
        <v>4631</v>
      </c>
      <c r="Q902" s="6" t="s">
        <v>143</v>
      </c>
      <c r="R902" s="6" t="s">
        <v>85</v>
      </c>
      <c r="S902" s="9" t="s">
        <v>4632</v>
      </c>
      <c r="T902" s="6"/>
      <c r="U902" s="6"/>
      <c r="V902" s="10"/>
      <c r="W902" s="10" t="s">
        <v>88</v>
      </c>
      <c r="X902" s="10"/>
      <c r="Y902" s="10"/>
    </row>
    <row r="903" customFormat="false" ht="23.85" hidden="false" customHeight="false" outlineLevel="0" collapsed="false">
      <c r="A903" s="6" t="n">
        <v>902</v>
      </c>
      <c r="B903" s="7" t="s">
        <v>4633</v>
      </c>
      <c r="C903" s="6" t="str">
        <f aca="false">IF(U903&lt;&gt;"","Client",IF(D903&gt;=9,"A",IF(D903&gt;=7,"B","C")))</f>
        <v>C</v>
      </c>
      <c r="D903" s="6" t="n">
        <f aca="false">E903+F903+G903</f>
        <v>0</v>
      </c>
      <c r="E903" s="6" t="n">
        <v>0</v>
      </c>
      <c r="F903" s="6" t="n">
        <v>0</v>
      </c>
      <c r="G903" s="8" t="n">
        <v>0</v>
      </c>
      <c r="H903" s="6" t="s">
        <v>2284</v>
      </c>
      <c r="I903" s="6" t="s">
        <v>1445</v>
      </c>
      <c r="J903" s="2" t="s">
        <v>4633</v>
      </c>
      <c r="K903" s="2" t="s">
        <v>4634</v>
      </c>
      <c r="L903" s="2" t="s">
        <v>127</v>
      </c>
      <c r="M903" s="2"/>
      <c r="N903" s="2"/>
      <c r="O903" s="2"/>
      <c r="P903" s="2" t="s">
        <v>4635</v>
      </c>
      <c r="Q903" s="6" t="s">
        <v>967</v>
      </c>
      <c r="R903" s="6" t="s">
        <v>106</v>
      </c>
      <c r="S903" s="9" t="s">
        <v>4636</v>
      </c>
      <c r="T903" s="6"/>
      <c r="U903" s="6"/>
      <c r="V903" s="10"/>
      <c r="W903" s="10" t="s">
        <v>88</v>
      </c>
      <c r="X903" s="10"/>
      <c r="Y903" s="10"/>
    </row>
    <row r="904" customFormat="false" ht="15" hidden="false" customHeight="false" outlineLevel="0" collapsed="false">
      <c r="A904" s="6" t="n">
        <v>903</v>
      </c>
      <c r="B904" s="7" t="s">
        <v>4637</v>
      </c>
      <c r="C904" s="6" t="str">
        <f aca="false">IF(U904&lt;&gt;"","Client",IF(D904&gt;=9,"A",IF(D904&gt;=7,"B","C")))</f>
        <v>C</v>
      </c>
      <c r="D904" s="6" t="n">
        <f aca="false">E904+F904+G904</f>
        <v>0</v>
      </c>
      <c r="E904" s="6" t="n">
        <v>0</v>
      </c>
      <c r="F904" s="6" t="n">
        <v>0</v>
      </c>
      <c r="G904" s="8" t="n">
        <v>0</v>
      </c>
      <c r="H904" s="6" t="s">
        <v>2284</v>
      </c>
      <c r="I904" s="6" t="s">
        <v>1445</v>
      </c>
      <c r="J904" s="2" t="s">
        <v>4637</v>
      </c>
      <c r="K904" s="2" t="s">
        <v>4229</v>
      </c>
      <c r="L904" s="2" t="s">
        <v>652</v>
      </c>
      <c r="M904" s="2"/>
      <c r="N904" s="2"/>
      <c r="O904" s="2"/>
      <c r="P904" s="2" t="s">
        <v>4638</v>
      </c>
      <c r="Q904" s="6" t="s">
        <v>2000</v>
      </c>
      <c r="R904" s="6" t="s">
        <v>106</v>
      </c>
      <c r="S904" s="9" t="s">
        <v>4639</v>
      </c>
      <c r="T904" s="6"/>
      <c r="U904" s="6"/>
      <c r="V904" s="10"/>
      <c r="W904" s="10" t="s">
        <v>88</v>
      </c>
      <c r="X904" s="10"/>
      <c r="Y904" s="10"/>
    </row>
    <row r="905" customFormat="false" ht="35.05" hidden="false" customHeight="false" outlineLevel="0" collapsed="false">
      <c r="A905" s="6" t="n">
        <v>904</v>
      </c>
      <c r="B905" s="7" t="s">
        <v>4640</v>
      </c>
      <c r="C905" s="6" t="str">
        <f aca="false">IF(U905&lt;&gt;"","Client",IF(D905&gt;=9,"A",IF(D905&gt;=7,"B","C")))</f>
        <v>C</v>
      </c>
      <c r="D905" s="6" t="n">
        <f aca="false">E905+F905+G905</f>
        <v>0</v>
      </c>
      <c r="E905" s="6" t="n">
        <v>0</v>
      </c>
      <c r="F905" s="6" t="n">
        <v>0</v>
      </c>
      <c r="G905" s="8" t="n">
        <v>0</v>
      </c>
      <c r="H905" s="6" t="s">
        <v>2284</v>
      </c>
      <c r="I905" s="6" t="s">
        <v>1445</v>
      </c>
      <c r="J905" s="2" t="s">
        <v>4640</v>
      </c>
      <c r="K905" s="2" t="s">
        <v>4641</v>
      </c>
      <c r="L905" s="2" t="s">
        <v>652</v>
      </c>
      <c r="M905" s="2"/>
      <c r="N905" s="2"/>
      <c r="O905" s="2"/>
      <c r="P905" s="2" t="s">
        <v>4642</v>
      </c>
      <c r="Q905" s="6" t="s">
        <v>383</v>
      </c>
      <c r="R905" s="6" t="s">
        <v>106</v>
      </c>
      <c r="S905" s="9" t="s">
        <v>4643</v>
      </c>
      <c r="T905" s="6"/>
      <c r="U905" s="6"/>
      <c r="V905" s="10"/>
      <c r="W905" s="10" t="s">
        <v>88</v>
      </c>
      <c r="X905" s="10"/>
      <c r="Y905" s="10"/>
    </row>
    <row r="906" customFormat="false" ht="23.85" hidden="false" customHeight="false" outlineLevel="0" collapsed="false">
      <c r="A906" s="6" t="n">
        <v>905</v>
      </c>
      <c r="B906" s="7" t="s">
        <v>4644</v>
      </c>
      <c r="C906" s="6" t="str">
        <f aca="false">IF(U906&lt;&gt;"","Client",IF(D906&gt;=9,"A",IF(D906&gt;=7,"B","C")))</f>
        <v>C</v>
      </c>
      <c r="D906" s="6" t="n">
        <f aca="false">E906+F906+G906</f>
        <v>0</v>
      </c>
      <c r="E906" s="6" t="n">
        <v>0</v>
      </c>
      <c r="F906" s="6" t="n">
        <v>0</v>
      </c>
      <c r="G906" s="8" t="n">
        <v>0</v>
      </c>
      <c r="H906" s="6" t="s">
        <v>2284</v>
      </c>
      <c r="I906" s="6" t="s">
        <v>1445</v>
      </c>
      <c r="J906" s="2" t="s">
        <v>4645</v>
      </c>
      <c r="K906" s="2" t="s">
        <v>4646</v>
      </c>
      <c r="L906" s="2" t="s">
        <v>600</v>
      </c>
      <c r="M906" s="2"/>
      <c r="N906" s="2"/>
      <c r="O906" s="2"/>
      <c r="P906" s="2" t="s">
        <v>4647</v>
      </c>
      <c r="Q906" s="6" t="s">
        <v>256</v>
      </c>
      <c r="R906" s="6" t="s">
        <v>85</v>
      </c>
      <c r="S906" s="9" t="s">
        <v>1881</v>
      </c>
      <c r="T906" s="9" t="s">
        <v>4648</v>
      </c>
      <c r="U906" s="6"/>
      <c r="V906" s="10"/>
      <c r="W906" s="10" t="s">
        <v>88</v>
      </c>
      <c r="X906" s="10"/>
      <c r="Y906" s="10"/>
    </row>
    <row r="907" customFormat="false" ht="23.85" hidden="false" customHeight="false" outlineLevel="0" collapsed="false">
      <c r="A907" s="6" t="n">
        <v>906</v>
      </c>
      <c r="B907" s="7" t="s">
        <v>4649</v>
      </c>
      <c r="C907" s="6" t="str">
        <f aca="false">IF(U907&lt;&gt;"","Client",IF(D907&gt;=9,"A",IF(D907&gt;=7,"B","C")))</f>
        <v>Client</v>
      </c>
      <c r="D907" s="6" t="n">
        <f aca="false">E907+F907+G907</f>
        <v>6</v>
      </c>
      <c r="E907" s="6" t="n">
        <v>3</v>
      </c>
      <c r="F907" s="6" t="n">
        <v>3</v>
      </c>
      <c r="G907" s="8" t="n">
        <v>0</v>
      </c>
      <c r="H907" s="6" t="s">
        <v>182</v>
      </c>
      <c r="I907" s="6" t="s">
        <v>77</v>
      </c>
      <c r="J907" s="2" t="s">
        <v>4650</v>
      </c>
      <c r="K907" s="2" t="s">
        <v>1031</v>
      </c>
      <c r="L907" s="2" t="s">
        <v>127</v>
      </c>
      <c r="M907" s="2"/>
      <c r="N907" s="2"/>
      <c r="O907" s="2" t="s">
        <v>4651</v>
      </c>
      <c r="P907" s="2" t="s">
        <v>4652</v>
      </c>
      <c r="Q907" s="6" t="s">
        <v>97</v>
      </c>
      <c r="R907" s="6" t="s">
        <v>106</v>
      </c>
      <c r="S907" s="9" t="s">
        <v>562</v>
      </c>
      <c r="T907" s="6"/>
      <c r="U907" s="6" t="s">
        <v>4653</v>
      </c>
      <c r="V907" s="10"/>
      <c r="W907" s="10" t="s">
        <v>88</v>
      </c>
      <c r="X907" s="10"/>
      <c r="Y907" s="10"/>
    </row>
    <row r="908" customFormat="false" ht="23.85" hidden="false" customHeight="false" outlineLevel="0" collapsed="false">
      <c r="A908" s="6" t="n">
        <v>907</v>
      </c>
      <c r="B908" s="7" t="s">
        <v>4654</v>
      </c>
      <c r="C908" s="6" t="str">
        <f aca="false">IF(U908&lt;&gt;"","Client",IF(D908&gt;=9,"A",IF(D908&gt;=7,"B","C")))</f>
        <v>Client</v>
      </c>
      <c r="D908" s="6" t="n">
        <f aca="false">E908+F908+G908</f>
        <v>6</v>
      </c>
      <c r="E908" s="6" t="n">
        <v>3</v>
      </c>
      <c r="F908" s="6" t="n">
        <v>0</v>
      </c>
      <c r="G908" s="8" t="n">
        <v>3</v>
      </c>
      <c r="H908" s="6" t="s">
        <v>182</v>
      </c>
      <c r="I908" s="6" t="s">
        <v>1445</v>
      </c>
      <c r="J908" s="2" t="s">
        <v>4655</v>
      </c>
      <c r="K908" s="2" t="s">
        <v>4656</v>
      </c>
      <c r="L908" s="2" t="s">
        <v>652</v>
      </c>
      <c r="M908" s="2"/>
      <c r="N908" s="2" t="s">
        <v>717</v>
      </c>
      <c r="O908" s="2" t="s">
        <v>4657</v>
      </c>
      <c r="P908" s="2" t="s">
        <v>4658</v>
      </c>
      <c r="Q908" s="6" t="s">
        <v>150</v>
      </c>
      <c r="R908" s="6" t="s">
        <v>106</v>
      </c>
      <c r="S908" s="9" t="s">
        <v>4659</v>
      </c>
      <c r="T908" s="6"/>
      <c r="U908" s="6" t="s">
        <v>4653</v>
      </c>
      <c r="V908" s="10"/>
      <c r="W908" s="10" t="s">
        <v>88</v>
      </c>
      <c r="X908" s="10"/>
      <c r="Y908" s="10"/>
    </row>
    <row r="909" customFormat="false" ht="68.65" hidden="false" customHeight="false" outlineLevel="0" collapsed="false">
      <c r="A909" s="6" t="n">
        <v>908</v>
      </c>
      <c r="B909" s="7" t="s">
        <v>4655</v>
      </c>
      <c r="C909" s="6" t="str">
        <f aca="false">IF(U909&lt;&gt;"","Client",IF(D909&gt;=9,"A",IF(D909&gt;=7,"B","C")))</f>
        <v>Client</v>
      </c>
      <c r="D909" s="6" t="n">
        <f aca="false">E909+F909+G909</f>
        <v>5</v>
      </c>
      <c r="E909" s="6" t="n">
        <v>3</v>
      </c>
      <c r="F909" s="6" t="n">
        <v>2</v>
      </c>
      <c r="G909" s="8" t="n">
        <v>0</v>
      </c>
      <c r="H909" s="6" t="s">
        <v>182</v>
      </c>
      <c r="I909" s="6" t="s">
        <v>287</v>
      </c>
      <c r="J909" s="2" t="s">
        <v>4660</v>
      </c>
      <c r="K909" s="2" t="s">
        <v>4661</v>
      </c>
      <c r="L909" s="2" t="s">
        <v>600</v>
      </c>
      <c r="M909" s="2" t="s">
        <v>716</v>
      </c>
      <c r="N909" s="2" t="s">
        <v>4662</v>
      </c>
      <c r="O909" s="2" t="s">
        <v>4663</v>
      </c>
      <c r="P909" s="2" t="s">
        <v>4664</v>
      </c>
      <c r="Q909" s="6" t="s">
        <v>178</v>
      </c>
      <c r="R909" s="6" t="s">
        <v>85</v>
      </c>
      <c r="S909" s="9" t="s">
        <v>1193</v>
      </c>
      <c r="T909" s="9" t="s">
        <v>4665</v>
      </c>
      <c r="U909" s="6" t="s">
        <v>4653</v>
      </c>
      <c r="V909" s="10"/>
      <c r="W909" s="10" t="s">
        <v>88</v>
      </c>
      <c r="X909" s="10"/>
      <c r="Y909" s="10"/>
    </row>
  </sheetData>
  <autoFilter ref="A1:Y909"/>
  <conditionalFormatting sqref="C2:C909">
    <cfRule type="cellIs" priority="2" operator="equal" aboveAverage="0" equalAverage="0" bottom="0" percent="0" rank="0" text="" dxfId="12">
      <formula>"A"</formula>
    </cfRule>
    <cfRule type="cellIs" priority="3" operator="equal" aboveAverage="0" equalAverage="0" bottom="0" percent="0" rank="0" text="" dxfId="13">
      <formula>"B"</formula>
    </cfRule>
    <cfRule type="cellIs" priority="4" operator="equal" aboveAverage="0" equalAverage="0" bottom="0" percent="0" rank="0" text="" dxfId="14">
      <formula>"Client"</formula>
    </cfRule>
  </conditionalFormatting>
  <dataValidations count="2">
    <dataValidation allowBlank="true" errorStyle="stop" operator="between" showDropDown="false" showErrorMessage="false" showInputMessage="false" sqref="W2:W909" type="list">
      <formula1>"Not started,Researching,Contacted,Meeting set,Pitching,Won,Parked"</formula1>
      <formula2>0</formula2>
    </dataValidation>
    <dataValidation allowBlank="false" errorStyle="stop" operator="between" showDropDown="false" showErrorMessage="false" showInputMessage="false" sqref="G2:G909" type="whole">
      <formula1>0</formula1>
      <formula2>3</formula2>
    </dataValidation>
  </dataValidations>
  <hyperlinks>
    <hyperlink ref="S2" r:id="rId1" display="https://www.storyboard18.com/brand-marketing/82-5-communications-wins-creative-mandate-for-de-beers-group-44868.htm"/>
    <hyperlink ref="T2" r:id="rId2" display="https://www.medianews4u.com/82-5-communications-secures-creative-mandate-for-de-beers/"/>
    <hyperlink ref="S4" r:id="rId3" display="https://www.afaqs.com/news/advertising/hilton-wants-indias-hustlers-to-feel-at-home-enough-to-dance-just-ask-deepika-12186053"/>
    <hyperlink ref="T4" r:id="rId4" display="https://www.tbwaindia.com/"/>
    <hyperlink ref="S5" r:id="rId5" display="https://www.afaqs.com/news/advertising/hyatt-india-launches-official-instagram-page-with-vaani-kapoor-8449076"/>
    <hyperlink ref="T5" r:id="rId6" display="https://www.afaqs.com/news/advertising/hyatt-india-launches-new-fb-campaign-to-highlight-its-culinary-legacy-7777415"/>
    <hyperlink ref="S6" r:id="rId7" display="https://www.medianews4u.com/m3m-appoints-nitin-singh-as-head-of-marketing/"/>
    <hyperlink ref="S7" r:id="rId8" display="https://www.afaqs.com/news/advertising/madison-bmb-integrates-with-madison-loop"/>
    <hyperlink ref="T7" r:id="rId9" display="https://www.afaqs.com/news/advertising/madison-loop-wins-the-integrated-account-of-oberoi-realty"/>
    <hyperlink ref="S8" r:id="rId10" display="https://www.afaqs.com/news/advertising/rivaah-by-tanishq-brings-many-stories-to-one-wedding-12540691"/>
    <hyperlink ref="S9" r:id="rId11" display="https://www.afaqs.com/people-spotting/ashish-bajaj-to-lead-brand-and-communications-at-sobha-limited-10563656"/>
    <hyperlink ref="S10" r:id="rId12" display="https://www.socialsamosa.com/industry-updates/shweta-jain-steps-down-cmo-sales-officer-the-leela-palaces-9356489"/>
    <hyperlink ref="S11" r:id="rId13" display="https://www.storyboard18.com/agency-news/exclusive-bmw-india-appoints-vmls-contract-advertising-india-as-creative-agency-87842.htm"/>
    <hyperlink ref="T11" r:id="rId14" display="https://www.adgully.com/post/11327/contract-advertising-india-wins-integrated-creative-mandate-for-bmw-india"/>
    <hyperlink ref="S12" r:id="rId15" display="https://www.medianews4u.com/the-glitch-expands-their-integrated-creative-portfolio-with-the-addition-of-diageo-indias-premium-luxury-and-reserve-brands/"/>
    <hyperlink ref="S13" r:id="rId16" display="https://www.medianews4u.com/ducati-india-appoints-burson-as-strategic-communications-partner/"/>
    <hyperlink ref="T13" r:id="rId17" display="https://www.afaqs.com/people-spotting/ducati-india-elevates-amit-chauhan-to-head-of-marketing-11805878"/>
    <hyperlink ref="S15" r:id="rId18" display="https://www.adgully.com/post/611/mercedes-benz-india-awards-pr-mandate-to-adfactors-pr"/>
    <hyperlink ref="T15" r:id="rId19" display="https://www.afaqs.com/people-spotting/mercedes-benz-india-elevates-nandita-godbole-as-head-of-marketing-12159853"/>
    <hyperlink ref="S16" r:id="rId20" display="https://www.storyboard18.com/agency-news/sw-network-wins-full-digital-mandate-for-mini-india-87868.htm"/>
    <hyperlink ref="T16" r:id="rId21" display="https://www.afaqs.com/news/newbizwins/sw-network-wins-digital-creative-mandate-for-mini-india-11012093"/>
    <hyperlink ref="S17" r:id="rId22" display="https://www.hakuhodo-global.com/news/hakuhodo-india-network-secures-16-prestigious-awards-at-e4m-automotive-marketing-awards-2026.html"/>
    <hyperlink ref="T17" r:id="rId23" display="https://www.afaqs.com/people-spotting/škoda-india-appoints-ashutosh-dixit-as-brand-director-of-porsche-india-11802850"/>
    <hyperlink ref="S18" r:id="rId24" display="https://www.storyboard18.com/brand-makers/kunal-sharma-named-sazerac-india-managing-director-ws-l-110645.htm"/>
    <hyperlink ref="S19" r:id="rId25" display="https://www.campaignindia.in/article/dlf-malls-launches-phygital-summer-up-campaign/4pvgt96ejphfhssc00m9ec3vmp"/>
    <hyperlink ref="S20" r:id="rId26" display="https://www.afaqs.com/news/mktg/elan-group-onboards-shah-rukh-khan-as-brand-ambassador-8750776"/>
    <hyperlink ref="S22" r:id="rId27" display="https://www.afaqs.com/people-spotting/himanshu-raj-joins-juniper-green-energy-experion-developers-as-vp-communications-8598890"/>
    <hyperlink ref="S23" r:id="rId28" display="https://www.afaqs.com/people-spotting/noopur-khandekar-joins-galeries-lafayette-india-as-brand-marketing-head-12391643"/>
    <hyperlink ref="S24" r:id="rId29" display="https://www.afaqs.com/people-spotting/itc-hotels-appoints-rajiv-singh-as-head-food-beverages-marketing-12250848"/>
    <hyperlink ref="T24" r:id="rId30" display="https://www.exchange4media.com/pr-and-corporate-communication-news/itc-hotels-ropes-in-actimedia-as-pr-and-communications-partner-113939.html"/>
    <hyperlink ref="S25" r:id="rId31" display="https://www.storyboard18.com/brand-marketing/taj-gvk-hotels-to-become-krishna-gvk-hotels-taj-gvk-hotels-to-become-krishna-gvk-hotels-ws-l-106223.htm"/>
    <hyperlink ref="S28" r:id="rId32" display="https://quirkhead.ae/"/>
    <hyperlink ref="S30" r:id="rId33" display="https://www.afaqs.com/news/newbizwins/prohed-bags-performance-marketing-mandate-for-vianaar-11220895"/>
    <hyperlink ref="S32" r:id="rId34" display="https://campaignbriefasia.com/2026/09/23/adani-realty-and-22feet-india-celebrate-the-journey-of-bappas-homecoming/"/>
    <hyperlink ref="T32" r:id="rId35" display="https://www.medianews4u.com/adani-realty-collaborates-with-mirum-india-for-its-vr-offering/"/>
    <hyperlink ref="S33" r:id="rId36" display="https://www.afaqs.com/people-spotting/arvind-smartspaces-appoints-ankit-dave-as-head-of-marketing-12583232"/>
    <hyperlink ref="S34" r:id="rId37" display="https://www.afaqs.com/news/advertising/famous-innovations-wins-5-major-mandates-in-h2-strengthens-geographical-expansion-11727022"/>
    <hyperlink ref="T34" r:id="rId38" display="https://www.medianews4u.com/taproot-dentsu-wins-creative-mandate-for-biba/"/>
    <hyperlink ref="S35" r:id="rId39" display="https://www.webenza.com/"/>
    <hyperlink ref="T35" r:id="rId40" display="https://www.socialbeat.in/work/"/>
    <hyperlink ref="S36" r:id="rId41" display="https://www.storyboard18.com/brand-marketing/club-mahindra-to-rebrand-as-club-m-enters-leisure-hospitality-with-rs-1000-crore-investment-84498.htm"/>
    <hyperlink ref="S37" r:id="rId42" display="https://www.afaqs.com/news/newbizwins/enamor-appoints-tilt-brand-solutions-as-its-brand-communications-aor-8888963"/>
    <hyperlink ref="T37" r:id="rId43" display="https://www.medianews4u.com/enamor-names-tilt-brand-solutions-as-brand-communications-aor/"/>
    <hyperlink ref="S38" r:id="rId44" display="https://www.medianews4u.com/ethnix-by-raymond-celebrates-family-and-fashion-in-its-latest-campaign/"/>
    <hyperlink ref="T38" r:id="rId45" display="https://www.afaqs.com/news/advertising/ddb-mudra-wins-raymonds-integrated-aor-mandate"/>
    <hyperlink ref="S39" r:id="rId46" display="https://www.afaqs.com/news/newbizwins/scribbld-wins-digital-and-social-media-mandate-for-foot-locker-india-10279212"/>
    <hyperlink ref="T39" r:id="rId47" display="https://www.medianews4u.com/scribbld-wins-digital-and-social-media-mandate-for-foot-locker-india/"/>
    <hyperlink ref="S40" r:id="rId48" display="https://www.medianews4u.com/godrej-properties-launches-its-first-digital-brand-campaign/"/>
    <hyperlink ref="T40" r:id="rId49" display="https://www.afaqs.com/news/advertising/madison-bmb-integrates-with-madison-loop"/>
    <hyperlink ref="S41" r:id="rId50" display="https://www.afaqs.com/people-spotting/indigo-appoints-mayank-kumar-as-head-of-content-creative-marketing-12514196"/>
    <hyperlink ref="T41" r:id="rId51" display="https://www.campaignindia.in/article/pixel-perfect-how-nash8-turned-indigo-axis-bank-credit-card-launch-into-a-game-worth-playing/4p09sj3s31zrztgj67esjzmwdj"/>
    <hyperlink ref="S42" r:id="rId52" display="https://www.afaqs.com/people-spotting/k-raheja-group-appoints-vijayta-nikhil-raheja-as-ceo-12208087"/>
    <hyperlink ref="S43" r:id="rId53" display="https://www.afaqs.com/news/ooh/social-beat-executes-pdooh-campaign-for-kalpataru-at-mumbai-airport-11806525"/>
    <hyperlink ref="S44" r:id="rId54" display="https://www.afaqs.com/news/advertising/khazana-jewellery-chooses-social-beat-for-digital-mandate"/>
    <hyperlink ref="S45" r:id="rId55" display="https://www.medianews4u.com/limelight-lab-grown-diamonds-announces-vertical-integration-inr-250-cr-fundraise-to-accelerate-growth/"/>
    <hyperlink ref="S46" r:id="rId56" display="https://www.manifest-media.in/advertising/081025/indiaa-awards-2025-moonshot-and-ogilvy-dominate-with-four-wins-each.html"/>
    <hyperlink ref="T46" r:id="rId57" display="https://www.dentsu.com/in/en/our-news/dentsu-webchutney-wins-digital-mandate-for-make-my-trip"/>
    <hyperlink ref="S47" r:id="rId58" display="https://www.exchange4media.com/advertising-news/malabar-gold-diamonds-campaign-with-alia-bhatt-celebrates-the-charm-of-solitaires-140391.html"/>
    <hyperlink ref="S48" r:id="rId59" display="https://www.medianews4u.com/manyavar-awards-digital-transformation-mandate-to-mirum-india-and-wt-commerce/"/>
    <hyperlink ref="T48" r:id="rId60" display="https://www.medianews4u.com/manyavar-enters-south-india-with-ram-charan-as-brands-face-in-ooh-campaign-conceptualized-by-groupm-ooh-solutions/"/>
    <hyperlink ref="S49" r:id="rId61" display="https://www.afaqs.com/people-spotting/sneha-kanukolanu-joins-mia-by-tanishq-as-marketing-lead-12158434"/>
    <hyperlink ref="T49" r:id="rId62" display="https://www.medianews4u.com/digital-refresh-networks-bags-the-digital-mandate-for-mia-by-tanishq-motherhood-ivf-and-ikounsellor/"/>
    <hyperlink ref="S50" r:id="rId63" display="https://www.medianews4u.com/myntra-launches-high-energy-m-now-campaign-featuring-sumukhi-suresh-vihaan-samat-sakshi-shivdasani-ayesha-kanga/"/>
    <hyperlink ref="T50" r:id="rId64" display="https://campaignbriefasia.com/2025/06/25/ddb-mudra-india-and-myntra-unveil-m-now-campaign-spotlighting-instant-style-solutions/"/>
    <hyperlink ref="S51" r:id="rId65" display="https://www.medianews4u.com/nykaa-fashion-names-ishaan-khatter-shanaya-kapoor-as-new-faces-of-the-brand/"/>
    <hyperlink ref="S52" r:id="rId66" display="https://www.afaqs.com/people-spotting/origen-realty-appoints-poulomi-ray-as-chief-marketing-officer-11737049"/>
    <hyperlink ref="S53" r:id="rId67" display="https://www.medianews4u.com/social-beat-secures-seo-and-content-mandate-for-pothys/"/>
    <hyperlink ref="S54" r:id="rId68" display="https://www.socialsamosa.com/industry-updates/fcb-ulka-creative-mandate-provident-housing-4755687"/>
    <hyperlink ref="T54" r:id="rId69" display="https://www.medianews4u.com/fcb-ulka-bags-creative-mandate-for-provident-housing/"/>
    <hyperlink ref="S55" r:id="rId70" display="https://www.storyboard18.com/brand-marketing/radisson-targets-160-hotels-19500-rooms-in-india-by-2026-amid-expansion-push-97096.htm"/>
    <hyperlink ref="S56" r:id="rId71" display="https://www.afaqs.com/news/advertising/ddb-mudra-wins-raymonds-integrated-aor-mandate"/>
    <hyperlink ref="T56" r:id="rId72" display="https://www.afaqs.com/news/advertising/madison-bmb-integrates-with-madison-loop"/>
    <hyperlink ref="S57" r:id="rId73" display="https://www.afaqs.com/people-spotting/vineet-shah-joins-raymond-lifestyle-as-head-omnichannel-media-12573726"/>
    <hyperlink ref="S58" r:id="rId74" display="https://www.afaqs.com/news/advertising/tanishq-challenges-empowerment-norms-in-womens-day-campaign-her-choice-8828061"/>
    <hyperlink ref="T58" r:id="rId75" display="https://www.medianews4u.com/rivaah-by-tanishq-unveils-one-wedding-many-stories-campaign-celebrating-modern-indian-weddings/"/>
    <hyperlink ref="S59" r:id="rId76" display="https://www.medianews4u.com/tata-realty-and-tata-housing-appoint-gaurav-jain-as-managing-director-and-ceo/"/>
    <hyperlink ref="S61" r:id="rId77" display="https://www.medianews4u.com/the-house-of-abhinandan-lodha-launches-new-campaign-for-the-sarayu-in-ayodhyaji-featuring-ranbir-kapoor/"/>
    <hyperlink ref="S62" r:id="rId78" display="https://www.afaqs.com/news/advertising/thomas-cook-india-taps-kartik-aaryan-to-promote-borderless-travel-card-8920861"/>
    <hyperlink ref="S63" r:id="rId79" display="https://www.afaqs.com/people-spotting/virgio-appoints-hansa-nigam-as-chief-marketing-officer-12138383"/>
    <hyperlink ref="S64" r:id="rId80" display="https://campaignbriefasia.com/2025/09/24/bbdo-india-and-world-gold-council-celebrate-lifes-everyday-moments-with-gold/"/>
    <hyperlink ref="S65" r:id="rId81" display="https://www.storyboard18.com/brand-makers/360-one-appoints-raghav-iyengar-as-ceo-designate-of-asset-business-36564.htm"/>
    <hyperlink ref="S66" r:id="rId82" display="https://www.medianews4u.com/radico-khaitan-doing-an-integrated-campaign-to-celebrate-its-debut-in-the-luxury-vodka-segment-with-the-spirit-of-kashmyr/"/>
    <hyperlink ref="S69" r:id="rId83" display="https://www.medianews4u.com/vmlyr-india-to-work-on-user-experience-and-creative-revamp-of-anita-dongres-website/"/>
    <hyperlink ref="S70" r:id="rId84" display="https://www.storyboard18.com/agency-news/antara-senior-living-appoints-bang-in-the-middle-as-its-creative-agency-33413.htm"/>
    <hyperlink ref="S71" r:id="rId85" display="https://www.grapesworldwide.com/"/>
    <hyperlink ref="S74" r:id="rId86" display="https://www.grapesworldwide.com/"/>
    <hyperlink ref="S75" r:id="rId87" display="https://crosshairscommunication.com/case-studies/"/>
    <hyperlink ref="S76" r:id="rId88" display="https://www.socialsamosa.com/industry-updates/lodha-sneha-shenoy-avp-brand-marketing-11871387"/>
    <hyperlink ref="S77" r:id="rId89" display="https://www.afaqs.com/news/newbizwins/sw-network-retains-creative-and-digital-mandate-for-nexus-select-citywalk-delhi-9316678"/>
    <hyperlink ref="T77" r:id="rId90" display="https://www.medianews4u.com/sw-network-retains-creative-and-digital-mandate-for-nexus-select-citywalk-delhi/"/>
    <hyperlink ref="S78" r:id="rId91" display="https://www.afaqs.com/news/advertising/famous-innovations-wins-5-major-mandates-in-h2-strengthens-geographical-expansion-11727022"/>
    <hyperlink ref="S84" r:id="rId92" display="https://www.exchange4media.com/advertising-news/rediffusion-collaborates-with-ihcl-for-launch-of-she-remains-the-taj-120348.html"/>
    <hyperlink ref="T84" r:id="rId93" display="https://www.medianews4u.com/publicis-groupe-south-asia-appoints-paritosh-srivastava-and-snehasis-bose-to-lead-bbh-india/"/>
    <hyperlink ref="S85" r:id="rId94" display="https://www.medianews4u.com/tata-cliq-luxury-turns-festive-shopping-into-an-investigation-with-festive-investigation-bureau/"/>
    <hyperlink ref="S86" r:id="rId95" display="https://www.manifest-media.in/marketing/240926/natural-diamond-council-relaunches-as-the-diamond-collective-with-new.html"/>
    <hyperlink ref="S87" r:id="rId96" display="https://www.agencyreporter.com/oberoi-hotels-appoints-mirum-india-for-marketing-cloud-services/"/>
    <hyperlink ref="S89" r:id="rId97" display="https://www.afaqs.com/news/advertising/famous-innovations-wins-5-major-mandates-in-h2-strengthens-geographical-expansion-11727022"/>
    <hyperlink ref="T89" r:id="rId98" display="https://www.medianews4u.com/atish-negi-appointed-brand-director-at-adidas-india/"/>
    <hyperlink ref="S90" r:id="rId99" display="https://www.medianews4u.com/82-5-communications-wins-the-mandate-for-bacardi-indias-brands/"/>
    <hyperlink ref="T90" r:id="rId100" display="https://www.afaqs.com/news/advertising/825-communications-secures-creative-duties-for-bacardi-india-brands-8443722"/>
    <hyperlink ref="S91" r:id="rId101" display="https://www.medianews4u.com/bellavitas-campaign-deo-bachche-lagate-hai-aims-to-reposition-perfumes-as-a-luxurious-upgrade-to-deodorants/"/>
    <hyperlink ref="S92" r:id="rId102" display="https://www.medianews4u.com/blenders-pride-fashion-tour-powered-by-fdci-sets-fashions-next-move-with-new-campaign/"/>
    <hyperlink ref="S93" r:id="rId103" display="https://www.medianews4u.com/coronas-launches-a-campaign-around-sunset-views/"/>
    <hyperlink ref="S94" r:id="rId104" display="https://news.google.com/rss/search?q=%22BBDO+India%22+mandate&amp;hl=en-IN&amp;gl=IN&amp;ceid=IN:en"/>
    <hyperlink ref="S95" r:id="rId105" display="https://www.afaqs.com/people-spotting/ranjeev-vij-moves-on-from-tbwaindia-9009481"/>
    <hyperlink ref="S96" r:id="rId106" display="https://www.socialsamosa.com/samosa-snippets/bbdo-tbwa-mccann-bring-omnicom-reshaped-empire-10841609"/>
    <hyperlink ref="S97" r:id="rId107" display="https://www.medianews4u.com/honasa-consumer-names-saahil-nayar-as-business-head-senior-vice-president-to-lead-emerging-brands/"/>
    <hyperlink ref="S98" r:id="rId108" display="https://www.medianews4u.com/lowe-lintas-wins-jawa-motorcycles-creative-mandate/"/>
    <hyperlink ref="S99" r:id="rId109" display="https://www.medianews4u.com/82-5-communications-india-secures-the-creative-mandate-for-jsw-mg-motor-india/"/>
    <hyperlink ref="T99" r:id="rId110" display="https://www.afaqs.com/people-spotting/jsw-mg-motor-india-appoints-parth-jindal-as-chairman-12458026"/>
    <hyperlink ref="S100" r:id="rId111" display="https://www.afaqs.com/news/digital/social-beat-secures-digital-mandate-for-juicy-chemistry"/>
    <hyperlink ref="S101" r:id="rId112" display="https://www.afaqs.com/people-spotting/lovechild-by-masaba-appoints-joel-thottan-as-marketing-lead-11834518"/>
    <hyperlink ref="S102" r:id="rId113" display="https://www.afaqs.com/news/advertising/why-mahindras-thar-roxx-is-courting-womenwithout-letting-go-of-its-core-identity-12229682"/>
    <hyperlink ref="T102" r:id="rId114" display="https://www.medianews4u.com/mumbais-potholes-become-mahindras-playground-in-bold-thar-test-drive-campaign/"/>
    <hyperlink ref="S104" r:id="rId115" display="https://www.afaqs.com/people-spotting/oziva-appoints-abhishek-agrawal-as-chief-growth-officer-12443459"/>
    <hyperlink ref="S105" r:id="rId116" display="https://www.medianews4u.com/wavemaker-india-retains-media-mandate-for-pernod-ricard-india/"/>
    <hyperlink ref="T105" r:id="rId117" display="https://www.medianews4u.com/pernod-ricard-india-appoints-debasree-dasgupta-as-cmo-and-global-business-development-head/"/>
    <hyperlink ref="S106" r:id="rId118" display="https://campaignbriefasia.com/2026/09/25/reliance-foundation-puts-opportunity-before-victory-in-new-tbwalintas-india-campaign/"/>
    <hyperlink ref="S107" r:id="rId119" display="https://campaignbriefasia.com/2024/08/05/the-work-2024-hot-list-3-ddb-mudra-group-india/"/>
    <hyperlink ref="T107" r:id="rId120" display="https://www.medianews4u.com/royal-challenge-packaged-drinking-water-launches-main-nahi-toh-kaun-be-campaign-reinforces-choose-bold-philosophy/"/>
    <hyperlink ref="S108" r:id="rId121" display="https://www.medianews4u.com/royal-stag-launches-rscode-campaign-blending-cricket-data-and-ai-to-help-fans-decode-success/"/>
    <hyperlink ref="T108" r:id="rId122" display="https://www.medianews4u.com/royal-stag-barrel-select-shorts-launches-for-the-select-ones-campaign-featuring-rajkummar-rao-and-patralekha/"/>
    <hyperlink ref="S109" r:id="rId123" display="https://www.medianews4u.com/skoda-auto-india-and-bbh-india-launch-for-the-restless-campaign-for-new-kylaq-sportline/"/>
    <hyperlink ref="T109" r:id="rId124" display="https://www.medianews4u.com/wunderman-thompson-india-bags-strategy-and-creative-mandate-for-skoda/"/>
    <hyperlink ref="S110" r:id="rId125" display="https://www.storyboard18.com/brand-makers/tata-motors-pvs-media-pitch-concludes-auto-major-retains-existing-agencies-48051.htm"/>
    <hyperlink ref="T110" r:id="rId126" display="https://www.afaqs.com/people-spotting/tata-motors-appoints-ejaz-takey-as-head-of-suv-marketing-11999514"/>
    <hyperlink ref="S111" r:id="rId127" display="https://www.storyboard18.com/advertising/lowe-lintas-bags-the-creative-mandate-of-tuborg-75196.htm"/>
    <hyperlink ref="S112" r:id="rId128" display="https://campaignbriefasia.com/2025/11/17/volkswagen-india-takes-drivers-back-to-the-moment-their-love-for-cars-was-born/"/>
    <hyperlink ref="T112" r:id="rId129" display="https://www.storyboard18.com/how-it-works/volkswagen-colgate-palmolive-apple-the-return-of-the-agency-within-an-agency-96076.htm"/>
    <hyperlink ref="S113" r:id="rId130" display="https://campaignbriefasia.com/2026/04/20/agoda-highlights-smart-travel-savings-in-new-what-a-save-campaign-via-22feet-india/"/>
    <hyperlink ref="T113" r:id="rId131" display="https://www.afaqs.com/news/advertising/agoda-launches-ai-powered-campaign-with-ayushmann-khurrana-to-personalise-travel-ads-for-audiences"/>
    <hyperlink ref="S114" r:id="rId132" display="https://www.storyboard18.com/brand-marketing/boney-kapoor-bhutani-infras-noida-film-city-to-drive-hospitality-retail-investments-as-construction-nears-101963.htm"/>
    <hyperlink ref="S115" r:id="rId133" display="https://www.medianews4u.com/bluestones-strokesofgenius-campaign-embraces-the-idea-that-jewellery-is-wearable-art/"/>
    <hyperlink ref="S116" r:id="rId134" display="https://www.afaqs.com/news/newbizwins/gant-india-partners-with-emporiom-digital-to-drive-digital-growth-8975364"/>
    <hyperlink ref="S117" r:id="rId135" display="https://www.socialsamosa.com/industry-updates/heer-by-giva-anushka-sharma-face-of-brand-11826100"/>
    <hyperlink ref="S118" r:id="rId136" display="https://www.medianews4u.com/contract-advertising-launches-brand-re-stage-campaign-for-kisna/"/>
    <hyperlink ref="S119" r:id="rId137" display="https://www.manifest-media.in/marketing/240926/libas-expands-beyond-apparel-with-jewellery-launch.html"/>
    <hyperlink ref="S120" r:id="rId138" display="https://www.medianews4u.com/louis-philippe-bets-on-cultural-credibility-over-celebrity-influence-in-new-digital-campaign/"/>
    <hyperlink ref="T120" r:id="rId139" display="https://www.afaqs.com/news/advertising/louis-philippe-brings-kenny-sebastian-into-new-onam-campaign-12436755"/>
    <hyperlink ref="S121" r:id="rId140" display="https://www.afaqs.com/news/advertising/mahindra-lifespaces-moves-beyond-amenities-in-its-latest-campaign-12051467"/>
    <hyperlink ref="S122" r:id="rId141" display="https://www.afaqs.com/news/newbizwins/quirk-head-becomes-social-media-and-creative-design-partner-for-marriott-udaipur-and-jim-corbett-9014286"/>
    <hyperlink ref="S123" r:id="rId142" display="https://www.medianews4u.com/mmtc-pamps-festive-films-by-autumngrey-capture-the-purity-of-emotions/"/>
    <hyperlink ref="S124" r:id="rId143" display="https://www.afaqs.com/people-spotting/neemans-appoints-akshit-dhingra-as-vp-brand-marketing-12030001"/>
    <hyperlink ref="S125" r:id="rId144" display="https://www.exchange4media.com/pr-and-corporate-communication-news/lintas-live-wins-pr-and-communication-mandate-for-prestige-group-109905.html"/>
    <hyperlink ref="T125" r:id="rId145" display="https://www.campaignindia.in/article/prestige-group-launches-rise-with-us-campaign/4k6yqh6a2a759y8zhexzz7ryxm"/>
    <hyperlink ref="S126" r:id="rId146" display="https://www.socialsamosa.com/industry-updates/signature-global-imran-shaikh-gm-marketing-communication-10884838"/>
    <hyperlink ref="S128" r:id="rId147" display="https://www.afaqs.com/news/advertising/titan-raga-shifts-the-conversation-from-sisterhood-to-women-standing-their-ground-12512364"/>
    <hyperlink ref="T128" r:id="rId148" display="https://www.medianews4u.com/titan-raga-launches-your-way-is-beautiful-campaign-featuring-alia-bhatt/"/>
    <hyperlink ref="S129" r:id="rId149" display="https://www.afaqs.com/news/advertising/lintas-live-wins-social-media-marketing-mandate-for-turespaa"/>
    <hyperlink ref="S130" r:id="rId150" display="https://www.medianews4u.com/lintas-live-wins-back-the-pr-and-integrated-communications-mandate-for-visit-victoria/"/>
    <hyperlink ref="S132" r:id="rId151" display="https://news.google.com/rss/search?q=%22Ketchum+Sampark%22+OR+%22FleishmanHillard+India%22+mandate&amp;hl=en-IN&amp;gl=IN&amp;ceid=IN:en"/>
    <hyperlink ref="S135" r:id="rId152" display="https://www.medianews4u.com/diageo-india-usl-to-acquire-nao-spirits-maker-of-greater-than-and-hapusa-craft-gins/"/>
    <hyperlink ref="S136" r:id="rId153" display="https://www.medianews4u.com/indri-single-malt-whisky-gives-360-brand-mandate-to-blackcab-agency-network/"/>
    <hyperlink ref="S137" r:id="rId154" display="https://www.medianews4u.com/loccitane-awards-its-pr-mandate-to-crosshairs-communication/"/>
    <hyperlink ref="S139" r:id="rId155" display="https://www.medianews4u.com/longitude-77-by-pernod-ricard-india-redefines-diwali-gifting-with-craft-and-culture/"/>
    <hyperlink ref="S140" r:id="rId156" display="https://www.medianews4u.com/tonic-worldwide-wins-digital-mandate-for-tilaknagars-monarch-legacy-edition-luxury-brandy/"/>
    <hyperlink ref="T140" r:id="rId157" display="https://www.afaqs.com/news/newbizwins/tonic-worldwide-bags-digital-mandate-for-monarch-legacy-edition-luxury-brandy-9601190"/>
    <hyperlink ref="S142" r:id="rId158" display="https://www.afaqs.com/corporate-communications-and-pr/crosshairs-communication-is-now-accor-indias-pr-partner"/>
    <hyperlink ref="T142" r:id="rId159" display="https://www.campaignindia.in/article/accor-launches-all-for-love-celebrations-platform/4p466y39g5pxbtyrn5k9981fns"/>
    <hyperlink ref="S143" r:id="rId160" display="https://www.grapesworldwide.com/"/>
    <hyperlink ref="S144" r:id="rId161" display="https://www.grapesworldwide.com/"/>
    <hyperlink ref="S145" r:id="rId162" display="https://www.socialsamosa.com/industry-updates/icubeswire-digital-mandate-luxury-real-estate-brand-central-park-9368637"/>
    <hyperlink ref="S146" r:id="rId163" display="https://www.campaignindia.in/article/burson-wins-chalet-hotels-reputation-mandate/4xy9ew13ahvn7sn61tt41mbhx7"/>
    <hyperlink ref="T146" r:id="rId164" display="https://www.medianews4u.com/chalet-hotels-partners-with-burson-to-strengthen-corporate-reputation-and-brand-equity/"/>
    <hyperlink ref="S147" r:id="rId165" display="https://www.afaqs.com/news/advertising/50574_everest-brand-solutions-retains-creative-mandate-of-ddfs"/>
    <hyperlink ref="S148" r:id="rId166" display="https://www.medianews4u.com/landor-transforms-hilton-shillim-resort-spa-into-dharana-a-luxury-retreat-with-a-new-brand-identity-celebrating-wellness-and-conscious-being/"/>
    <hyperlink ref="S149" r:id="rId167" display="https://crosshairscommunication.com/clients/"/>
    <hyperlink ref="S150" r:id="rId168" display="https://crosshairscommunication.com/clients/"/>
    <hyperlink ref="S151" r:id="rId169" display="https://crosshairscommunication.com/clients/"/>
    <hyperlink ref="S152" r:id="rId170" display="https://www.madchatter.in/"/>
    <hyperlink ref="T152" r:id="rId171" display="https://www.afaqs.com/news/advertising/house-of-hiranandani-unveils-tomorrowmatters-campaign-with-ambitious-5-year-sustainability-goals"/>
    <hyperlink ref="S153" r:id="rId172" display="https://campaignbriefasia.com/2025/09/22/ogilvy-india-creates-festive-film-for-indriyas-alka-collection-featuring-dil-abhi-bhara-nahin/"/>
    <hyperlink ref="T153" r:id="rId173" display="https://www.medianews4u.com/adlift-bags-seo-mandate-for-indriya-aditya-birla-jewellery/"/>
    <hyperlink ref="S154" r:id="rId174" display="https://www.afaqs.com/corporate-communications-and-pr/crosshairs-communication-wins-pr-mandate-for-khurana-jewellery-house"/>
    <hyperlink ref="S155" r:id="rId175" display="https://www.afaqs.com/news/newbizwins/sunny-side-up-wins-creative-mandate-for-william-penns-lapis-bard-10881552"/>
    <hyperlink ref="S156" r:id="rId176" display="https://www.afaqs.com/corporate-communications-and-pr/crosshairs-communication-bags-pr-mandate-for-le-royal-monceau-raffles-paris-7594598"/>
    <hyperlink ref="S157" r:id="rId177" display="https://www.grapesworldwide.com/"/>
    <hyperlink ref="S158" r:id="rId178" display="https://www.medianews4u.com/marriott-international-brings-loyal-tea-activation-to-mumbai-with-bbh-singapore-to-extend-marriott-bonvoy-campaign/"/>
    <hyperlink ref="S159" r:id="rId179" display="https://lyxelandflamingo.com/"/>
    <hyperlink ref="S160" r:id="rId180" display="https://www.whiteriversmedia.com/"/>
    <hyperlink ref="T160" r:id="rId181" display="https://www.grapesworldwide.com/"/>
    <hyperlink ref="S161" r:id="rId182" display="https://crosshairscommunication.com/case-studies/"/>
    <hyperlink ref="S162" r:id="rId183" display="https://www.afaqs.com/news/newbizwins/crosshairs-communication-bags-pr-mandate-for-raghavendra-rathore-jodhpur-8899894"/>
    <hyperlink ref="S163" r:id="rId184" display="https://www.afaqs.com/people-spotting/rakesh-setia-joins-runwal-as-ceo-for-luxury-segment-after-7-year-stint-at-rustomjee-11742410"/>
    <hyperlink ref="T163" r:id="rId185" display="https://www.socialsamosa.com/industry-updates/concept-pr-communications-mandate-runwal-enterprises-12062954"/>
    <hyperlink ref="S164" r:id="rId186" display="https://www.afaqs.com/news/advertising/famous-innovations-wins-5-major-mandates-in-h2-strengthens-geographical-expansion-11727022"/>
    <hyperlink ref="S165" r:id="rId187" display="https://www.medianews4u.com/beam-and-words-bags-social-media-mandate-for-luxury-designer-brand-tarun-tahiliani/"/>
    <hyperlink ref="T165" r:id="rId188" display="https://crosshairscommunication.com/clients/"/>
    <hyperlink ref="S166" r:id="rId189" display="https://www.afaqs.com/news/newbizwins/the-other-circle-bags-pr-mandate-for-the-astor-goa-9504708"/>
    <hyperlink ref="S167" r:id="rId190" display="https://quirkhead.ae/"/>
    <hyperlink ref="S168" r:id="rId191" display="https://quirkhead.ae/"/>
    <hyperlink ref="S169" r:id="rId192" display="https://www.afaqs.com/corporate-communications-and-pr/crosshairs-communication-bags-pr-mandate-for-thomas-goode-co-in-india-7295230"/>
    <hyperlink ref="S170" r:id="rId193" display="https://www.grapesworldwide.com/"/>
    <hyperlink ref="S171" r:id="rId194" display="https://www.afaqs.com/news/newbizwins/pepper-communications-group-wins-pr-mandate-for-timbertales-luxury-resort-8629292"/>
    <hyperlink ref="S172" r:id="rId195" display="https://www.pulpstrategy.com/?portfolio=the-heroines-journey-beyond-by-zoya"/>
    <hyperlink ref="T172" r:id="rId196" display="https://www.pulpstrategy.com/"/>
    <hyperlink ref="S173" r:id="rId197" display="https://www.afaqs.com/people-spotting/akasa-air-appoints-aditi-roy-as-head-of-corporate-communications-csr-11457862"/>
    <hyperlink ref="T173" r:id="rId198" display="https://www.campaignindia.in/article/akasa-air-s-anti-advertising-playbook-winning-skies-through-unscripted-customer-moments/495j1wvysejyaz0b2xztdradws"/>
    <hyperlink ref="S174" r:id="rId199" display="https://campaignbriefasia.com/2026/01/28/axis-bank-and-grey-india-launch-deshkalocker-republic-day-campaign/"/>
    <hyperlink ref="T174" r:id="rId200" display="https://www.afaqs.com/news/advertising/axis-bank-turns-nri-distance-into-stories-of-care-and-connection-12399615"/>
    <hyperlink ref="S175" r:id="rId201" display="https://www.medianews4u.com/dbs-bank-india-revamps-sounds-of-budget-campaign/"/>
    <hyperlink ref="T175" r:id="rId202" display="https://bestmediainfo.com/mediainfo/mediainfo-marketing/dbs-initiates-creative-agency-review-across-six-asia-pacific-markets-including-india-11700883"/>
    <hyperlink ref="S176" r:id="rId203" display="https://www.afaqs.com/news/newbizwins/omd-india-wins-integrated-media-mandate-for-hdfc-life-8636433"/>
    <hyperlink ref="T176" r:id="rId204" display="https://campaignbriefasia.com/2026/01/27/hdfc-life-unveils-new-brand-campaign-with-leo-highlighting-parents-role-in-shaping-the-future/"/>
    <hyperlink ref="S177" r:id="rId205" display="https://www.medianews4u.com/publicis-indias-campaign-for-hdfc-mutual-fund-captures-emotional-investment-journey-with-storytelling-and-insights/"/>
    <hyperlink ref="T177" r:id="rId206" display="https://www.campaignindia.in/article/hdfc-mutual-fund-s-barni-se-azadi-puts-women-centre-stage/4vwx7gdgw1vn60g41yqv07k1mc"/>
    <hyperlink ref="S178" r:id="rId207" display="https://www.storyboard18.com/advertising/biz-breaks-major-account-moves-and-pitches-of-2024-51970.htm"/>
    <hyperlink ref="T178" r:id="rId208" display="https://www.afaqs.com/news/advertising/how-kotak-is-banking-on-ai-driven-content-to-stay-ahead-of-the-curve-8893952"/>
    <hyperlink ref="S179" r:id="rId209" display="https://campaignbriefasia.com/2026/08/06/bbdo-india-and-mcdonalds-india-launch-mccafe-campaign-as-network-expands-to-200-outlets/"/>
    <hyperlink ref="T179" r:id="rId210" display="https://news.google.com/rss/search?q=%22DDB+Mudra%22+wins+OR+bags+OR+mandate&amp;hl=en-IN&amp;gl=IN&amp;ceid=IN:en"/>
    <hyperlink ref="S180" r:id="rId211" display="https://www.afaqs.com/news/advertising/motilal-oswal-financial-servicess-new-ad-warns-against-bad-financial-advice-9306490"/>
    <hyperlink ref="T180" r:id="rId212" display="https://www.medianews4u.com/motilal-oswal-fss-new-campaign-shows-how-lack-of-expertise-can-challenge-seasoned-professionals/"/>
    <hyperlink ref="S181" r:id="rId213" display="https://www.afaqs.com/people-spotting/razorpay-elevates-apuarv-sethi-to-cmo-11837471"/>
    <hyperlink ref="S182" r:id="rId214" display="https://www.afaqs.com/people-spotting/shanu-singh-rejoins-standard-chartered-as-head-marketing-wrb-india-11805501"/>
    <hyperlink ref="T182" r:id="rId215" display="https://www.socialsamosa.com/samosa-snippets/bbdo-tbwa-mccann-bring-omnicom-reshaped-empire-10841609"/>
    <hyperlink ref="S183" r:id="rId216" display="https://www.medianews4u.com/lintas-live-bags-the-pr-mandate-for-tata-aig-general-insurance/"/>
    <hyperlink ref="T183" r:id="rId217" display="https://www.medianews4u.com/social-panga-bags-social-media-mandate-for-tata-aig/"/>
    <hyperlink ref="S184" r:id="rId218" display="https://www.medianews4u.com/vistara-assigns-its-creative-mandate-to-ogilvy-and-signs-maxus-as-media-partner/"/>
    <hyperlink ref="T184" r:id="rId219" display="https://www.storyboard18.com/agency-news/vistara-bookings-to-stop-from-next-week-onwards-merger-with-air-india-from-12-nov-40965.htm"/>
    <hyperlink ref="S185" r:id="rId220" display="https://www.grapesworldwide.com/"/>
    <hyperlink ref="S187" r:id="rId221" display="https://www.medianews4u.com/bioderma-india-appoints-pr-pundit-as-its-communications-partner/"/>
    <hyperlink ref="T187" r:id="rId222" display="https://www.afaqs.com/news/advertising/bioderma-appoints-pr-pundit-as-its-communications-partner-in-india"/>
    <hyperlink ref="S188" r:id="rId223" display="https://www.afaqs.com/people-spotting/bira-91-founder-ankur-jain-steps-down-after-lender-settlement-12187504"/>
    <hyperlink ref="T188" r:id="rId224" display="https://www.medianews4u.com/bira-91-partners-with-omd-to-engage-beer-fans/"/>
    <hyperlink ref="S189" r:id="rId225" display="https://www.socialsamosa.com/industry-updates/akshay-gurnani-exits-schbang-harshil-sohil-karia-full-control-8772881"/>
    <hyperlink ref="S190" r:id="rId226" display="https://www.medianews4u.com/lintas-live-rides-away-with-the-classic-legends-mandate/"/>
    <hyperlink ref="S191" r:id="rId227" display="https://www.afaqs.com/news/advertising/dove-encourages-consumers-to-pause-reverse-and-play-for-healthier-hair"/>
    <hyperlink ref="S192" r:id="rId228" display="https://www.afaqs.com/news/newbizwins/honda-cars-india-appoints-burson-as-strategic-communications-partner-9064438"/>
    <hyperlink ref="T192" r:id="rId229" display="https://www.medianews4u.com/honda-cars-india-names-burson-as-strategic-communications-partner/"/>
    <hyperlink ref="S193" r:id="rId230" display="https://www.storyboard18.com/agency-news/non-auto-business-nears-one-third-of-innocean-india-revenue-target-50-in-three-years-111037.htm"/>
    <hyperlink ref="S194" r:id="rId231" display="https://www.afaqs.com/news/advertising/interactive-avenues-bags-social-media-mandate-for-rppl"/>
    <hyperlink ref="S195" r:id="rId232" display="https://www.grapesworldwide.com/"/>
    <hyperlink ref="S196" r:id="rId233" display="https://www.afaqs.com/news/advertising/johnsons-baby-launches-poshan-ka-pehla-sparsh-campaign-12062183"/>
    <hyperlink ref="S197" r:id="rId234" display="https://www.afaqs.com/news/branded-content/nykaa-wanderlust-enters-microdrama-space-with-hotel-wanderlust-12584987"/>
    <hyperlink ref="T197" r:id="rId235" display="https://www.medianews4u.com/nykaas-new-at-nykaa-campaign-spotlights-latest-beauty-launches-through-playful-warehouse-heist/"/>
    <hyperlink ref="S198" r:id="rId236" display="https://www.medianews4u.com/puma-owns-the-dive-invites-viewers-to-dive-and-post-to-play-alongside-virat-kohli/"/>
    <hyperlink ref="T198" r:id="rId237" display="https://www.medianews4u.com/puma-india-brings-virat-kohli-rcb-stars-and-viral-fan-together-for-rcbeverywhere-campaign/"/>
    <hyperlink ref="S199" r:id="rId238" display="https://www.storyboard18.com/brand-makers/royal-enfields-ev-chief-mario-alvisi-steps-down-amid-strategic-shift-report-83207.htm"/>
    <hyperlink ref="S201" r:id="rId239" display="https://www.medianews4u.com/gaurang-menon-steps-down-from-hashtag-orange-after-building-mumbai-business/"/>
    <hyperlink ref="S202" r:id="rId240" display="https://www.afaqs.com/news/advertising/tvs-apache-launches-tu-race-laga-campaign-12152297"/>
    <hyperlink ref="S203" r:id="rId241" display="https://www.storyboard18.com/brand-makers/vijay-deverakonda-launches-skincare-brand-unhype-ws-l-110493.htm"/>
    <hyperlink ref="S205" r:id="rId242" display="https://www.afaqs.com/news/advertising/vicky-kaushal-stars-in-birla-estates-real-advise-campaign"/>
    <hyperlink ref="T205" r:id="rId243" display="https://www.afaqs.com/news/advertising/birla-estates-launches-storiespersqft-t20-campaign-with-rcb-players-8924426"/>
    <hyperlink ref="S207" r:id="rId244" display="https://www.socialsamosa.com/industry-updates/candere-smriti-mandhana-brand-ambassador-12116181"/>
    <hyperlink ref="S210" r:id="rId245" display="https://www.medianews4u.com/prius-communications-leads-pr-and-digital-mandate-for-delhi-times-fashion-week-2026-for-seventh-consecutive-year/"/>
    <hyperlink ref="S211" r:id="rId246" display="https://www.medianews4u.com/lowe-lintas-wins-creative-mandate-for-fabindia/"/>
    <hyperlink ref="T211" r:id="rId247" display="https://www.medianews4u.com/fabindia-appoints-80-db-mavericks-pr-consultancy/"/>
    <hyperlink ref="S212" r:id="rId248" display="https://www.afaqs.com/news/newbizwins/sw-network-wins-fila-and-foot-locker-mandates-from-metro-brands-10812995"/>
    <hyperlink ref="T212" r:id="rId249" display="https://www.medianews4u.com/sw-network-bags-creative-mandate-for-fila-and-foot-locker-from-metro-brands/"/>
    <hyperlink ref="S214" r:id="rId250" display="https://www.afaqs.com/people-spotting/forever-new-appoints-shifali-singh-as-country-director-india-11111573"/>
    <hyperlink ref="S215" r:id="rId251" display="https://www.socialsamosa.com/industry-updates/giva-pulls-raksha-bandhan-ad-featuring-kriti-sanon-after-social-media-backlash-12436871"/>
    <hyperlink ref="S217" r:id="rId252" display="https://www.medianews4u.com/savvytree-renews-helios-by-titans-social-media-mandate-for-3rd-year/"/>
    <hyperlink ref="S218" r:id="rId253" display="https://www.afaqs.com/people-spotting/hero-realty-cmo-karan-kumar-moves-on-12211162"/>
    <hyperlink ref="S221" r:id="rId254" display="https://www.medianews4u.com/kickers-partners-with-team-pumpkin-to-build-digital-presence-in-india/"/>
    <hyperlink ref="T221" r:id="rId255" display="https://www.afaqs.com/news/newbizwins/kickers-appoints-team-pumpkin-as-digital-marketing-agency-for-india-launch-9359511"/>
    <hyperlink ref="S222" r:id="rId256" display="https://dnanetworks.com/our-work/corporate-events/"/>
    <hyperlink ref="S224" r:id="rId257" display="https://www.medianews4u.com/orra-diamond-jewellery-has-appointed-pr-pundit-as-its-communication-partners-in-india/"/>
    <hyperlink ref="T224" r:id="rId258" display="https://crosshairscommunication.com/clients/"/>
    <hyperlink ref="S226" r:id="rId259" display="https://www.afaqs.com/people-spotting/raymond-realty-appoints-karishma-mehta-as-cluster-head-marketing-12204838"/>
    <hyperlink ref="S227" r:id="rId260" display="https://www.medianews4u.com/white-rivers-media-wins-25-business-accounts-in-2023s-q4/"/>
    <hyperlink ref="T227" r:id="rId261" display="https://www.afaqs.com/news/advertising/reliance-jewels-unveils-vindhya-collection-for-akshaya-tritiya"/>
    <hyperlink ref="S228" r:id="rId262" display="https://www.campaignindia.in/article/sattva-group-launches-festive-brand-campaign-featuring-sima-taparia/43d1w83x5p5wfxzgdj8fyeqf5f"/>
    <hyperlink ref="S229" r:id="rId263" display="https://www.medianews4u.com/senco-gold-diamonds-appoints-actimedia-pr-digital-as-official-pr-partner/"/>
    <hyperlink ref="T229" r:id="rId264" display="https://www.medianews4u.com/senco-gold-diamonds-launches-aapkashukriya-campaign-honouring-artisan-craftsmanship/"/>
    <hyperlink ref="S230" r:id="rId265" display="https://www.socialsamosa.com/industry-updates/caratlane-shaya-shreya-ghoshal-brand-ambassador-12575545"/>
    <hyperlink ref="S231" r:id="rId266" display="https://campaignbriefasia.com/2022/05/10/contract-advertising-india-explores-the-changing-narrative-of-mothers-via-shoppers-stop-campaign/"/>
    <hyperlink ref="T231" r:id="rId267" display="https://www.medianews4u.com/fcb-ulka-wins-the-creative-mandate-for-shoppers-stop/"/>
    <hyperlink ref="S233" r:id="rId268" display="https://www.medianews4u.com/monks-interactive-wins-the-pr-mandate-of-the-fern-hotels-resorts/"/>
    <hyperlink ref="S234" r:id="rId269" display="https://www.medianews4u.com/sociowash-wins-mandate-of-titans-licensed-watch-brands-kenneth-cole-new-york-and-tommy-hilfiger/"/>
    <hyperlink ref="S236" r:id="rId270" display="https://www.afaqs.com/news/newbizwins/türkiye-tourism-renews-india-pr-mandate-with-confiance-communications-11076007"/>
    <hyperlink ref="T236" r:id="rId271" display="https://www.medianews4u.com/confiance-communications-bags-india-pr-mandate-for-turkiye-tourism-for-fifth-consecutive-term/"/>
    <hyperlink ref="S237" r:id="rId272" display="https://www.medianews4u.com/van-heusen-looking-to-push-creative-boundaries-with-a-new-campaign-frame-to-redefine-new-eveningwear-sub-brand-vh-evening/"/>
    <hyperlink ref="S238" r:id="rId273" display="https://www.medianews4u.com/oktobuzz-wins-digital-marketing-mandate-of-westside/"/>
    <hyperlink ref="T238" r:id="rId274" display="https://www.ethinos.com/"/>
    <hyperlink ref="S240" r:id="rId275" display="https://campaignbriefasia.com/2025/09/05/the-work-2025-hot-list-2-ddb-mudra-group-india/"/>
    <hyperlink ref="S241" r:id="rId276" display="https://www.afaqs.com/news/advertising/mohammed-siraj-and-ravi-shastri-groove-to-oo-antava-song-in-dixcy-scotts-latest-campaign"/>
    <hyperlink ref="S242" r:id="rId277" display="https://www.medianews4u.com/hansgrohe-india-assigns-its-pr-duties-to-pr-pundit/"/>
    <hyperlink ref="S247" r:id="rId278" display="https://www.afaqs.com/news/media/network18-partners-with-nuvama-group-9348775"/>
    <hyperlink ref="S248" r:id="rId279" display="https://www.afaqs.com/news/newbizwins/audi-india-appoints-wondrlab-as-brand-communication-partner-11216364"/>
    <hyperlink ref="T248" r:id="rId280" display="https://www.medianews4u.com/lk-saatchi-saatchi-wins-retail-communications-mandate-of-audi-india/"/>
    <hyperlink ref="S249" r:id="rId281" display="https://crosshairscommunication.com/case-studies/"/>
    <hyperlink ref="S250" r:id="rId282" display="https://socheers.in/"/>
    <hyperlink ref="S251" r:id="rId283" display="https://www.afaqs.com/news/newbizwins/toaster-insea-wins-social-mandate-for-godfather-beer-10788216"/>
    <hyperlink ref="T251" r:id="rId284" display="https://www.afaqs.com/news/newbizwins/social-panga-wins-digital-mandate-for-devans-beer-gin-brands-12426681"/>
    <hyperlink ref="S252" r:id="rId285" display="https://www.grapesworldwide.com/"/>
    <hyperlink ref="T252" r:id="rId286" display="https://www.medianews4u.com/estee-lauder-launches-india-campaign-for-advanced-night-repair-spotlights-nighttime-skin-recovery/"/>
    <hyperlink ref="S253" r:id="rId287" display="https://www.medianews4u.com/forest-essentials-launches-take-your-time-campaign-celebrating-slow-beauty-and-rituals/"/>
    <hyperlink ref="T253" r:id="rId288" display="https://www.afaqs.com/news/newbizwins/hashtag-orange-bags-marketing-mandate-for-frankfinn-12505549"/>
    <hyperlink ref="S254" r:id="rId289" display="https://socheers.in/"/>
    <hyperlink ref="S255" r:id="rId290" display="https://www.afaqs.com/news/mktg/wpp-wins-global-ai-led-marketing-mandate-for-jaguar-land-rover-11857970"/>
    <hyperlink ref="T255" r:id="rId291" display="https://www.storyboard18.com/advertising/wpp-finally-clinches-jaguar-land-rovers-global-mandate-86357.htm"/>
    <hyperlink ref="S256" r:id="rId292" display="https://www.medianews4u.com/radico-khaitan-appoints-adglobal360-as-integrated-digital-media-partner-to-strengthen-consumer-engagement/"/>
    <hyperlink ref="S257" r:id="rId293" display="https://www.medianews4u.com/johnnie-walker-partners-with-taproot-dentsu-to-launch-the-walkinwithjohnnie-campaign/"/>
    <hyperlink ref="S258" r:id="rId294" display="https://www.afaqs.com/news/newbizwins/adglobal360-wins-radico-khaitans-digital-media-mandate-12017046"/>
    <hyperlink ref="T258" r:id="rId295" display="https://www.storyboard18.com/agency-news/radico-khaitan-names-adglobal360-as-digital-media-partner-100555.htm"/>
    <hyperlink ref="S259" r:id="rId296" display="https://www.afaqs.com/news/newbizwins/confiance-communications-secures-pr-mandate-for-raga-svara-wellness-retreat-9518188"/>
    <hyperlink ref="T259" r:id="rId297" display="https://www.medianews4u.com/confiance-communications-wins-pr-mandate-for-raga-svara-wellness-retreat/"/>
    <hyperlink ref="S260" r:id="rId298" display="https://www.medianews4u.com/radico-khaitan-appoints-adglobal360-as-integrated-digital-media-partner-to-strengthen-consumer-engagement/"/>
    <hyperlink ref="S261" r:id="rId299" display="https://www.medianews4u.com/sephora-india-names-yellow-as-its-official-creative-agency/"/>
    <hyperlink ref="T261" r:id="rId300" display="https://www.medianews4u.com/sephora-india-retains-repindia-as-its-social-media-partner/"/>
    <hyperlink ref="S262" r:id="rId301" display="https://www.afaqs.com/news/advertising/volvo-appoints-ipgs-initiative-as-global-media-agency-8549521"/>
    <hyperlink ref="T262" r:id="rId302" display="https://www.afaqs.com/news/media/creative-agency-blue-vector-wins-the-social-media-mandate-for-volvo-cars-india"/>
    <hyperlink ref="S263" r:id="rId303" display="https://campaignbriefasia.com/2025/09/05/the-work-2025-hot-list-2-ddb-mudra-group-india/"/>
    <hyperlink ref="S264" r:id="rId304" display="https://www.medianews4u.com/leo-burnett-india-to-design-brand-architecture-for-birla-opus/"/>
    <hyperlink ref="T264" r:id="rId305" display="https://www.medianews4u.com/birla-opus-paints-appoints-burson-for-reputation-management-and-brand-communications-in-india/"/>
    <hyperlink ref="S265" r:id="rId306" display="https://www.storyboard18.com/brand-makers/nothing-ceo-india-needs-engineering-not-just-manufacturing-ws-l-111110.htm"/>
    <hyperlink ref="S266" r:id="rId307" display="https://www.afaqs.com/people-spotting/dailyobjects-appoints-zeenah-vilcassim-as-global-chief-marketing-officer-12570725"/>
    <hyperlink ref="S267" r:id="rId308" display="https://www.afaqs.com/people-spotting/faber-castell-india-appoints-sunaina-haldar-as-director-marketing-11223305"/>
    <hyperlink ref="S268" r:id="rId309" display="https://www.afaqs.com/people-spotting/ferrero-elevates-maria-luciani-to-head-of-marketing-11124915"/>
    <hyperlink ref="S269" r:id="rId310" display="https://campaignbriefasia.com/2025/11/03/ddb-tribal-and-mars-wrigley-india-launch-take-pleasure-campaign-for-all-new-galaxy/"/>
    <hyperlink ref="S270" r:id="rId311" display="https://www.storyboard18.com/brand-marketing/exclusive-vinfast-backed-gsm-calls-creative-media-pitch-ahead-of-india-ride-hailing-launch-87951.htm"/>
    <hyperlink ref="S271" r:id="rId312" display="https://campaignbriefasia.com/2022/02/09/havells-urges-their-customers-not-to-make-assumptions-based-on-peoples-appearance-via-new-82-5-communications-india-campaign/"/>
    <hyperlink ref="T271" r:id="rId313" display="https://www.socialsamosa.com/samosa-snippets/as-mullen-vanishes-tbwalintas-lives-on-10867606"/>
    <hyperlink ref="S272" r:id="rId314" display="https://www.afaqs.com/people-spotting/heads-up-for-tails-appoints-shrutie-kher-as-head-of-marketing-11876783"/>
    <hyperlink ref="S273" r:id="rId315" display="https://campaignbriefasia.com/2025/09/05/the-work-2025-hot-list-2-ddb-mudra-group-india/"/>
    <hyperlink ref="S274" r:id="rId316" display="https://campaignbriefasia.com/2024/08/05/the-work-2024-hot-list-3-ddb-mudra-group-india/"/>
    <hyperlink ref="S275" r:id="rId317" display="https://campaignbriefasia.com/2023/08/01/ddb-tribal-india-demonstrates-the-power-of-aroma-via-latest-adani-wilmar-campaign/"/>
    <hyperlink ref="S276" r:id="rId318" display="https://campaignbriefasia.com/2025/06/16/meta-ai-launches-in-india-with-campaign-by-ddb-mudra-celebrating-everyday-creativity/"/>
    <hyperlink ref="S277" r:id="rId319" display="https://www.afaqs.com/news/advertising/one-hand-clap-the-agency-that-got-ms-dhoni-to-re-enact-ranbir-kapoors-animal-8970115"/>
    <hyperlink ref="T277" r:id="rId320" display="https://www.storyboard18.com/advertising/omnicom-media-bags-netflix-indias-mandate-signalling-strategic-reset-in-ott-marketing-97341.htm"/>
    <hyperlink ref="S278" r:id="rId321" display="https://www.afaqs.com/people-spotting/ranjeev-vij-moves-on-from-tbwaindia-9009481"/>
    <hyperlink ref="T278" r:id="rId322" display="https://www.socialsamosa.com/samosa-snippets/end-of-ddb-means-legacy-built-with-mudra-10874481"/>
    <hyperlink ref="S279" r:id="rId323" display="https://www.medianews4u.com/fcb-interface-secures-philips-home-appliances-creative-mandate/"/>
    <hyperlink ref="T279" r:id="rId324" display="https://www.storyboard18.com/agency-news/philips-home-appliances-invites-creative-agencies-for-new-brand-mandates-107318.htm"/>
    <hyperlink ref="S280" r:id="rId325" display="https://campaignbriefasia.com/2026/05/29/vml-india-and-saint-gobain-india-challenge-perceptions-of-fragile-glass-in-new-film/"/>
    <hyperlink ref="S281" r:id="rId326" display="https://www.storyboard18.com/agency-news/exclusive-shaadi-coms-media-planning-mandate-up-for-review-96177.htm"/>
    <hyperlink ref="T281" r:id="rId327" display="https://www.afaqs.com/tags/moonshot"/>
    <hyperlink ref="S282" r:id="rId328" display="https://campaignbriefasia.com/2025/09/05/the-work-2025-hot-list-2-ddb-mudra-group-india/"/>
    <hyperlink ref="T282" r:id="rId329" display="https://www.manifest-media.in/advertising/140226/effie-awards-2025-leo-wins-agency-of-the-year-nestle-is-client-of.html"/>
    <hyperlink ref="S283" r:id="rId330" display="https://www.medianews4u.com/vivo-launches-dreamchasers-campaign-with-suhana-khan-to-empower-indias-gen-z/"/>
    <hyperlink ref="T283" r:id="rId331" display="https://www.manifest-media.in/marketing/280926/karun-arora-ends-five-year-stint-at-vivo.html"/>
    <hyperlink ref="S284" r:id="rId332" display="https://campaignbriefasia.com/2025/06/09/cannes-lions-2025-contenders-bbdo-india/"/>
    <hyperlink ref="S285" r:id="rId333" display="https://www.afaqs.com/news/newbizwins/techmagnate-bags-seo-mandate-for-axis-max-life-insurance-8706353"/>
    <hyperlink ref="T285" r:id="rId334" display="https://www.campaignindia.in/article/axis-max-life-launches-retirement-campaign-with-rohit-sharma/4j3ybrfqnf3vzy15bx4mj0t55d"/>
    <hyperlink ref="S287" r:id="rId335" display="https://www.goodadsmatter.com/post/moonshot"/>
    <hyperlink ref="T287" r:id="rId336" display="https://www.socialsamosa.com/campaign-spot/cred-biometric-upi-payments-absurd-ad-campaign-12146112"/>
    <hyperlink ref="S288" r:id="rId337" display="https://www.tbwaindia.com/"/>
    <hyperlink ref="S289" r:id="rId338" display="https://www.afaqs.com/news/advertising/publicis-groupes-digitas-india-wins-digital-creative-mandate-for-deoleo-india"/>
    <hyperlink ref="S290" r:id="rId339" display="https://www.afaqs.com/news/advertising/idfc-first-banks-campaign-with-sumeet-vyas-questions-banking-norms-12041058"/>
    <hyperlink ref="S291" r:id="rId340" display="https://www.afaqs.com/people-spotting/deepesh-chhabra-joins-indusind-bank-as-head-of-marketing-and-partnerships-11786241"/>
    <hyperlink ref="T291" r:id="rId341" display="https://www.afaqs.com/tags/leo-burnett-india"/>
    <hyperlink ref="S292" r:id="rId342" display="https://www.tbwaindia.com/"/>
    <hyperlink ref="S293" r:id="rId343" display="https://www.medianews4u.com/magnum-pistachio-launches-with-kareena-kapoor-khan-in-a-decadent-new-campaign/"/>
    <hyperlink ref="S294" r:id="rId344" display="https://www.tbwaindia.com/"/>
    <hyperlink ref="S295" r:id="rId345" display="https://www.medianews4u.com/mirae-asset-sharekhan-names-burson-as-communications-partner/"/>
    <hyperlink ref="S296" r:id="rId346" display="https://www.storyboard18.com/agency-news/pnb-metlife-consolidates-creative-mandate-with-cheil-x-india-81433.htm"/>
    <hyperlink ref="S297" r:id="rId347" display="https://www.medianews4u.com/lintas-live-bags-pr-partner-for-impresarios-social/"/>
    <hyperlink ref="S298" r:id="rId348" display="https://www.afaqs.com/news/advertising/fcb-group-india-onboards-14-new-clients-across-agencies-8649932"/>
    <hyperlink ref="S299" r:id="rId349" display="https://www.afaqs.com/news/advertising/interactive-avenues-awarded-e-commerce-mandate-for-twinings"/>
    <hyperlink ref="S300" r:id="rId350" display="https://campaignbriefasia.com/2026/06/04/visa-partners-with-shah-rukh-khan-for-infinitely-more-campaign-via-leo-india/"/>
    <hyperlink ref="S301" r:id="rId351" display="https://www.medianews4u.com/yes-banks-milkar-jitayenge-campaign-looks-to-support-olympic-athletes-through-a-film-interactive-microsite/"/>
    <hyperlink ref="T301" r:id="rId352" display="https://www.afaqs.com/news/advertising/yes-bank-rolls-out-score-kya-hua-campaign-to-drive-credit-score-awareness-10813534"/>
    <hyperlink ref="S303" r:id="rId353" display="https://crosshairscommunication.com/case-studies/"/>
    <hyperlink ref="S304" r:id="rId354" display="https://www.storyboard18.com/agency-news/ather-energy-onboards-tilt-brand-solutions-as-their-brand-and-communications-agency-33891.htm"/>
    <hyperlink ref="T304" r:id="rId355" display="https://www.storyboard18.com/advertising/biz-breaks-major-account-moves-and-pitches-of-2024-51970.htm"/>
    <hyperlink ref="S306" r:id="rId356" display="https://www.medianews4u.com/cult-fit-ropes-in-ranveer-singh-reimagines-fitness-advertising/"/>
    <hyperlink ref="S308" r:id="rId357" display="https://www.afaqs.com/news/newbizwins/ardent-alcobev-partners-with-roll-dot-agency-for-dram-bell-whiskys-india-debut-8729582"/>
    <hyperlink ref="S309" r:id="rId358" display="https://www.medianews4u.com/diageo-india-usl-to-acquire-nao-spirits-maker-of-greater-than-and-hapusa-craft-gins/"/>
    <hyperlink ref="S311" r:id="rId359" display="https://www.afaqs.com/people-spotting/hero-motocorp-appoints-anuj-dua-as-chief-business-officer-premium-segment-12227118"/>
    <hyperlink ref="S314" r:id="rId360" display="https://www.medianews4u.com/82-5-communications-bags-the-launch-campaign-mandate-for-indian-craft-brewery/"/>
    <hyperlink ref="S315" r:id="rId361" display="https://www.medianews4u.com/nykaa-names-sukhleen-aneja-as-svp-and-business-head-for-kay-beauty/"/>
    <hyperlink ref="S316" r:id="rId362" display="https://www.afaqs.com/news/advertising/ceo-dheeraj-sinha-on-leading-mccann-in-the-post-merger-era-12015227"/>
    <hyperlink ref="S317" r:id="rId363" display="https://www.afaqs.com/news/advertising/hakuhodo-india-named-strategic-creative-partner-of-radico-khaitan-for-a-host-of-premium-products"/>
    <hyperlink ref="S318" r:id="rId364" display="https://www.medianews4u.com/experience-commerce-renews-digital-mandate-with-mrf-tyres-for-12th-consecutive-year/"/>
    <hyperlink ref="S320" r:id="rId365" display="https://www.medianews4u.com/nike-takes-to-mumbai-streets-with-born-to-beat-the-odds-campaign-celebrating-self-belief-among-indian-athletes/"/>
    <hyperlink ref="S321" r:id="rId366" display="https://www.medianews4u.com/the-minimalist-bags-creative-and-social-media-mandate-for-schwarzkopf-india/"/>
    <hyperlink ref="S322" r:id="rId367" display="https://www.indianweb2.com/2026/07/accenture-in-advanced-talks-to-acquire.html"/>
    <hyperlink ref="T322" r:id="rId368" display="https://www.afaqs.com/news/advertising/sebamed-draws-a-line-between-hair-fall-and-hair-loss-in-new-campaign-12162719"/>
    <hyperlink ref="S324" r:id="rId369" display="https://www.medianews4u.com/sula-vineyards-appoints-chaitanya-rathi-as-non-executive-director/"/>
    <hyperlink ref="S325" r:id="rId370" display="https://www.socialsamosa.com/industry-updates/harmeet-singh-the-body-shop-milestone-celebration-11879802"/>
    <hyperlink ref="S326" r:id="rId371" display="https://www.medianews4u.com/toaster-insea-launches-full-funnel-digital-campaign-for-tira-beauty-to-engage-multi-generational-audiences/"/>
    <hyperlink ref="T326" r:id="rId372" display="https://www.bcwebwise.com/"/>
    <hyperlink ref="S327" r:id="rId373" display="https://campaignbriefasia.com/2026/09/16/the-work-2026-asia-hot-list-7-tbwalintas-india/"/>
    <hyperlink ref="S329" r:id="rId374" display="https://www.afaqs.com/news/advertising/tgthr-launches-an-integrated-campaign-for-ultraviolettes-f77-mach-2-7235171"/>
    <hyperlink ref="S330" r:id="rId375" display="https://www.afaqs.com/news/newbizwins/dentsu-to-handle-air-indias-media-mandate-12068834"/>
    <hyperlink ref="T330" r:id="rId376" display="https://www.storyboard18.com/brand-marketing/exclusive-dentsu-poised-to-secure-air-indias-media-business-102161.htm"/>
    <hyperlink ref="S331" r:id="rId377" display="https://www.socialsamosa.com/industry-updates/22feet-digital-aor-ajio-11834732"/>
    <hyperlink ref="T331" r:id="rId378" display="https://www.storyboard18.com/brand-marketing/exclusive-ajio-appoints-22feet-as-its-digital-agency-of-record-98103.htm"/>
    <hyperlink ref="S332" r:id="rId379" display="https://www.medianews4u.com/allen-solly-elevates-mens-fashion-with-bottomwear-focused-legs-now-turn-heads-campaign/"/>
    <hyperlink ref="S333" r:id="rId380" display="https://www.afaqs.com/news/newbizwins/hashtag-orange-wins-digital-mandate-for-aparna-venster-and-okotech-9632214"/>
    <hyperlink ref="S334" r:id="rId381" display="https://www.medianews4u.com/arvind-limited-appoints-lk-saatchi-saatchi-as-marketing-strategic-partner/"/>
    <hyperlink ref="T334" r:id="rId382" display="https://www.afaqs.com/corporate-communications-and-pr/arvind-appoints-swagat-lakku-as-head-of-corporate-communications-12588593"/>
    <hyperlink ref="S335" r:id="rId383" display="https://www.afaqs.com/news/newbizwins/arena-media-india-wins-integrated-media-mandate-for-ashiana-housing-12533294"/>
    <hyperlink ref="S336" r:id="rId384" display="https://www.medianews4u.com/bhima-jewels-diamond-range-encourages-women-to-indulge-in-self-love-with-sobhita-dhulipala-as-its-face/"/>
    <hyperlink ref="T336" r:id="rId385" display="https://www.medianews4u.com/dentsu-creative-webchutney-crafts-a-surreal-vrindavan-for-bhimas-raasleela-jewellery-film/"/>
    <hyperlink ref="S337" r:id="rId386" display="https://www.afaqs.com/news/newbizwins/dentsu-creative-isobar-bags-integrated-creative-mandate-for-blackberrys-12249821"/>
    <hyperlink ref="T337" r:id="rId387" display="https://www.afaqs.com/news/newbizwins/greenhonchos-wins-digital-mandate-for-blackberrys-9476792"/>
    <hyperlink ref="S338" r:id="rId388" display="https://www.afaqs.com/news/mktg/broadway-launches-pune-store-with-culture-led-campaign-by-socheers-11775191"/>
    <hyperlink ref="S339" r:id="rId389" display="https://www.storyboard18.com/agency-news/mccann-worldgroup-leads-indian-wins-at-dad-awards-2025-67113.htm"/>
    <hyperlink ref="S340" r:id="rId390" display="https://www.passionateinmarketing.com/caratlane-launches-the-nudge-chapter-2-of-its-engagement-campaign/"/>
    <hyperlink ref="T340" r:id="rId391" display="https://www.afaqs.com/news/advertising/bbh-india-crafts-caratlanes-pujo-film-maayer-aashirbaad-a-romantic-ode-to-bengal-10059286"/>
    <hyperlink ref="S341" r:id="rId392" display="https://socheers.in/work"/>
    <hyperlink ref="S342" r:id="rId393" display="https://www.afaqs.com/news/newbizwins/adlift-wins-ai-search-visibility-mandate-from-casagrand-for-tesseract-12255953"/>
    <hyperlink ref="S343" r:id="rId394" display="https://www.medianews4u.com/wieden-kennedy-india-wins-casio-g-shocks-creative-mandate/"/>
    <hyperlink ref="S344" r:id="rId395" display="https://www.afaqs.com/news/newbizwins/three-fourth-solutions-wins-marketing-mandate-for-chandrani-pearls-12204750"/>
    <hyperlink ref="S345" r:id="rId396" display="https://lyxelandflamingo.com/case-studies/seo/converse-india-seo-organic-growth-case-study/"/>
    <hyperlink ref="S346" r:id="rId397" display="https://www.afaqs.com/news/advertising/courtyard-by-marriott-gurugram-downtown-awards-its-creative-socialmedia-marketing-mandate-to-brand-catapult"/>
    <hyperlink ref="S347" r:id="rId398" display="https://www.medianews4u.com/dosti-1-mumbai-rides-anil-kapoors-charisma-and-comedy-chops/"/>
    <hyperlink ref="S348" r:id="rId399" display="https://www.afaqs.com/news/advertising/makani-creatives-wins-integrated-creative-mandate-for-florsheim-shoes-7451769"/>
    <hyperlink ref="S349" r:id="rId400" display="https://www.afaqs.com/news/newbizwins/sw-network-bags-garden-varelis-performance-marketing-mandate-12425632"/>
    <hyperlink ref="S350" r:id="rId401" display="https://www.afaqs.com/news/newbizwins/experience-commerce-wins-social-media-mandate-for-iconiqa-hotels-resorts-11438545"/>
    <hyperlink ref="T350" r:id="rId402" display="https://www.medianews4u.com/experience-commerce-bags-social-media-mandate-for-iconiqa-hotels-resorts/"/>
    <hyperlink ref="S351" r:id="rId403" display="https://www.afaqs.com/news/advertising/irus-eyewear-and-kartik-aaryan-urge-viewers-to-look-again-to-challenge-misconceptions-about-gen-z"/>
    <hyperlink ref="S352" r:id="rId404" display="https://www.socialsamosa.com/marketing-shorts/joyalukkas-marketing-strategy-for-indias-costliest-wedding-season-yet-10901443"/>
    <hyperlink ref="S353" r:id="rId405" display="https://www.medianews4u.com/india-at-cannes-lions-2026-17-shortlists-and-counting-as-ogilvy-vml-lead-the-charge/"/>
    <hyperlink ref="S354" r:id="rId406" display="https://www.afaqs.com/news/advertising/the-think-tank-secures-creative-mandate-for-kanakia-group"/>
    <hyperlink ref="S355" r:id="rId407" display="https://www.medianews4u.com/contract-advertisings-new-film-for-lt-realty-puts-the-spotlight-on-trust-and-relationships/"/>
    <hyperlink ref="S356" r:id="rId408" display="https://www.medianews4u.com/ace-turtle-appoints-leo-burnett-orchard-as-creative-partners-for-lee/"/>
    <hyperlink ref="S357" r:id="rId409" display="https://www.afaqs.com/news/newbizwins/louis-stitch-ropes-in-image-stereo-for-pr-communications-mandate-9602128"/>
    <hyperlink ref="S358" r:id="rId410" display="https://www.medianews4u.com/curry-nation-wins-integrated-digital-and-growth-mandates-across-jewellery-technology-and-kitchenware/"/>
    <hyperlink ref="S359" r:id="rId411" display="https://www.medianews4u.com/manyavar-mohey-onboards-rashmika-mandanna-vijay-deverakonda-as-its-brand-ambassadors-for-its-new-campaign-made-for-each-other/"/>
    <hyperlink ref="S360" r:id="rId412" display="https://www.afaqs.com/tags/moonshot"/>
    <hyperlink ref="S361" r:id="rId413" display="https://www.hashtagorange.in/case-studies"/>
    <hyperlink ref="S362" r:id="rId414" display="https://www.medianews4u.com/curry-nation-wins-integrated-digital-and-growth-mandates-across-jewellery-technology-and-kitchenware/"/>
    <hyperlink ref="S363" r:id="rId415" display="https://www.hashtagorange.in/case-studies"/>
    <hyperlink ref="S364" r:id="rId416" display="https://www.medianews4u.com/glad-u-came-bagged-the-pr-mandate-of-park-avenue-for-lakme-fashion-week-x-fdci/"/>
    <hyperlink ref="S365" r:id="rId417" display="https://www.medianews4u.com/tonic-worldwide-wins-digital-mandate-for-pcpl/"/>
    <hyperlink ref="S366" r:id="rId418" display="https://www.afaqs.com/news/newbizwins/hovers-wins-performance-marketing-mandate-for-pn-gadgil-sons-8984830"/>
    <hyperlink ref="T366" r:id="rId419" display="https://www.medianews4u.com/p-n-gadgil-and-sons-welcomes-sonali-bendre-as-brand-ambassador/"/>
    <hyperlink ref="S367" r:id="rId420" display="https://www.campaignindia.in/article/rustomjee-and-ogilvy-redefine-family-through-new-campaign/421rnxh59t4z2v5yzjh762yr5a"/>
    <hyperlink ref="S368" r:id="rId421" display="https://www.grapesworldwide.com/case-study/samsonite-autonomic"/>
    <hyperlink ref="S369" r:id="rId422" display="https://www.afaqs.com/corporate-communications-and-pr/alphabet-media-wins-the-pr-mandate-for-luxury-fashion-brand-saundh"/>
    <hyperlink ref="S370" r:id="rId423" display="https://www.communicateindia.com/"/>
    <hyperlink ref="S371" r:id="rId424" display="https://www.schbang.com/work"/>
    <hyperlink ref="S372" r:id="rId425" display="https://www.webenza.com/"/>
    <hyperlink ref="S373" r:id="rId426" display="https://socheers.in/work"/>
    <hyperlink ref="S374" r:id="rId427" display="https://www.afaqs.com/news/newbizwins/swiss-military-appoints-compass-communications-as-strategic-comms-partner-11224671"/>
    <hyperlink ref="S375" r:id="rId428" display="https://www.medianews4u.com/taproot-dentsu-and-aditya-birla-group-unshackle-mens-ethnic-wear-from-codes-of-conduct-in-their-latest-campaign/"/>
    <hyperlink ref="S376" r:id="rId429" display="https://www.storyboard18.com/agency-news/dentsu-india-wins-tata-groups-integrated-ipl-media-mandate-across-key-brands-99912.htm"/>
    <hyperlink ref="S377" r:id="rId430" display="https://www.tonicworldwide.com/"/>
    <hyperlink ref="S378" r:id="rId431" display="https://www.afaqs.com/news/newbizwins/the-pant-project-names-confiance-communications-as-pr-partner-12186958"/>
    <hyperlink ref="S379" r:id="rId432" display="https://www.brandcatapult.in/"/>
    <hyperlink ref="S380" r:id="rId433" display="https://www.socialsamosa.com/industry-updates/titan-partners-qoruz-data-driven-influencer-marketing-8758644"/>
    <hyperlink ref="S381" r:id="rId434" display="https://www.tonicworldwide.com/"/>
    <hyperlink ref="S382" r:id="rId435" display="https://www.afaqs.com/news/advertising/underneat-turns-wardrobe-drama-into-a-superhero-story-with-underwoman-11082470"/>
    <hyperlink ref="S383" r:id="rId436" display="https://www.medianews4u.com/entourage-films-brings-jasprit-bumrahs-off-field-ease-to-life-in-uniqlos-newest-campaign-ad-film/"/>
    <hyperlink ref="S384" r:id="rId437" display="https://lyxelandflamingo.com/case-studies/third-party-marketplaces/united-colors-of-benetton-diwali-ecommerce-performance-case-study/"/>
    <hyperlink ref="S385" r:id="rId438" display="https://www.medianews4u.com/van-heusens-innerwear-range-onboards-social-panga-as-its-social-media-marketing-partner/"/>
    <hyperlink ref="S386" r:id="rId439" display="https://www.afaqs.com/news/newbizwins/liqvd-asia-bags-digital-communications-mandate-for-woodland-11187958"/>
    <hyperlink ref="S387" r:id="rId440" display="https://www.afaqs.com/news/newbizwins/curativity-bags-creative-mandate-for-gulf-oil-lubricants-india-11773577"/>
    <hyperlink ref="T387" r:id="rId441" display="https://www.afaqs.com/news/advertising/gulf-pride-dhoni-12480108"/>
    <hyperlink ref="S388" r:id="rId442" display="https://campaignbriefasia.com/2024/08/05/the-work-2024-hot-list-3-ddb-mudra-group-india/"/>
    <hyperlink ref="S390" r:id="rId443" display="https://www.afaqs.com/news/advertising/nissan-turns-ladakhs-night-sky-into-stage-for-magnite-kuro-edition-9673862"/>
    <hyperlink ref="S391" r:id="rId444" display="https://www.socialsamosa.com/samosa-snippets/bbdo-tbwa-mccann-bring-omnicom-reshaped-empire-10841609"/>
    <hyperlink ref="T391" r:id="rId445" display="https://www.socialsamosa.com/industry-updates/spikes-asia-winners-leo-india-apac-agency-of-year-11208984"/>
    <hyperlink ref="S392" r:id="rId446" display="https://www.medianews4u.com/bata-launches-festive-collection-featuring-kartik-aaryan-with-celebrate-every-step-campaign/"/>
    <hyperlink ref="S393" r:id="rId447" display="https://www.medianews4u.com/saatchi-saatchi-india-elevates-flites-iconic-tagline-with-sanya-malhotra/"/>
    <hyperlink ref="S394" r:id="rId448" display="https://www.ihcltata.com/press-room/ihcl-enters-into-strategic-partnership-for-10-hotels-and-1000-plus-keys-expanding-the-ginger-brand-in-south-india"/>
    <hyperlink ref="S395" r:id="rId449" display="https://www.medianews4u.com/team-pumpkin-appointed-pr-agency-souled-store/"/>
    <hyperlink ref="S396" r:id="rId450" display="https://www.medianews4u.com/reliance-retails-fashion-brand-yousta-partners-mullen-lintas/"/>
    <hyperlink ref="S397" r:id="rId451" display="https://crosshairscommunication.com/case-studies/"/>
    <hyperlink ref="S398" r:id="rId452" display="https://www.medianews4u.com/first-sight-wings-digital-mandate-of-luxury-chocolate-brand-smoor/"/>
    <hyperlink ref="S399" r:id="rId453" display="https://www.medianews4u.com/social-beat-wins-digital-mandate-for-edtech-company-cialfo/"/>
    <hyperlink ref="S400" r:id="rId454" display="https://campaignbriefasia.com/2026/09/18/omnicom-advertising-india-dominates-the-work-2026-with-mccann-taking-out-apac-agency-of-the-year-title-and-tbwalintas-2-in-india/"/>
    <hyperlink ref="S401" r:id="rId455" display="https://campaignbriefasia.com/2026/04/17/asian-paints-and-ogilvy-india-celebrate-colour-as-identity-in-new-rangon-ki-warranty-campaign/"/>
    <hyperlink ref="T401" r:id="rId456" display="https://www.medianews4u.com/mccann-worldgroup-crafts-visual-symphony-for-asian-paints-royale-glitz-featuring-deepika-padukone/"/>
    <hyperlink ref="S402" r:id="rId457" display="https://www.medianews4u.com/berger-paints-and-kareena-kapoor-khan-turn-up-the-shine-in-new-berger-silk-glamor-campaign/"/>
    <hyperlink ref="S403" r:id="rId458" display="https://campaignbriefasia.com/2026/02/03/cadbury-dairy-milk-silk-and-ogilvy-india-bring-back-say-it-with-silk-for-valentines-day-2026/"/>
    <hyperlink ref="S404" r:id="rId459" display="https://www.medianews4u.com/centrum-onboards-kajal-aggarwal-as-brand-ambassador-for-multivitamin-protein-powders/"/>
    <hyperlink ref="S405" r:id="rId460" display="https://www.medianews4u.com/82-5-communications-secures-creative-mandate-for-tata-coffee-grand-cold-coffee-and-himalayan-natural-mineral-water/"/>
    <hyperlink ref="T405" r:id="rId461" display="https://www.medianews4u.com/82-5-communications-and-tcpl-bring-the-soul-of-the-himalayas-alive-with-himalayan-day-campaign/"/>
    <hyperlink ref="S406" r:id="rId462" display="https://www.medianews4u.com/hindware-italian-collection-launches-5-star-bathrooms-ad-campaign-featuring-rcb-icons/"/>
    <hyperlink ref="S407" r:id="rId463" display="https://www.medianews4u.com/ikea-india-unveils-new-brand-position-it-all-starts-at-home-deepens-emotional-connect/"/>
    <hyperlink ref="S408" r:id="rId464" display="https://www.medianews4u.com/82-5-communications-announces-kajaria-win/"/>
    <hyperlink ref="S409" r:id="rId465" display="https://www.medianews4u.com/manipal-hospitals-urges-people-to-take-care-of-themselves-to-be-there-for-their-loved-ones/"/>
    <hyperlink ref="S410" r:id="rId466" display="https://www.medianews4u.com/gaurang-menon-steps-down-from-hashtag-orange-after-building-mumbai-business/"/>
    <hyperlink ref="S411" r:id="rId467" display="https://www.afaqs.com/news/newbizwins/hashtag-orange-wins-digital-mandate-for-roca-8988699"/>
    <hyperlink ref="S412" r:id="rId468" display="https://www.medianews4u.com/82-5-communications-secures-creative-mandate-for-tata-coffee-grand-cold-coffee-and-himalayan-natural-mineral-water/"/>
    <hyperlink ref="S413" r:id="rId469" display="https://www.socialsamosa.com/industry-updates/akshay-gurnani-exits-schbang-harshil-sohil-karia-full-control-8772881"/>
    <hyperlink ref="S414" r:id="rId470" display="https://www.medianews4u.com/gozoop-creative-launches-msme-day-campaign-for-tata-tele-business-services/"/>
    <hyperlink ref="S415" r:id="rId471" display="https://www.dentsu.com/in/en/our-news/-aditya-birla-capital-appoints-dentsu-creative-india-as-its-lead-brand-communications-agency"/>
    <hyperlink ref="S416" r:id="rId472" display="https://www.storyboard18.com/brand-marketing/ipo-bound-groww-allocates-rs-225-crore-for-brand-building-rs-205-crore-on-subsidiaries-81220.htm"/>
    <hyperlink ref="S418" r:id="rId473" display="https://www.afaqs.com/news/advertising/icici-prudentials-mothers-day-campaign-urges-smart-investing-9052419"/>
    <hyperlink ref="S419" r:id="rId474" display="https://www.afaqs.com/news/newbizwins/keenai-wealth-appoints-22feet-tribal-worldwide-as-creative-partner-9059980"/>
    <hyperlink ref="S420" r:id="rId475" display="https://www.socialsamosa.com/industry-updates/team-pumpkin-social-media-mandate-kotak-securities-6950753"/>
    <hyperlink ref="T420" r:id="rId476" display="https://www.afaqs.com/news/newbizwins/np-digital-india-wins-content-marketing-mandate-for-kotak-securities-8751172"/>
    <hyperlink ref="S423" r:id="rId477" display="https://www.schbang.com/news-centre"/>
    <hyperlink ref="S424" r:id="rId478" display="https://www.medianews4u.com/third-wave-coffee-names-akshat-arora-as-marketing-director/"/>
    <hyperlink ref="S425" r:id="rId479" display="https://www.storyboard18.com/brand-marketing/zerodha-kills-its-new-age-media-network-zero1-exposing-the-limits-of-the-finfluencer-boom-95898.htm"/>
    <hyperlink ref="S426" r:id="rId480" display="https://www.afaqs.com/news/newbizwins/sw-network-bags-creative-mandate-for-anytime-fitness-india-9530353"/>
    <hyperlink ref="T426" r:id="rId481" display="https://www.medianews4u.com/sw-network-bags-creative-mandate-for-anytime-fitness-india/"/>
    <hyperlink ref="S427" r:id="rId482" display="https://www.afaqs.com/news/advertising/one-hand-clap-the-agency-that-got-ms-dhoni-to-re-enact-ranbir-kapoors-animal-8970115"/>
    <hyperlink ref="S428" r:id="rId483" display="https://www.afaqs.com/news/newbizwins/enormous-wins-creative-mandate-for-bombay-shaving-company-11133665"/>
    <hyperlink ref="S429" r:id="rId484" display="https://www.medianews4u.com/scribbld-bags-digital-mandate-for-brushers-co/"/>
    <hyperlink ref="S430" r:id="rId485" display="https://www.grapesworldwide.com/"/>
    <hyperlink ref="S431" r:id="rId486" display="https://www.medianews4u.com/wunderman-thompson-india-wins-cult-sports-creative-biz/"/>
    <hyperlink ref="S432" r:id="rId487" display="https://www.socialsamosa.com/2020/02/the-glitch-bags-360-degree-mandate-of-diageo-india/"/>
    <hyperlink ref="S433" r:id="rId488" display="https://www.afaqs.com/corporate-communications-and-pr/glad-u-came-wins-pr-mandate-for-eze-perfumes-a-sawai-fragrance-venture"/>
    <hyperlink ref="S434" r:id="rId489" display="https://www.medianews4u.com/a-simple-agency-wins-ooh-mandate-for-foxtale-featuring-shah-rukh-khan/"/>
    <hyperlink ref="T434" r:id="rId490" display="https://www.afaqs.com/news/newbizwins/a-simple-agency-bags-foxtales-ooh-mandate-featuring-shah-rukh-khan-12394815"/>
    <hyperlink ref="S435" r:id="rId491" display="https://www.storyboard18.com/agency-news/dentsu-creative-webchutney-wins-digital-mandate-of-godrej-professional-35235.htm"/>
    <hyperlink ref="S436" r:id="rId492" display="https://www.grapesworldwide.com/"/>
    <hyperlink ref="T436" r:id="rId493" display="https://www.afaqs.com/news/mktg/harley-davidson-india-names-ahaan-panday-as-brand-ambassador-10884803"/>
    <hyperlink ref="S437" r:id="rId494" display="https://www.medianews4u.com/bc-web-wise-wins-digital-and-social-media-mandate-for-procam-internationals-hdor/"/>
    <hyperlink ref="S438" r:id="rId495" display="https://www.afaqs.com/news/advertising/creativeland-asia-rolls-out-vida-vaka-voom-anthem-for-hero-vida-11458758"/>
    <hyperlink ref="S439" r:id="rId496" display="https://www.storyboard18.com/advertising/jack-daniels-appoints-22feet-as-its-integrated-creative-agency-of-record-for-india-96423.htm"/>
    <hyperlink ref="T439" r:id="rId497" display="https://www.afaqs.com/news/newbizwins/jack-daniels-appoints-22feet-as-its-creative-agency-of-record-for-india-11771184"/>
    <hyperlink ref="S440" r:id="rId498" display="https://www.campaignindia.in/article/kia-seltos-campaign-builds-badass-identity-through-integrated-storytelling/4x2pkfh8eenqww367gj0cwagxk"/>
    <hyperlink ref="S441" r:id="rId499" display="https://lyxelandflamingo.com/case-studies/retention/kimirica-retention-marketing-lifecycle-automation-case-study/"/>
    <hyperlink ref="S442" r:id="rId500" display="https://www.medianews4u.com/lakme-launches-i-earned-it-campaign-for-9to5-hya-beach-edit-featuring-aneet-padda/"/>
    <hyperlink ref="S443" r:id="rId501" display="https://www.afaqs.com/news/newbizwins/laneige-appoints-filter-coffee-co-as-its-digital-communication-partner-in-india-8941193"/>
    <hyperlink ref="S444" r:id="rId502" display="https://www.medianews4u.com/grapes-worldwide-bags-digital-mandate-for-livwell/"/>
    <hyperlink ref="S445" r:id="rId503" display="https://whatnews.in/digitas-india-bags-digital-mandate-for-matter/"/>
    <hyperlink ref="S446" r:id="rId504" display="https://www.afaqs.com/news/newbizwins/modi-illva-appoints-the-reppro-as-strategic-communications-partner-11857700"/>
    <hyperlink ref="S447" r:id="rId505" display="https://crosshairscommunication.com/clients/"/>
    <hyperlink ref="S448" r:id="rId506" display="https://sportzpower.com/kinnect-wins-mumbai-indians-creative-mandate/"/>
    <hyperlink ref="S449" r:id="rId507" display="https://www.afaqs.com/news/advertising/nua-launches-new-campaign-on-pad-irritation-with-enormous-11822719"/>
    <hyperlink ref="S450" r:id="rId508" display="https://lyxelandflamingo.com/case-studies/retention/o3/"/>
    <hyperlink ref="S451" r:id="rId509" display="https://www.medianews4u.com/oaksmith-brand-partners-with-vijay-varma-for-oaksmith-style-studio-to-enhance-indian-mens-style/"/>
    <hyperlink ref="S452" r:id="rId510" display="https://www.socialsamosa.com/media-samosa/madison-media-alpha-pilgrim-india-media-aor-6140769"/>
    <hyperlink ref="S453" r:id="rId511" display="https://www.medianews4u.com/plum-goodness-retains-team-pumpkin-for-performance-marketing/"/>
    <hyperlink ref="S454" r:id="rId512" display="https://www.medianews4u.com/story-digital-wins-the-digital-creative-mandate-for-riya-perfumes/"/>
    <hyperlink ref="S455" r:id="rId513" display="https://www.tonicworldwide.com/work/seven-islands-whisky-bombay-brand-launch-case-study"/>
    <hyperlink ref="T455" r:id="rId514" display="https://www.tonicworldwide.com/"/>
    <hyperlink ref="S456" r:id="rId515" display="https://www.afaqs.com/news/newbizwins/maars-communicates-wins-strategic-communications-mandate-for-studio-blo-12256823"/>
    <hyperlink ref="S457" r:id="rId516" display="https://www.medianews4u.com/omd-india-bags-media-mandate-for-sugar-cosmetics/"/>
    <hyperlink ref="T457" r:id="rId517" display="https://www.medianews4u.com/sugar-cosmetics-digital-campaign-unites-celebrities-of-diverse-backgrounds/"/>
    <hyperlink ref="S458" r:id="rId518" display="https://campaignbriefasia.com/2025/06/09/cannes-lions-2025-contenders-bbdo-india/"/>
    <hyperlink ref="S459" r:id="rId519" display="https://www.medianews4u.com/scribbld-wins-playnxt-and-terrapy-mandates-expands-consumer-and-lifestyle-brand-portfolio/"/>
    <hyperlink ref="S460" r:id="rId520" display="https://www.afaqs.com/news/newbizwins/apostrophe-ventures-wins-tilaknagar-industries-pr-mandate-12228000"/>
    <hyperlink ref="T460" r:id="rId521" display="https://www.medianews4u.com/tilaknagar-industries-appoints-apostrophe-ventures-as-corporate-and-brand-pr-partner/"/>
    <hyperlink ref="S461" r:id="rId522" display="https://www.afaqs.com/news/advertising/titans-skinn-wants-you-to-smell-like-a-celebration-this-festive-season-10498061"/>
    <hyperlink ref="S462" r:id="rId523" display="https://www.hakuhodo-global.com/news/pmg-india-earns-agency-of-the-year-and-21-awards-at-wow-awards-asia-2026-marking-another-milestone-for-the-hakuhodo-international-collective.html"/>
    <hyperlink ref="S463" r:id="rId524" display="https://www.afaqs.com/news/advertising/ananya-panday-reads-the-riot-act-to-anurag-kashyap-in-a-tresemme-ad-10974026"/>
    <hyperlink ref="S464" r:id="rId525" display="https://www.campaignindia.in/article/bajaj-auto-partners-with-vdo-ai-and-dentsu-india-for-triumph-ctv-campaign/4j6jvghpybpvr2mavhy9kbs1dp"/>
    <hyperlink ref="S465" r:id="rId526" display="https://www.campaignindia.in/article/pitch-update-coca-cola-mastercard-vinfast-sleepwell-and-more/42wq85ph1ex6qsf9ngpgb9ahxk"/>
    <hyperlink ref="S466" r:id="rId527" display="https://www.dentsu.com/in/en/our-news/vlcc-and-dentsu-creative-indias-new-campaign"/>
    <hyperlink ref="T466" r:id="rId528" display="https://www.socialsamosa.com/2019/12/imarti-media-vlcc-social-media-mandate/"/>
    <hyperlink ref="S467" r:id="rId529" display="https://www.afaqs.com/news/newbizwins/famous-innovations-to-lead-communications-for-world-pickleball-league-9521850"/>
    <hyperlink ref="S468" r:id="rId530" display="https://campaignbriefasia.com/2024/06/26/ddb-mudra-south-creates-new-acko-pola-varuma-campaign-for-acko-in-chennai/"/>
    <hyperlink ref="T468" r:id="rId531" display="https://www.afaqs.com/people-spotting/ashish-mishra-parts-ways-with-acko-after-nearly-six-years-as-cmo-11745894"/>
    <hyperlink ref="S469" r:id="rId532" display="https://www.afaqs.com/people-spotting/ageas-federal-life-insurance-names-erum-kidwai-as-cmo-11876935"/>
    <hyperlink ref="S470" r:id="rId533" display="https://campaignbriefasia.com/2025/10/15/air-india-express-embarks-on-a-new-journey-with-xplore-more-xpress-more/"/>
    <hyperlink ref="T470" r:id="rId534" display="https://www.afaqs.com/news/digital/edstead-air-india-express-and-dentsu-se-unveil-voices-of-the-land-12126455"/>
    <hyperlink ref="S471" r:id="rId535" display="https://campaignbriefasia.com/2025/07/02/npci-bharat-billpays-new-campaign-by-ddb-mudra-showcases-the-quiet-reliability-of-bharat-connect/"/>
    <hyperlink ref="S472" r:id="rId536" display="https://campaignbriefasia.com/2026/09/18/omnicom-advertising-india-dominates-the-work-2026-with-mccann-taking-out-apac-agency-of-the-year-title-and-tbwalintas-2-in-india/"/>
    <hyperlink ref="S473" r:id="rId537" display="https://www.afaqs.com/news/advertising/kfc-turns-up-the-heat-with-a-saucy-new-campaign-for-its-dunked-range-10987101"/>
    <hyperlink ref="T473" r:id="rId538" display="https://www.afaqs.com/people-spotting/yum-brands-appoints-rishab-mukherjee-as-cmo-for-kfc-south-asia-12141444"/>
    <hyperlink ref="S474" r:id="rId539" display="https://campaignbriefasia.com/2025/10/17/mcdonalds-india-turns-social-media-feedback-into-a-feast-in-new-ddb-mudra-campaign/"/>
    <hyperlink ref="T474" r:id="rId540" display="https://campaignbriefasia.com/2026/06/05/mcdonalds-india-celebrates-30-years-with-lets-family-at-mcd-campaign-via-mccann-india/"/>
    <hyperlink ref="S475" r:id="rId541" display="https://www.afaqs.com/people-spotting/vishal-wadhwa-elevated-to-svp-brand-digital-marketing-at-sbi-card-12548569"/>
    <hyperlink ref="S476" r:id="rId542" display="https://www.socialsamosa.com/industry-updates/hashtag-orange-zuno-insurances-communications-mandate-9402773"/>
    <hyperlink ref="T476" r:id="rId543" display="https://www.medianews4u.com/zuno-general-insurance-renews-digital-mandate-with-bc-web-wise-for-the-second-consecutive-year/"/>
    <hyperlink ref="S477" r:id="rId544" display="https://www.medianews4u.com/fcb-ulka-bags-creative-mandate-for-bajaj-almond-drops-hair-oil-and-bajaj-no-marks/"/>
    <hyperlink ref="T477" r:id="rId545" display="https://www.medianews4u.com/bajaj-almond-launches-its-new-integrated-campaign-featuring-parineeti-chopra/"/>
    <hyperlink ref="S478" r:id="rId546" display="https://marketech-apac.com/watconsult-bags-creative-social-media-mandate-for-cardekho/"/>
    <hyperlink ref="S479" r:id="rId547" display="https://www.medianews4u.com/decathlon-launches-kiprun-in-india-with-more-runs-more-life-campaign/"/>
    <hyperlink ref="S480" r:id="rId548" display="https://www.afaqs.com/news/media/havas-creative-india-wins-creative-aor-mandate-for-eastman-auto-power-7594341"/>
    <hyperlink ref="T480" r:id="rId549" display="https://www.medianews4u.com/eastman-auto-power-partners-with-burson-to-enhance-brand-presence/"/>
    <hyperlink ref="S481" r:id="rId550" display="https://dnanetworks.com/our-work/special-events/"/>
    <hyperlink ref="T481" r:id="rId551" display="https://www.medianews4u.com/wunderman-thompson-south-asias-music-video-for-brand-kingfisher-helps-build-positive-community-spirit/"/>
    <hyperlink ref="S482" r:id="rId552" display="https://www.medianews4u.com/interactive-avenues-wins-creative-and-media-mandate-for-super-league-kerala/"/>
    <hyperlink ref="S483" r:id="rId553" display="https://afaqs.com/topic/fcb-interface"/>
    <hyperlink ref="S484" r:id="rId554" display="https://www.medianews4u.com/gaurang-menon-steps-down-from-hashtag-orange-after-building-mumbai-business/"/>
    <hyperlink ref="T484" r:id="rId555" display="https://www.socialsamosa.com/industry-updates/swiss-beauty-vidushi-goyal-cmo-6906450"/>
    <hyperlink ref="S485" r:id="rId556" display="https://www.socialsamosa.com/marketing-shorts/palmonas-star-power-influencers-awareness-win-consumers-11257986"/>
    <hyperlink ref="S486" r:id="rId557" display="https://www.medianews4u.com/aqua-plumbings-joins-hands-with-ogilvy-to-redefine-bathware-branding-in-india/"/>
    <hyperlink ref="S487" r:id="rId558" display="https://campaignbriefasia.com/2025/11/11/ogilvy-india-brings-italian-flair-to-asian-paints-emporios-latest-campaign-starring-dino-morea/"/>
    <hyperlink ref="S488" r:id="rId559" display="https://www.afaqs.com/news/newbizwins/dentsu-creative-webchutney-wins-rak-ceramics-and-kludi-india-mandate-10500325"/>
    <hyperlink ref="S489" r:id="rId560" display="https://www.socialsamosa.com/industry-updates/glad-u-came-pr-mandate-world-luxury-chamber-of-commerce-12575269"/>
    <hyperlink ref="S490" r:id="rId561" display="https://www.afaqs.com/news/advertising/duolingo-enters-punjab-with-ullu-da-pattha-campaign-for-english-course-12501089"/>
    <hyperlink ref="T490" r:id="rId562" display="https://www.medianews4u.com/duolingo-english-test-unveils-why-i-took-the-det-campaign-showcasing-study-abroad-success/"/>
    <hyperlink ref="S491" r:id="rId563" display="https://www.medianews4u.com/fcb-india-reimagines-call-me-bae-scenes-for-android-campaign-to-engage-gen-z/"/>
    <hyperlink ref="S492" r:id="rId564" display="https://www.afaqs.com/news/advertising/socheers-wins-digital-mandate-for-asus-india"/>
    <hyperlink ref="T492" r:id="rId565" display="https://www.medianews4u.com/socheers-secures-the-digital-mandate-for-asus-india/"/>
    <hyperlink ref="S493" r:id="rId566" display="https://www.campaignindia.in/article/happilo-appoints-sideways-for-its-creative-mandate/4xy5wmxrg1rzbvvd76w7t1c1nx"/>
    <hyperlink ref="S494" r:id="rId567" display="https://www.afaqs.com/news/advertising/bang-in-the-middle-hollers-at-former-client-mendanta-for-using-a-campaign-idea-it-rejected-during-their-year-long-relationship"/>
    <hyperlink ref="S495" r:id="rId568" display="https://www.afaqs.com/news/advertising/one-hand-clap-the-agency-that-got-ms-dhoni-to-re-enact-ranbir-kapoors-animal-8970115"/>
    <hyperlink ref="T495" r:id="rId569" display="https://www.afaqs.com/news/advertising/when-the-star-client-stumbles-building-resilience-in-indias-new-age-ad-agencies-10477604"/>
    <hyperlink ref="S496" r:id="rId570" display="https://www.medianews4u.com/whiskas-spotlights-texture-and-taste-with-new-pockets-campaign/"/>
    <hyperlink ref="T496" r:id="rId571" display="https://www.medianews4u.com/whiskas-introduces-a-cat-food-range-with-a-campaign-featuring-mrunal-thakur/"/>
    <hyperlink ref="S497" r:id="rId572" display="https://www.afaqs.com/news/newbizwins/pollinate-labs-wins-the-rebranding-mandate-for-4700bc-12506207"/>
    <hyperlink ref="S498" r:id="rId573" display="https://campaignbriefasia.com/2025/11/19/adani-group-highlights-human-first-service-through-airports-via-new-ogilvy-india-film/"/>
    <hyperlink ref="S499" r:id="rId574" display="https://www.afaqs.com/news/newbizwins/air-canada-appoints-actimedia-pr-as-communications-partner-for-india-8686842"/>
    <hyperlink ref="S500" r:id="rId575" display="https://www.campaignindia.in/article/au-small-finance-bank-appoints-adfactors-pr-as-its-strategic-communications-partner/47xnxqj38v1a16xfs0r0z4nc5p"/>
    <hyperlink ref="S501" r:id="rId576" display="https://www.dentsu.com/in/en/our-news/bajaj-allianz-gic-and-dentsu-creative-indias-new-campaign-"/>
    <hyperlink ref="T501" r:id="rId577" display="https://www.storyboard18.com/brand-marketing/bajaj-finserv-rebrands-insurance-arms-after-full-ownership-acquisition-82190.htm"/>
    <hyperlink ref="S502" r:id="rId578" display="https://www.socialsamosa.com/industry-updates/spek-digital-creative-marketing-mandate-birdys-9607484"/>
    <hyperlink ref="S503" r:id="rId579" display="https://www.socialsamosa.com/industry-updates/leo-india-alin-choubey-vice-president-digital-12151129"/>
    <hyperlink ref="S504" r:id="rId580" display="https://www.afaqs.com/news/newbizwins/gozoop-creative-to-handle-cookieman-indias-digital-and-creative-mandate-10940065"/>
    <hyperlink ref="S505" r:id="rId581" display="https://www.medianews4u.com/dsp-mutual-fund-dentsu-creative-webchutney-falco-robotics-launch-garuda-rakshak-to-safeguard-children-at-purna-maha-kumbh/"/>
    <hyperlink ref="S506" r:id="rId582" display="https://www.afaqs.com/news/advertising/lk-saatchi-saatchi-bags-dunkin-indias-integrated-creative-and-digital-mandate"/>
    <hyperlink ref="S507" r:id="rId583" display="https://www.afaqs.com/news/advertising/digitas-india-bags-digital-and-media-mandate-for-ai-platform-equbot"/>
    <hyperlink ref="S508" r:id="rId584" display="https://www.afaqs.com/news/advertising/hdfc-bank-kinnect-turn-laziness-saves-into-fraud-awareness-12482592"/>
    <hyperlink ref="S509" r:id="rId585" display="https://www.medianews4u.com/hersheys-turns-lifes-everyday-setbacks-into-moments-of-comfort-in-new-campaign/"/>
    <hyperlink ref="S510" r:id="rId586" display="https://campaignbriefasia.com/2023/06/06/contract-advertising-creates-my-account-starts-today-for-hsbc-india-starring-virat-kohli/"/>
    <hyperlink ref="S511" r:id="rId587" display="https://www.storyboard18.com/brand-makers/the-accidental-agency-how-wit-chai-swapped-vanity-metrics-for-business-growth-to-land-starbucks-and-icici-bank-91910.htm"/>
    <hyperlink ref="S512" r:id="rId588" display="https://socheers.in/work"/>
    <hyperlink ref="S513" r:id="rId589" display="https://www.afaqs.com/news/newbizwins/jack-in-the-box-worldwide-wins-social-media-mandate-for-kotak-mahindra-prime-9306900"/>
    <hyperlink ref="S514" r:id="rId590" display="https://www.schbang.com/news-centre"/>
    <hyperlink ref="S515" r:id="rId591" display="https://www.afaqs.com/news/newbizwins/confiance-communications-bags-communications-mandate-for-libertario-coffee-india-11777538"/>
    <hyperlink ref="S516" r:id="rId592" display="https://www.afaqs.com/tags/sideways-consulting"/>
    <hyperlink ref="S517" r:id="rId593" display="https://crosshairscommunication.com/case-studies/"/>
    <hyperlink ref="S518" r:id="rId594" display="https://www.storyboard18.com/agency-news/rediffusion-wins-creative-mandate-for-nippon-india-mutual-fund-46728.htm"/>
    <hyperlink ref="T518" r:id="rId595" display="https://www.medianews4u.com/rediffusion-bags-creative-mandate-for-nippon-india-mutual-fund/"/>
    <hyperlink ref="S519" r:id="rId596" display="https://www.medianews4u.com/punt-creative-bags-communications-mandate-for-pizzaexpress-india/"/>
    <hyperlink ref="T519" r:id="rId597" display="https://www.afaqs.com/news/newbizwins/punt-creative-wins-communication-mandate-for-pizzaexpress-india-12235291"/>
    <hyperlink ref="S520" r:id="rId598" display="https://www.medianews4u.com/hashtag-orange-secures-safetree-mandate-to-build-indias-first-fertility-insurance-brand/"/>
    <hyperlink ref="S521" r:id="rId599" display="https://www.afaqs.com/topic/fcb-ulka"/>
    <hyperlink ref="S522" r:id="rId600" display="https://www.afaqs.com/news/newbizwins/scribbld-wins-performance-marketing-mandate-for-suzette-gourmet-11871446"/>
    <hyperlink ref="S523" r:id="rId601" display="https://www.campaignindia.in/article/tata-aia-marks-25-years-with-city-led-campaign/40h4xznpb8afwsycdf1j2w5n5e"/>
    <hyperlink ref="S524" r:id="rId602" display="https://www.medianews4u.com/moms-starbucks-conduct-a-3d-anamorphic-campaign-in-bangalore-to-spotlight-the-blonde-roast/"/>
    <hyperlink ref="T524" r:id="rId603" display="https://www.medianews4u.com/tata-starbucks-introduces-a-film-spotlighting-indian-single-origin-coffee/"/>
    <hyperlink ref="S525" r:id="rId604" display="https://socheers.in/work"/>
    <hyperlink ref="S526" r:id="rId605" display="https://www.medianews4u.com/popkorn-bags-creative-mandate-for-the-coffee-bean-tea-leaf-india/"/>
    <hyperlink ref="T526" r:id="rId606" display="https://www.afaqs.com/news/newbizwins/popkorn-wins-creative-mandate-for-the-coffee-bean-tea-leaf-india-11802116"/>
    <hyperlink ref="S527" r:id="rId607" display="https://www.medianews4u.com/dvio-digital-wins-the-creative-and-digital-marketing-mandate-for-theobroma/"/>
    <hyperlink ref="S528" r:id="rId608" display="https://www.medianews4u.com/verve-media-bags-digital-mandate-for-vedas-fund/"/>
    <hyperlink ref="S529" r:id="rId609" display="https://campaignbriefasia.com/2026/09/16/the-work-2026-asia-hot-list-7-tbwalintas-india/"/>
    <hyperlink ref="S530" r:id="rId610" display="https://campaignbriefasia.com/2025/06/20/bbdo-india-takes-out-sustainable-development-goals-silver-lion-for-ariel-sharetheload-10-years/"/>
    <hyperlink ref="S531" r:id="rId611" display="https://www.adgully.com/post/2275/from-period-shame-to-in-game-weddings-ddb-mudra-groups-cannes-lions-2025-hopefuls"/>
    <hyperlink ref="T531" r:id="rId612" display="https://www.afaqs.com/news/advertising/when-the-star-client-stumbles-building-resilience-in-indias-new-age-ad-agencies-10477604"/>
    <hyperlink ref="S532" r:id="rId613" display="https://campaignbriefasia.com/2025/08/13/birlanu-reinforces-its-leakproof-commitment-in-new-campaign-film-by-ddb-mudra-group/"/>
    <hyperlink ref="S533" r:id="rId614" display="https://campaignbriefasia.com/2025/06/19/jasprit-bumrah-revives-the-swagger-associated-with-gum-via-new-ddb-mudra-and-boomers-spot/"/>
    <hyperlink ref="S534" r:id="rId615" display="https://campaignbriefasia.com/2025/06/09/cannes-lions-2025-contenders-bbdo-india/"/>
    <hyperlink ref="S535" r:id="rId616" display="https://news.google.com/rss/search?q=%22BBDO+India%22+mandate&amp;hl=en-IN&amp;gl=IN&amp;ceid=IN:en"/>
    <hyperlink ref="S536" r:id="rId617" display="https://www.socialsamosa.com/samosa-snippets/bbdo-tbwa-mccann-bring-omnicom-reshaped-empire-10841609"/>
    <hyperlink ref="S537" r:id="rId618" display="https://www.afaqs.com/tags/ddb-mudra-group"/>
    <hyperlink ref="S538" r:id="rId619" display="https://campaignbriefasia.com/2023/06/26/doublemint-encourages-real-conversations-with-startsometingfresh-via-ddb-tribal-india/"/>
    <hyperlink ref="S539" r:id="rId620" display="https://campaignbriefasia.com/2024/05/30/dream11-unveils-new-yeh-sabka-dream-hai-t20-world-cup-campaign-via-ddb-mudra/"/>
    <hyperlink ref="T539" r:id="rId621" display="https://www.afaqs.com/people-spotting/dream11-cmo-vikrant-mudaliar-steps-down-12116888"/>
    <hyperlink ref="S540" r:id="rId622" display="https://www.afaqs.com/people-spotting/excitel-broadband-appoints-aditya-jain-as-chief-marketing-officer-12186970"/>
    <hyperlink ref="S541" r:id="rId623" display="https://campaignbriefasia.com/2025/09/25/ddb-mudra-and-flipkart-bring-tradition-to-big-billion-days-with-shubh-muhurat-deals/"/>
    <hyperlink ref="T541" r:id="rId624" display="https://www.afaqs.com/news/newbizwins/publicis-starcom-wins-flipkart-groups-750-crore-media-mandate-replaces-essencemediacom-10981998"/>
    <hyperlink ref="S542" r:id="rId625" display="https://www.medianews4u.com/social-beat-captures-fortunes-25-year-legacy-with-a-digital-campaign/"/>
    <hyperlink ref="S543" r:id="rId626" display="https://www.afaqs.com/people-spotting/glenmark-pharmaceuticals-appoints-priyanka-tewari-as-head-of-marketing-12490366"/>
    <hyperlink ref="S544" r:id="rId627" display="https://www.afaqs.com/people-spotting/sudhir-sitapati-quits-gcpl-as-md-and-ceo-aasif-malbari-named-successor-12250851"/>
    <hyperlink ref="S545" r:id="rId628" display="https://www.afaqs.com/news/advertising/famous-innovations-wins-5-major-mandates-in-h2-strengthens-geographical-expansion-11727022"/>
    <hyperlink ref="T545" r:id="rId629" display="https://www.storyboard18.com/agency-news/haier-india-media-mandate-under-review-ws-l-105850.htm"/>
    <hyperlink ref="S546" r:id="rId630" display="https://campaignbriefasia.com/2025/09/05/the-work-2025-hot-list-2-ddb-mudra-group-india/"/>
    <hyperlink ref="S547" r:id="rId631" display="https://www.socialsamosa.com/samosa-snippets/bbdo-tbwa-mccann-bring-omnicom-reshaped-empire-10841609"/>
    <hyperlink ref="S548" r:id="rId632" display="https://www.storyboard18.com/brand-makers/exclusive-jsw-steels-creative-account-up-for-review-95404.htm"/>
    <hyperlink ref="S549" r:id="rId633" display="https://campaignbriefasia.com/2024/08/05/the-work-2024-hot-list-3-ddb-mudra-group-india/"/>
    <hyperlink ref="S550" r:id="rId634" display="https://www.storyboard18.com/brand-makers/orient-electric-appoints-sandhya-biswas-as-chief-marketing-and-customer-experience-officer-110669.htm"/>
    <hyperlink ref="S551" r:id="rId635" display="https://campaignbriefasia.com/2024/08/05/the-work-2024-hot-list-3-ddb-mudra-group-india/"/>
    <hyperlink ref="T551" r:id="rId636" display="https://campaignbriefasia.com/2026/06/23/wolf-bkk-tbwalintas-mumbai-kodansha-tokyo-geek-pictures-tokyo-win-film-craft-bronze-lions/"/>
    <hyperlink ref="S552" r:id="rId637" display="https://www.afaqs.com/news/advertising/when-the-star-client-stumbles-building-resilience-in-indias-new-age-ad-agencies-10477604"/>
    <hyperlink ref="T552" r:id="rId638" display="https://www.manifest-media.in/advertising/081025/indiaa-awards-2025-moonshot-and-ogilvy-dominate-with-four-wins-each.html"/>
    <hyperlink ref="S553" r:id="rId639" display="https://www.medianews4u.com/tata-tea-golds-campaign-continues-to-celebrate-the-bengali-way-of-living-and-their-no-compromise-attitude/"/>
    <hyperlink ref="S554" r:id="rId640" display="https://campaignbriefasia.com/2025/08/07/ttk-prestige-bebuts-life-size-anti-spill-lid-installation-created-via-ddb-mudra-india/"/>
    <hyperlink ref="S555" r:id="rId641" display="https://www.medianews4u.com/publicis-india-launches-heartfelt-thank-you-tv-campaign-for-zee-tv/"/>
    <hyperlink ref="S556" r:id="rId642" display="https://news.google.com/rss/search?q=%22Ketchum+Sampark%22+OR+%22FleishmanHillard+India%22+mandate&amp;hl=en-IN&amp;gl=IN&amp;ceid=IN:en"/>
    <hyperlink ref="S557" r:id="rId643" display="https://www.medianews4u.com/bandhan-mutual-fund-and-grey-82-5-india-launch-kya-azaad-ho-tum-campaign/"/>
    <hyperlink ref="S558" r:id="rId644" display="https://www.medianews4u.com/federal-bank-partners-with-hogarth-to-deliver-ai-powered-immersive-onam-campaign/"/>
    <hyperlink ref="S559" r:id="rId645" display="https://www.afaqs.com/news/advertising/fibe-awards-its-digital-mandate-to-blink-digital"/>
    <hyperlink ref="S560" r:id="rId646" display="https://www.tbwaindia.com/"/>
    <hyperlink ref="S561" r:id="rId647" display="https://www.medianews4u.com/gaurang-menon-steps-down-from-hashtag-orange-after-building-mumbai-business/"/>
    <hyperlink ref="S562" r:id="rId648" display="https://www.exchange4media.com/advertising-news/publicis-worldwide-india-bags-integrated-creative-mandate-for-pramerica-life-insurance-132070.html"/>
    <hyperlink ref="S563" r:id="rId649" display="https://www.afaqs.com/marketing/sbi-lifes-ad-trades-fear-for-fun-with-rishabh-pant-and-ravindra-jadeja-11016724"/>
    <hyperlink ref="S564" r:id="rId650" display="https://www.afaqs.com/news/advertising/bajaj-pulsar-ogilvy-12535918"/>
    <hyperlink ref="S566" r:id="rId651" display="https://www.afaqs.com/news/advertising/h-is-for-handwashing-baby-hippo-moo-deng-spreads-lifebuoys-message-7569894"/>
    <hyperlink ref="S567" r:id="rId652" display="https://www.medianews4u.com/lintas-live-named-pr-firm-for-allied-blenders-and-distillers/"/>
    <hyperlink ref="S568" r:id="rId653" display="https://www.adgully.com/post/2275/from-period-shame-to-in-game-weddings-ddb-mudra-groups-cannes-lions-2025-hopefuls"/>
    <hyperlink ref="T568" r:id="rId654" display="https://manifest-media.in/video/campaigns/280926/stayfree-puts-boys-at-the-centre-of-its-latest-push-to-normalise-perio.html"/>
    <hyperlink ref="S569" r:id="rId655" display="https://www.hakuhodo-global.com/news/hakuhodo-india-network-secures-16-prestigious-awards-at-e4m-automotive-marketing-awards-2026.html"/>
    <hyperlink ref="T569" r:id="rId656" display="https://www.afaqs.com/news/advertising/tvs-ntorq-celebrates-footballs-champions-through-the-streets-remember-12054342"/>
    <hyperlink ref="S570" r:id="rId657" display="https://www.medianews4u.com/tvs-raider-launches-bold-new-campaign-call-of-the-wicked/"/>
    <hyperlink ref="S571" r:id="rId658" display="https://www.afaqs.com/news/advertising/makani-creatives-challenges-gender-stereotypes-with-give-her-space-campaign-for-american-tourister"/>
    <hyperlink ref="S572" r:id="rId659" display="https://www.manifest-media.in/advertising/081025/indiaa-awards-2025-moonshot-and-ogilvy-dominate-with-four-wins-each.html"/>
    <hyperlink ref="S573" r:id="rId660" display="https://campaignbriefasia.com/2025/09/05/the-work-2025-hot-list-2-ddb-mudra-group-india/"/>
    <hyperlink ref="S574" r:id="rId661" display="https://www.medianews4u.com/dollar-missy-and-lowe-lintas-launch-campaign-on-fashions-perfect-pairing/"/>
    <hyperlink ref="S575" r:id="rId662" display="https://www.socialsamosa.com/industry-updates/mirum-india-digital-mandate-ibis-hotels-4419184"/>
    <hyperlink ref="S576" r:id="rId663" display="https://www.afaqs.com/news/advertising/famous-innovations-wins-5-major-mandates-in-h2-strengthens-geographical-expansion-11727022"/>
    <hyperlink ref="T576" r:id="rId664" display="https://www.medianews4u.com/kamiliant-unveils-bold-campaign-naam-hai-kamiliant-kaam-hai-toughness/"/>
    <hyperlink ref="S577" r:id="rId665" display="https://www.afaqs.com/news/newbizwins/team-pumpkin-bags-social-media-mandate-for-lavie-sport-12256990"/>
    <hyperlink ref="T577" r:id="rId666" display="https://www.medianews4u.com/team-pumpkin-wins-social-media-mandate-for-lavie/"/>
    <hyperlink ref="S578" r:id="rId667" display="https://www.goodadsmatter.com/post/moonshot"/>
    <hyperlink ref="S579" r:id="rId668" display="https://www.afaqs.com/news/advertising/lowe-lintas-bags-the-mandate-to-lead-brand-lifestyle"/>
    <hyperlink ref="S580" r:id="rId669" display="https://www.medianews4u.com/miniklub-and-social-panga-launch-the-happy-parenting-strategy-campaign-celebrating-modern-fatherhood/"/>
    <hyperlink ref="S581" r:id="rId670" display="https://www.goodadsmatter.com/post/moonshot"/>
    <hyperlink ref="S582" r:id="rId671" display="https://www.medianews4u.com/pantaloons-names-samantha-ruth-prabhu-as-its-first-ever-brand-ambassador-launches-festive-campaign-spark-your-imagination/"/>
    <hyperlink ref="S583" r:id="rId672" display="https://www.medianews4u.com/verve-media-turns-everyday-style-into-shared-moments-with-snitch-campaign-on-cinema-screens-nationwide/"/>
    <hyperlink ref="S584" r:id="rId673" display="https://www.afaqs.com/news/advertising/makani-creatives-wins-creative-mandate-for-stimulus-and-eeken"/>
    <hyperlink ref="S585" r:id="rId674" display="https://www.medianews4u.com/the-minimalist-wins-strategic-communications-mandate-from-afc-furniture-solutions/"/>
    <hyperlink ref="S586" r:id="rId675" display="https://www.medianews4u.com/sociowash-secures-d2c-media-mandate-for-ageasy/"/>
    <hyperlink ref="S587" r:id="rId676" display="https://www.afaqs.com/news/advertising/alcon-introduces-precision1-contact-lenses-in-india-with-a-new-launch-campaign-9014962"/>
    <hyperlink ref="S588" r:id="rId677" display="https://www.medianews4u.com/team-pumpkin-wins-alphathetas-digital-mandate-to-drive-online-presence/"/>
    <hyperlink ref="S589" r:id="rId678" display="https://www.afaqs.com/tags/social-panga"/>
    <hyperlink ref="S590" r:id="rId679" display="https://campaignbriefasia.com/2026/08/11/asian-paints-ogilvy-india-showcase-hassle-free-home-painting-with-beautiful-homes-campaign/"/>
    <hyperlink ref="S591" r:id="rId680" display="https://www.afaqs.com/news/advertising/bsh-home-appliances-partners-with-the-womb-to-improve-brand-equity-7347140"/>
    <hyperlink ref="S592" r:id="rId681" display="https://www.medianews4u.com/hul-ogilvy-and-mindshare-usher-in-a-new-era-of-experiential-tea-marketing-with-the-chai-bansuri-installation/"/>
    <hyperlink ref="S593" r:id="rId682" display="https://www.afaqs.com/news/advertising/one-hand-clap-the-agency-that-got-ms-dhoni-to-re-enact-ranbir-kapoors-animal-8970115"/>
    <hyperlink ref="S594" r:id="rId683" display="https://www.medianews4u.com/dentsu-creative-isobar-bags-canon-indias-digital-and-e-commerce-mandate/"/>
    <hyperlink ref="T594" r:id="rId684" display="https://www.storyboard18.com/agency-news/dentsu-creative-isobar-wins-canon-indias-digital-and-e-commerce-mandate-105666.htm"/>
    <hyperlink ref="S595" r:id="rId685" display="https://www.afaqs.com/news/advertising/centuryply-ropes-in-aamir-khan-for-total-cover-campaign-12253476"/>
    <hyperlink ref="S596" r:id="rId686" display="https://www.medianews4u.com/wunderman-thompson-india-wins-creative-mandate-for-cera-sanitaryware/"/>
    <hyperlink ref="T596" r:id="rId687" display="https://www.afaqs.com/news/mktg/cera-names-kriti-sanon-as-brand-ambassador-12167225"/>
    <hyperlink ref="S597" r:id="rId688" display="https://www.storyboard18.com/brand-marketing/bbdo-india-wins-integrated-creative-mandate-for-lt-foods-daawat-in-india-105902.htm"/>
    <hyperlink ref="T597" r:id="rId689" display="https://www.afaqs.com/news/newbizwins/bbdo-india-bags-integrated-creative-mandate-for-daawat-india-12207791"/>
    <hyperlink ref="S598" r:id="rId690" display="https://www.afaqs.com/news/newbizwins/creativeland-asia-delhi-bags-del-monte-indias-creative-mandate-12116891"/>
    <hyperlink ref="S599" r:id="rId691" display="https://campaignbriefasia.com/2026/02/10/dp-world-ogilvy-india-draw-parallels-between-cricket-and-logistics-in-latest-campaign/"/>
    <hyperlink ref="T599" r:id="rId692" display="https://www.medianews4u.com/dp-world-has-sachin-tendulkar-seeing-cricket-through-a-whole-new-lens/"/>
    <hyperlink ref="S600" r:id="rId693" display="https://www.afaqs.com/news/newbizwins/hiveminds-bags-integrated-digital-mandate-for-dr-reddys-laboratories-12040344"/>
    <hyperlink ref="T600" r:id="rId694" display="https://www.medianews4u.com/gaurang-menon-steps-down-from-hashtag-orange-after-building-mumbai-business/"/>
    <hyperlink ref="S601" r:id="rId695" display="https://www.afaqs.com/news/newbizwins/enormous-wins-the-integrated-creative-mandate-for-duroflex-and-sleepyhead-10061432"/>
    <hyperlink ref="S602" r:id="rId696" display="https://www.medianews4u.com/saatchi-saatchi-india-launches-fedex-the-move-india-needs-featuring-ms-dhoni-ruturaj-gaikwad-and-urvil-patel/"/>
    <hyperlink ref="S603" r:id="rId697" display="https://www.afaqs.com/news/newbizwins/sw-network-wins-integrated-digital-mandate-for-fujifilms-instax-in-india-9336522"/>
    <hyperlink ref="T603" r:id="rId698" display="https://www.medianews4u.com/sw-network-bags-integrated-digital-mandate-for-fujifilm-indias-instax-brand/"/>
    <hyperlink ref="S604" r:id="rId699" display="https://www.storyboard18.com/agency-news/22feet-wins-social-media-mandate-for-interio-by-godrej-100832.htm"/>
    <hyperlink ref="T604" r:id="rId700" display="https://www.afaqs.com/news/newbizwins/22feet-wins-social-media-mandate-for-interio-by-godrej-12027281"/>
    <hyperlink ref="S605" r:id="rId701" display="https://www.medianews4u.com/google-gemini-and-lowe-lintas-bring-ai-into-everyday-moments/"/>
    <hyperlink ref="S606" r:id="rId702" display="https://www.afaqs.com/news/advertising/greenlam-turns-a-bollywood-classic-into-a-story-of-silent-admiration-12179969"/>
    <hyperlink ref="S607" r:id="rId703" display="https://www.afaqs.com/news/advertising/groupe-seb-india-appoints-bang-in-the-middle-as-its-creative-agency"/>
    <hyperlink ref="S608" r:id="rId704" display="https://www.afaqs.com/news/newbizwins/healthcare-global-enterprises-appoints-4am-worldwide-as-creative-brand-partner-12030869"/>
    <hyperlink ref="S609" r:id="rId705" display="https://www.socialsamosa.com/industry-updates/leo-india-alin-choubey-vice-president-digital-12151129"/>
    <hyperlink ref="S610" r:id="rId706" display="https://www.communicateindia.com/"/>
    <hyperlink ref="S611" r:id="rId707" display="https://www.afaqs.com/news/advertising/hettich-finds-possibilities-beyond-storage-in-new-campaign-with-wondrlab-12430362"/>
    <hyperlink ref="S612" r:id="rId708" display="https://news.google.com/rss/search?q=%2222feet+Tribal%22&amp;hl=en-IN&amp;gl=IN&amp;ceid=IN:en"/>
    <hyperlink ref="T612" r:id="rId709" display="https://www.goodadsmatter.com/post/talented"/>
    <hyperlink ref="S613" r:id="rId710" display="https://www.medianews4u.com/intel-launches-new-campaign-urging-parents-to-rethink-the-role-of-pcs-in-modern-education/"/>
    <hyperlink ref="T613" r:id="rId711" display="https://www.afaqs.com/news/advertising/intels-latest-campaign-reboots-a-90s-tune-for-the-ai-generation-9610743"/>
    <hyperlink ref="S614" r:id="rId712" display="https://www.afaqs.com/news/advertising/how-enormous-is-winning-most-of-its-new-business-without-pitching-10996334"/>
    <hyperlink ref="S615" r:id="rId713" display="https://www.medianews4u.com/jbl-marks-independence-day-with-two-print-first-campaigns-for-personal-and-home-audio/"/>
    <hyperlink ref="S616" r:id="rId714" display="https://www.medianews4u.com/kansai-nerolac-tests-paint-at-86000-feet-in-stratospheric-campaign-with-ulka/"/>
    <hyperlink ref="S617" r:id="rId715" display="https://www.medianews4u.com/koche-awards-marketing-mandate-to-team-pumpkin/"/>
    <hyperlink ref="S618" r:id="rId716" display="https://www.medianews4u.com/rohit-hardik-sky-light-up-lauritz-knudsens-who-am-i-campaign-by-saatchi-saatchi/"/>
    <hyperlink ref="S619" r:id="rId717" display="https://www.medianews4u.com/lenovo-intel-and-fcb-kinnect-transform-storytelling-with-ai-in-brave-new-art-3/"/>
    <hyperlink ref="T619" r:id="rId718" display="https://www.medianews4u.com/lenovo-india-and-leo-launch-gamers-on-duty-campaign-to-target-campers-and-drive-laptop-upgrades/"/>
    <hyperlink ref="S620" r:id="rId719" display="https://www.medianews4u.com/rediffusion-crafts-heartwarming-saas-bahu-campaign-for-liebherr-with-neena-gupta/"/>
    <hyperlink ref="S621" r:id="rId720" display="https://www.afaqs.com/tags/leo-burnett-india"/>
    <hyperlink ref="S622" r:id="rId721" display="https://www.afaqs.com/news/advertising/22feet-tribal-worldwide-bags-the-digital-mandate-for-lumina-cloudinfra"/>
    <hyperlink ref="S623" r:id="rId722" display="https://www.medianews4u.com/verve-media-bags-digital-and-creative-mandate-for-maple-india/"/>
    <hyperlink ref="S624" r:id="rId723" display="https://www.pulpstrategy.com/"/>
    <hyperlink ref="S625" r:id="rId724" display="https://www.medianews4u.com/sw-network-flipkart-and-motorola-reimagine-tech-launches-with-swarovski-studded-360-campaign-for-razr-60/"/>
    <hyperlink ref="S626" r:id="rId725" display="https://campaignbriefasia.com/2025/02/21/go-from-ayyo-to-oh-says-new-narayana-health-spot-via-ddb-mudra-ending-healthcare-worries/"/>
    <hyperlink ref="T626" r:id="rId726" display="https://www.afaqs.com/news/newbizwins/liqvd-asia-bags-social-media-and-orm-mandate-for-narayana-health-12226137"/>
    <hyperlink ref="S627" r:id="rId727" display="https://www.afaqs.com/news/newbizwins/ruder-finn-india-wins-communications-mandate-for-oneplus-india-11111756"/>
    <hyperlink ref="S628" r:id="rId728" display="https://www.dentsu.com/in/en/our-news/dentsu-creative-webchutney-wins-strategy-and-creative-mandate-for-rak-ceramics-india-and-kludi-india"/>
    <hyperlink ref="S629" r:id="rId729" display="https://www.afaqs.com/news/newbizwins/red-bull-india-renews-media-mandate-with-wavemaker-11756549"/>
    <hyperlink ref="S630" r:id="rId730" display="https://www.afaqs.com/news/newbizwins/22feet-bags-digital-mandate-for-royal-canin-india-11874973"/>
    <hyperlink ref="T630" r:id="rId731" display="https://campaignbriefasia.com/2026/08/05/royal-canins-new-film-by-22feet-india-encourages-a-healthier-start-for-puppies-and-kittens/"/>
    <hyperlink ref="S631" r:id="rId732" display="https://www.afaqs.com/news/newbizwins/royaloak-appoints-team-pumpkin-as-digital-marketing-partner-12065166"/>
    <hyperlink ref="S632" r:id="rId733" display="https://www.afaqs.com/news/advertising/salesforces-first-campaign-in-india-stars-rahul-dravid-7235070"/>
    <hyperlink ref="S633" r:id="rId734" display="https://www.storyboard18.com/agency-news/exclusive-cheil-india-secures-samsungs-consolidated-above-the-line-media-account-following-high-stakes-pitch-99615.htm"/>
    <hyperlink ref="T633" r:id="rId735" display="https://www.afaqs.com/people-spotting/samsung-india-promotes-shirish-agarwal-as-head-of-marketing-for-mx-business-11846627"/>
    <hyperlink ref="S634" r:id="rId736" display="https://www.socialsamosa.com/industry-updates/leo-india-creative-mandate-schneider-electric-9653024"/>
    <hyperlink ref="S635" r:id="rId737" display="https://www.afaqs.com/news/newbizwins/80-db-communications-wins-the-pr-mandate-for-smytten-11720853"/>
    <hyperlink ref="S636" r:id="rId738" display="https://www.medianews4u.com/specta-quartz-surfaces-partners-with-jim-sarbh-to-spotlight-quartz-through-new-campaign/"/>
    <hyperlink ref="S637" r:id="rId739" display="https://www.medianews4u.com/tata-consumer-products-renews-wavemaker-as-media-agency-partner/"/>
    <hyperlink ref="S638" r:id="rId740" display="https://www.afaqs.com/news/advertising/the-hindu-turns-the-star-rating-on-its-readers-this-labour-day-11785404"/>
    <hyperlink ref="S639" r:id="rId741" display="https://www.afaqs.com/news/advertising/britannia-the-laughing-cow-launches-snacking-ka-new-angle-campaign-10981152"/>
    <hyperlink ref="S640" r:id="rId742" display="https://www.afaqs.com/news/newbizwins/white-rivers-media-to-lead-digital-creative-mandate-for-toi-metro-editions-9316924"/>
    <hyperlink ref="T640" r:id="rId743" display="https://www.medianews4u.com/white-rivers-media-wins-digital-creative-mandate-for-times-of-indias-metro-supplements/"/>
    <hyperlink ref="S641" r:id="rId744" display="https://www.afaqs.com/news/advertising/when-the-star-client-stumbles-building-resilience-in-indias-new-age-ad-agencies-10477604"/>
    <hyperlink ref="S642" r:id="rId745" display="https://www.afaqs.com/news/advertising/true-elements-onboards-tbwa-as-their-creative-agency"/>
    <hyperlink ref="S643" r:id="rId746" display="https://www.goodadsmatter.com/post/talented"/>
    <hyperlink ref="S644" r:id="rId747" display="https://www.afaqs.com/news/advertising/urban-ladders-new-campaign-spotlights-city-specific-aspirations-11188874"/>
    <hyperlink ref="S645" r:id="rId748" display="https://www.afaqs.com/news/newbizwins/wozoyo-appoints-liqvd-asia-as-digital-marketing-partner-12183708"/>
    <hyperlink ref="T645" r:id="rId749" display="https://www.medianews4u.com/icubeswire-bags-global-media-mandate-for-wozoyo/"/>
    <hyperlink ref="S646" r:id="rId750" display="https://www.socialsamosa.com/industry-updates/social-panga-digital-creative-communication-mandates-balaji-wafers-6695929"/>
    <hyperlink ref="T646" r:id="rId751" display="https://www.medianews4u.com/balaji-wafers-appoints-creativefuel-as-social-and-digital-partner/"/>
    <hyperlink ref="S647" r:id="rId752" display="https://www.afaqs.com/people-spotting/boat-names-vedansh-kumar-as-chief-marketing-officer-12003685"/>
    <hyperlink ref="T647" r:id="rId753" display="https://www.afaqs.com/tags/digitas-india"/>
    <hyperlink ref="S648" r:id="rId754" display="https://www.afaqs.com/news/advertising/cadbury-dairy-milk-8837735"/>
    <hyperlink ref="S649" r:id="rId755" display="https://www.storyboard18.com/agency-news/lowe-lintas-bags-the-creative-mandate-of-complan-50864.htm"/>
    <hyperlink ref="T649" r:id="rId756" display="https://www.medianews4u.com/madhuri-dixit-and-sneha-emphasize-on-criticality-of-protein-for-growing-kids/"/>
    <hyperlink ref="S650" r:id="rId757" display="https://www.storyboard18.com/agency-news/exclusive-bbh-india-wins-integrated-creative-media-mandate-for-cybersecurity-app-cybx-90514.htm"/>
    <hyperlink ref="S651" r:id="rId758" display="https://www.afaqs.com/news/newbizwins/fcb-india-wins-creative-mandate-for-dulcoflex-8777232"/>
    <hyperlink ref="S652" r:id="rId759" display="https://www.storyboard18.com/brand-marketing/storyboard18-awards-for-creativity-2026-where-creative-bravery-met-storytelling-and-scale-94461.htm"/>
    <hyperlink ref="S653" r:id="rId760" display="https://www.medianews4u.com/interactive-avenues-secures-social-media-mandate-for-home-centre/"/>
    <hyperlink ref="S654" r:id="rId761" display="https://www.medianews4u.com/horlicks-fcb-neo-flip-the-script-on-growth-with-new-campaign-celebrating-mischief-as-a-sign-of-true-development/"/>
    <hyperlink ref="S655" r:id="rId762" display="https://www.socialsamosa.com/industry-updates/akshay-gurnani-exits-schbang-harshil-sohil-karia-full-control-8772881"/>
    <hyperlink ref="S656" r:id="rId763" display="https://www.manifest-media.in/advertising/230524/cheil-india-named-as-the-creative-agency-for-luminous-power-technologi.html"/>
    <hyperlink ref="T656" r:id="rId764" display="https://campaignbriefasia.com/2023/11/08/grey-india-and-autumngrey-india-shines-a-new-light-on-diwali-this-year-for-luminous/"/>
    <hyperlink ref="S657" r:id="rId765" display="https://www.afaqs.com/news/advertising/ceo-dheeraj-sinha-on-leading-mccann-in-the-post-merger-era-12015227"/>
    <hyperlink ref="T657" r:id="rId766" display="https://www.afaqs.com/people-spotting/maggis-category-marketing-head-kanika-juneja-steps-down-12551813"/>
    <hyperlink ref="S658" r:id="rId767" display="https://www.medianews4u.com/82-5-communications-secures-the-creative-mandate-for-mothers-recipe/"/>
    <hyperlink ref="T658" r:id="rId768" display="https://www.afaqs.com/news/advertising/mothers-recipe-picks-bang-in-the-middle-to-service-its-mainline-creative-account"/>
    <hyperlink ref="S659" r:id="rId769" display="https://www.socialsamosa.com/industry-updates/akshay-gurnani-exits-schbang-harshil-sohil-karia-full-control-8772881"/>
    <hyperlink ref="S660" r:id="rId770" display="https://www.medianews4u.com/maricos-saffola-masala-oats-hits-a-six-with-playful-cricket-campaign-featuring-sanjay-manjrekar/"/>
    <hyperlink ref="S661" r:id="rId771" display="https://campaignbriefasia.com/2024/07/17/rohit-shetty-takes-the-wheel-in-this-new-ddb-tribal-india-spot-for-snickers/"/>
    <hyperlink ref="S662" r:id="rId772" display="https://www.afaqs.com/news/advertising/tata-play-gives-life-jingalala-a-folk-music-makeover-as-it-turns-20-12239501"/>
    <hyperlink ref="T662" r:id="rId773" display="https://www.medianews4u.com/tag/chimpz-inc/"/>
    <hyperlink ref="S663" r:id="rId774" display="https://www.afaqs.com/news/advertising/fcb-group-india-onboards-14-new-clients-across-agencies-8649932"/>
    <hyperlink ref="S664" r:id="rId775" display="https://www.medianews4u.com/ubers-new-campaign-featuring-shroff-duo-aims-to-revolutionize-urban-transportation-perceptions/"/>
    <hyperlink ref="S665" r:id="rId776" display="https://news.google.com/rss/search?q=%22Ketchum+Sampark%22+OR+%22FleishmanHillard+India%22+mandate&amp;hl=en-IN&amp;gl=IN&amp;ceid=IN:en"/>
    <hyperlink ref="S666" r:id="rId777" display="https://www.medianews4u.com/vadilal-unveils-joyful-new-campaign-zara-muskuraiye-vadilal-khaiye-with-82-5-communications/"/>
    <hyperlink ref="S667" r:id="rId778" display="https://www.afaqs.com/news/advertising/shah-rukh-khan-gets-the-vip-treatment-in-vis-new-ad-12513906"/>
    <hyperlink ref="S668" r:id="rId779" display="https://www.afaqs.com/news/advertising/fcb-group-india-onboards-14-new-clients-across-agencies-8649932"/>
    <hyperlink ref="S669" r:id="rId780" display="https://www.storyboard18.com/brand-makers/bharatpe-names-yugal-tiwari-chief-product-and-marketing-officer-ws-l-110693.htm"/>
    <hyperlink ref="S670" r:id="rId781" display="https://www.afaqs.com/tags/schbang?page=2"/>
    <hyperlink ref="S671" r:id="rId782" display="https://www.storyboard18.com/brand-makers/jupiter-money-names-adityan-kayalakal-as-vp-head-of-marketing-66226.htm"/>
    <hyperlink ref="S672" r:id="rId783" display="https://www.medianews4u.com/lowe-lintas-bags-creative-mandate-for-amaron/"/>
    <hyperlink ref="S673" r:id="rId784" display="https://www.medianews4u.com/apollo-tyres-and-vml-india-unveil-new-apterra-suv-campaign-featuring-sachin-tendulkar/"/>
    <hyperlink ref="S674" r:id="rId785" display="https://www.afaqs.com/news/advertising/bajaj-promises-toughness-and-and-day-one-feel-in-its-summer-campaign-8892367"/>
    <hyperlink ref="S675" r:id="rId786" display="https://www.afaqs.com/news/newbizwins/infectious-advertising-to-handle-the-integrated-mandate-for-bkt-tyres-in-india-11169533"/>
    <hyperlink ref="T675" r:id="rId787" display="https://www.afaqs.com/news/advertising/bkt-tyres-launches-elevate-your-drive-campaign-with-ranveer-singh-11209237"/>
    <hyperlink ref="S676" r:id="rId788" display="https://www.goodadsmatter.com/post/moonshot"/>
    <hyperlink ref="S677" r:id="rId789" display="https://campaignbriefasia.com/2026/09/09/talented-casts-cars24s-ceo-in-a-legendary-new-role-as-king-vikram-in-latest-campaign/"/>
    <hyperlink ref="S678" r:id="rId790" display="https://www.medianews4u.com/ogilvy-india-puts-zoya-akhtars-direction-to-the-ultimate-test-in-new-ceat-tyres-campaign/"/>
    <hyperlink ref="S679" r:id="rId791" display="https://www.afaqs.com/news/advertising/one-hand-clap-the-agency-that-got-ms-dhoni-to-re-enact-ranbir-kapoors-animal-8970115"/>
    <hyperlink ref="S680" r:id="rId792" display="https://www.medianews4u.com/hashtag-orange-unveils-dum-bhi-bharosa-bhi-campaign-for-escorts-kubotas-mu-series/"/>
    <hyperlink ref="S681" r:id="rId793" display="https://www.socialsamosa.com/industry-updates/spikes-asia-winners-leo-india-apac-agency-of-year-11208984"/>
    <hyperlink ref="S682" r:id="rId794" display="https://www.medianews4u.com/bc-web-wise-relaunches-gatsby-with-gottagroove-campaign/"/>
    <hyperlink ref="S683" r:id="rId795" display="https://www.afaqs.com/news/advertising/hero-destinis-new-campaign-puts-dads-in-the-heros-seat-12152141"/>
    <hyperlink ref="S684" r:id="rId796" display="https://www.medianews4u.com/hero-motocorp-turns-tibetan-prayer-flags-into-first-aid-kits-for-himalayan-bikers/"/>
    <hyperlink ref="T684" r:id="rId797" display="https://www.exchange4media.com/companies/cheil-x.html"/>
    <hyperlink ref="S685" r:id="rId798" display="https://www.medianews4u.com/hero-motocorp-launches-high-octane-campaign-for-xtreme-power-brand-featuring-virat-kohli/"/>
    <hyperlink ref="S686" r:id="rId799" display="https://www.medianews4u.com/grey-82-5-secures-creative-mandate-for-imperial-blue/"/>
    <hyperlink ref="T686" r:id="rId800" display="https://www.afaqs.com/news/newbizwins/grey-825-bags-creative-mandate-for-imperial-blue-12026565"/>
    <hyperlink ref="S687" r:id="rId801" display="https://www.medianews4u.com/webenza-secures-digital-creative-mandate-for-joy-personal-care/"/>
    <hyperlink ref="S688" r:id="rId802" display="https://www.socialsamosa.com/2022/02/viral-pitch-influencer-marketing-mandate-lotus-herbals/"/>
    <hyperlink ref="S689" r:id="rId803" display="https://www.medianews4u.com/radico-khaitan-appoints-adglobal360-as-integrated-digital-media-partner-to-strengthen-consumer-engagement/"/>
    <hyperlink ref="S690" r:id="rId804" display="https://www.socialsamosa.com/cannes-lions/havas-cannes-lions-2024-mortein-mamaearth-campaigns-4596158"/>
    <hyperlink ref="T690" r:id="rId805" display="https://www.afaqs.com/news/advertising/mamaearths-latest-campaign-showcases-the-beauty-of-glass-like-skin-with-its-rice-facewash"/>
    <hyperlink ref="S691" r:id="rId806" display="https://www.medianews4u.com/tilaknagar-industries-appoints-apostrophe-ventures-as-corporate-and-brand-pr-partner/"/>
    <hyperlink ref="S692" r:id="rId807" display="https://www.hakuhodo-global.com/news/hakuhodo-india-network-secures-16-prestigious-awards-at-e4m-automotive-marketing-awards-2026.html"/>
    <hyperlink ref="S693" r:id="rId808" display="https://www.medianews4u.com/kartik-aaryan-leads-mcdowells-sodas-new-campaign-celebrating-friendship-and-unforgettable-firsts/"/>
    <hyperlink ref="T693" r:id="rId809" display="https://www.medianews4u.com/house-of-mcdowells-soda-takes-its-yaari-story-in-a-new-direction-with-kartik-aaryan/"/>
    <hyperlink ref="S694" r:id="rId810" display="https://www.medianews4u.com/bc-web-wise-secures-digital-mandate-for-mschief/"/>
    <hyperlink ref="S695" r:id="rId811" display="https://www.afaqs.com/tags/tonic-worldwide"/>
    <hyperlink ref="S696" r:id="rId812" display="https://www.medianews4u.com/dentsu-creative-webchutney-new-holland-unveil-asli-hero-ki-asli-taaqat-to-honour-indias-farmers/"/>
    <hyperlink ref="S697" r:id="rId813" display="https://www.exchange4media.com/pr-and-corporate-communication-news/digitas-india-wins-digital-communications-mandate-for-okaya-120939.html"/>
    <hyperlink ref="S698" r:id="rId814" display="https://www.afaqs.com/tags/tonic-worldwide"/>
    <hyperlink ref="S699" r:id="rId815" display="https://www.afaqs.com/news/advertising/why-ponds-and-ogilvy-believe-googly-woogly-wooksh-still-matters-12203275"/>
    <hyperlink ref="S700" r:id="rId816" display="https://www.afaqs.com/news/advertising/enormous-highlights-ralson-tyres-durability-in-new-campaign-11805738"/>
    <hyperlink ref="S701" r:id="rId817" display="https://www.medianews4u.com/saatchi-saatchi-reimagines-renault-kiger-launch-with-gamified-billboard/"/>
    <hyperlink ref="S702" r:id="rId818" display="https://www.medianews4u.com/sga-growth-advisors-wins-pr-and-social-media-mandate-for-renee-cosmetics/"/>
    <hyperlink ref="S703" r:id="rId819" display="https://www.storyboard18.com/agency-news/santoor-appoints-tilt-brand-solutions-as-agency-on-record-95223.htm"/>
    <hyperlink ref="T703" r:id="rId820" display="https://www.afaqs.com/news/newbizwins/santoor-appoints-tilt-brand-solutions-as-agency-on-record-11727983"/>
    <hyperlink ref="S704" r:id="rId821" display="https://www.afaqs.com/news/newbizwins/image-stereo-wins-the-strategic-pr-brand-mandate-for-som-distilleries-breweries-9360384"/>
    <hyperlink ref="S705" r:id="rId822" display="https://www.hakuhodo-global.com/news/hakuhodo-india-network-secures-16-prestigious-awards-at-e4m-automotive-marketing-awards-2026.html"/>
    <hyperlink ref="S706" r:id="rId823" display="https://www.medianews4u.com/ogilvy-india-crafts-new-brand-film-showcasing-tata-motors-cvs-better-always-vision/"/>
    <hyperlink ref="S707" r:id="rId824" display="https://www.storyboard18.com/agency-news/dentsu-wins-tvs-motor-media-mandate-ws-l-106734.htm"/>
    <hyperlink ref="T707" r:id="rId825" display="https://www.medianews4u.com/tvs-motors-campaign-protect-little-riders-looks-to-create-awareness-on-child-safety/"/>
    <hyperlink ref="S708" r:id="rId826" display="https://www.afaqs.com/news/newbizwins/the-minimalist-wins-integrated-digital-mandate-for-tyresnmore-12249540"/>
    <hyperlink ref="S709" r:id="rId827" display="https://www.afaqs.com/topic/lowe-lintas"/>
    <hyperlink ref="S710" r:id="rId828" display="https://www.medianews4u.com/the-betterwaytowax-campaign-is-veets-attempt-to-empower-women-with-confidence-and-offers-them-a-better-method-of-hair-removal/"/>
    <hyperlink ref="S711" r:id="rId829" display="https://www.indianweb2.com/2026/07/accenture-in-advanced-talks-to-acquire.html"/>
    <hyperlink ref="S712" r:id="rId830" display="https://www.afaqs.com/tags/moonshot"/>
    <hyperlink ref="S713" r:id="rId831" display="https://www.medianews4u.com/idp-education-appoints-weber-shandwick-as-its-communication-partner/"/>
    <hyperlink ref="S714" r:id="rId832" display="https://www.manifest-media.in/marketing/070825/pr-pundit-havas-red-secures-communications-mandate-of-jbcn-group-of-sc.html"/>
    <hyperlink ref="S715" r:id="rId833" display="https://www.medianews4u.com/amazon-and-ogilvy-unveil-from-everything-store-to-everyday-store-campaign-to-reflect-new-brand-direction/"/>
    <hyperlink ref="T715" r:id="rId834" display="https://www.medianews4u.com/amazon-india-relaunches-iconic-aur-dikhao-campaign-created-by-leo-burnett-india/"/>
    <hyperlink ref="S716" r:id="rId835" display="https://www.storyboard18.com/brand-makers/from-talented-to-moonshot-the-new-age-agencies-redefining-advertising-in-india-86794.htm"/>
    <hyperlink ref="T716" r:id="rId836" display="https://www.indianweb2.com/2026/07/accenture-in-advanced-talks-to-acquire.html"/>
    <hyperlink ref="S717" r:id="rId837" display="https://www.medianews4u.com/britannias-chunkies-get-a-quirky-makeover-with-the-relatable-eathappens-campaign/"/>
    <hyperlink ref="S718" r:id="rId838" display="https://www.afaqs.com/news/advertising/coca-cola-launches-the-lost-voices-campaign-for-fifa-world-cup-12148451"/>
    <hyperlink ref="T718" r:id="rId839" display="https://www.socialsamosa.com/samosa-snippets/bbdo-tbwa-mccann-bring-omnicom-reshaped-empire-10841609"/>
    <hyperlink ref="S719" r:id="rId840" display="https://www.afaqs.com/people-spotting/dabur-names-herjit-s-bhalla-india-ceo-mohit-malhotra-global-ceo-11124785"/>
    <hyperlink ref="T719" r:id="rId841" display="https://www.schbang.com/news-centre"/>
    <hyperlink ref="S720" r:id="rId842" display="https://www.afaqs.com/news/advertising/parles-new-ad-showcases-londonderry-as-a-generational-symbol-of-love-8449297"/>
    <hyperlink ref="S721" r:id="rId843" display="https://www.afaqs.com/news/newbizwins/famous-innovations-wins-the-creative-duties-of-nilkamal-sleep-9496503"/>
    <hyperlink ref="S722" r:id="rId844" display="https://www.medianews4u.com/experience-commerce-secures-social-media-mandate-for-parle-candy-culture/"/>
    <hyperlink ref="S723" r:id="rId845" display="https://www.afaqs.com/news/advertising/mars-petcare-awards-digital-mandate-to-22feet-tribal-worldwide"/>
    <hyperlink ref="S724" r:id="rId846" display="https://www.afaqs.com/news/advertising/how-enormous-is-winning-most-of-its-new-business-without-pitching-10996334"/>
    <hyperlink ref="S725" r:id="rId847" display="https://www.socialsamosa.com/samosa-snippets/as-mullen-vanishes-tbwalintas-lives-on-10867606"/>
    <hyperlink ref="S726" r:id="rId848" display="https://www.afaqs.com/news/newbizwins/tonic-worldwide-wins-airpay-moneys-digital-marketing-mandate-12029612"/>
    <hyperlink ref="S727" r:id="rId849" display="https://www.medianews4u.com/amfi-partners-mirum-india-and-webengage-to-drive-martech-strategy-for-their-mutual-fund-sahi-hai-campaign/"/>
    <hyperlink ref="T727" r:id="rId850" display="https://www.afaqs.com/news/newbizwins/concept-communications-wins-creative-mandate-for-amfis-mutual-funds-sahi-hai-campaign-11024109"/>
    <hyperlink ref="S728" r:id="rId851" display="https://www.storyboard18.com/agency-news/dentsu-creative-isobar-wins-bandhan-banks-creative-mandate-after-multi-agency-pitch-105098.htm"/>
    <hyperlink ref="T728" r:id="rId852" display="https://www.medianews4u.com/bandhan-bank-unveils-new-brand-campaign-jahaan-bandhan-wahaan-trust/"/>
    <hyperlink ref="S729" r:id="rId853" display="https://www.medianews4u.com/big-bowl-taps-lyxelflamingo-as-social-and-media-partner-to-drive-digital-led-growth/"/>
    <hyperlink ref="S730" r:id="rId854" display="https://www.storyboard18.com/brand-marketing/exclusive-kinnect-wins-creative-mandate-for-burger-king-india-99209.htm"/>
    <hyperlink ref="T730" r:id="rId855" display="https://www.adgully.com/post/16015/omnicoms-kinnect-bags-burger-king-indias-integrated-creative-mandate"/>
    <hyperlink ref="S731" r:id="rId856" display="https://www.medianews4u.com/chinese-wok-awards-integrated-mandate-to-havas-creative-india-and-arena-media/"/>
    <hyperlink ref="T731" r:id="rId857" display="https://www.afaqs.com/news/newbizwins/havas-creative-india-arena-media-win-chinese-wok-mandate-11168077"/>
    <hyperlink ref="S732" r:id="rId858" display="https://www.storyboard18.com/agency-news/mccann-worldgroup-leads-indian-wins-at-dad-awards-2025-67113.htm"/>
    <hyperlink ref="S733" r:id="rId859" display="https://www.medianews4u.com/google-pay-launches-pocket-money-campaign-with-tbwa-lintas-to-drive-financial-independence-among-teenagers/"/>
    <hyperlink ref="S734" r:id="rId860" display="https://www.afaqs.com/news/newbizwins/gullak-appoints-the-womb-as-its-strategic-and-creative-partner-12215182"/>
    <hyperlink ref="S735" r:id="rId861" display="https://www.medianews4u.com/contract-advertising-wins-the-mandate-for-haldirams/"/>
    <hyperlink ref="S736" r:id="rId862" display="https://www.medianews4u.com/publicis-groupe-south-asia-appoints-paritosh-srivastava-and-snehasis-bose-to-lead-bbh-india/"/>
    <hyperlink ref="S737" r:id="rId863" display="https://www.afaqs.com/news/advertising/how-enormous-is-winning-most-of-its-new-business-without-pitching-10996334"/>
    <hyperlink ref="S738" r:id="rId864" display="https://www.afaqs.com/tags/digital-refresh-networks"/>
    <hyperlink ref="S739" r:id="rId865" display="https://www.medianews4u.com/bc-web-wise-wins-digital-mandate-for-lic-housing-finance/"/>
    <hyperlink ref="S740" r:id="rId866" display="https://www.medianews4u.com/mpokket-appoints-bc-web-wise-to-strengthen-ai-led-search-and-digital-discovery-strategy/"/>
    <hyperlink ref="S741" r:id="rId867" display="https://www.exchange4media.com/advertising-news/muthoot-fincorp-launches-campaign-with-shah-rukh-khan-134851.html"/>
    <hyperlink ref="S742" r:id="rId868" display="https://www.storyboard18.com/agency-news/papa-johns-india-names-dentsu-as-integrated-agency-partner-80083.htm"/>
    <hyperlink ref="T742" r:id="rId869" display="https://www.dentsu.com/in/en/our-news/papa-johns-india-appoints-dentsu-as-integrated-agency-partner"/>
    <hyperlink ref="S743" r:id="rId870" display="https://www.socialsamosa.com/samosa-snippets/bbdo-tbwa-mccann-bring-omnicom-reshaped-empire-10841609"/>
    <hyperlink ref="S744" r:id="rId871" display="https://www.medianews4u.com/ogilvy-india-launches-humour-led-campaign-for-phonepe-mutual-funds-to-encourage-confident-investing/"/>
    <hyperlink ref="S745" r:id="rId872" display="https://www.indianweb2.com/2026/07/accenture-in-advanced-talks-to-acquire.html"/>
    <hyperlink ref="S746" r:id="rId873" display="https://www.afaqs.com/news/advertising/pizza-huts-no-interruption-only-satisfaction-campaign-unveils-melts-a-meal-for-on-the-go-consumers"/>
    <hyperlink ref="S747" r:id="rId874" display="https://www.storyboard18.com/advertising/policybazaar-awards-rs-200-250-crore-media-mandate-to-havas-108043.htm"/>
    <hyperlink ref="S748" r:id="rId875" display="https://www.dentsu.com/in/en/our-news/dentsu-creative-bags-integrated-creative-mandate-for-popeyes-india"/>
    <hyperlink ref="S749" r:id="rId876" display="https://www.medianews4u.com/madchatter-bags-pr-mandate-of-p2p-lending-platform-rang-de/"/>
    <hyperlink ref="S750" r:id="rId877" display="https://www.medianews4u.com/verve-media-bags-social-media-mandate-for-rasoi-raga/"/>
    <hyperlink ref="S751" r:id="rId878" display="https://campaignbriefasia.com/2025/09/05/the-work-2025-hot-list-2-ddb-mudra-group-india/"/>
    <hyperlink ref="S752" r:id="rId879" display="https://www.medianews4u.com/verve-media-bags-video-strategy-and-content-creation-mandate-for-shriram-general-insurance/"/>
    <hyperlink ref="S753" r:id="rId880" display="https://www.afaqs.com/news/newbizwins/white-rivers-media-wins-smfg-india-credits-digital-mandate-10917627"/>
    <hyperlink ref="S754" r:id="rId881" display="https://campaignbriefasia.com/2026/08/17/talented-turns-the-back-of-billboards-into-a-symbol-of-support-for-star-health-insurance/"/>
    <hyperlink ref="S755" r:id="rId882" display="https://www.storyboard18.com/agency-news/sbi-hands-digital-marketing-mandate-to-omnicom-media-india-100466.htm"/>
    <hyperlink ref="T755" r:id="rId883" display="https://www.medianews4u.com/sbi-launches-celebrations-unlimited-campaign-conceptualized-by-fcb-kinnect-to-promote-festive-loans/"/>
    <hyperlink ref="S756" r:id="rId884" display="https://www.goodadsmatter.com/post/moonshot"/>
    <hyperlink ref="S757" r:id="rId885" display="https://www.afaqs.com/news/advertising/when-the-star-client-stumbles-building-resilience-in-indias-new-age-ad-agencies-10477604"/>
    <hyperlink ref="S758" r:id="rId886" display="https://www.afaqs.com/news/newbizwins/hashtag-orange-bags-marketing-mandate-for-frankfinn-12505549"/>
    <hyperlink ref="S759" r:id="rId887" display="https://www.medianews4u.com/uti-mutual-funds-sip-karo-sipizen-bano-investor-education-campaign-encourages-investors-to-build-financial-discipline-through-consistent-sip-investing/"/>
    <hyperlink ref="S760" r:id="rId888" display="https://www.afaqs.com/news/newbizwins/omnicom-medias-omd-india-wins-ventura-securities-integrated-media-mandate-12457523"/>
    <hyperlink ref="S761" r:id="rId889" display="https://www.afaqs.com/news/newbizwins/mccann-india-wins-3m-consumer-business-creative-mandate-12250026"/>
    <hyperlink ref="S762" r:id="rId890" display="https://www.afaqs.com/news/advertising/famous-innovations-wins-5-major-mandates-in-h2-strengthens-geographical-expansion-11727022"/>
    <hyperlink ref="S763" r:id="rId891" display="https://www.afaqs.com/news/advertising/amazon-now-takes-a-dig-at-quick-commerce-charges-with-new-campaign-12226512"/>
    <hyperlink ref="S764" r:id="rId892" display="https://www.afaqs.com/news/advertising/apsara-zestas-new-campaign-celebrates-the-joy-of-writing-12159662"/>
    <hyperlink ref="S765" r:id="rId893" display="https://www.afaqs.com/news/advertising/famous-innovations-wins-5-major-mandates-in-h2-strengthens-geographical-expansion-11727022"/>
    <hyperlink ref="S766" r:id="rId894" display="https://www.afaqs.com/news/advertising/baidyanath-rhuma-oil-ad-is-a-new-take-on-pain-relief"/>
    <hyperlink ref="S767" r:id="rId895" display="https://www.medianews4u.com/bajaj-strengthens-connections-with-todays-youth-through-summer-campaigns-for-fans-and-air-coolers/"/>
    <hyperlink ref="S768" r:id="rId896" display="https://www.medianews4u.com/grapes-worldwide-crafts-quirky-stories-for-bikanos-dil-ki-mano-enjoy-bikano-campaign/"/>
    <hyperlink ref="S769" r:id="rId897" display="https://www.socialsamosa.com/2021/03/havas-creative-india-digital-communication-mandate-itc-bingo/"/>
    <hyperlink ref="T769" r:id="rId898" display="https://www.afaqs.com/tags/tonic-worldwide"/>
    <hyperlink ref="S770" r:id="rId899" display="https://www.afaqs.com/news/advertising/kinnect-bags-digital-mandate-for-blue-star"/>
    <hyperlink ref="S771" r:id="rId900" display="https://campaignbriefasia.com/2026/04/02/boost-milkshake-finds-the-new-secret-of-mahi-energy-in-vml-india-campaign/"/>
    <hyperlink ref="S772" r:id="rId901" display="https://campaignbriefasia.com/2026/02/09/cadbury-5-star-ends-the-war-on-valentines-day-with-twist-filled-ogilvy-india-campaign/"/>
    <hyperlink ref="S773" r:id="rId902" display="https://campaignbriefasia.com/2026/08/10/ogilvy-india-brings-sibling-banter-to-life-for-cadbury-celebrations-raksha-bandhan-campaign/"/>
    <hyperlink ref="S774" r:id="rId903" display="https://www.afaqs.com/topic/mccann-worldgroup-india"/>
    <hyperlink ref="S775" r:id="rId904" display="https://www.medianews4u.com/saatchi-saatchi-india-highlights-structural-strength-with-captain-steel-tvc-featuring-sourav-ganguly/"/>
    <hyperlink ref="S776" r:id="rId905" display="https://www.afaqs.com/news/advertising/ds-group-puts-catch-pink-rock-salt-in-the-spotlight-with-first-tvc-11745565"/>
    <hyperlink ref="S777" r:id="rId906" display="https://www.afaqs.com/news/advertising/aamir-khan-time-travels-for-charged-by-thums-upthis-time-as-a-caveman-8678455"/>
    <hyperlink ref="S778" r:id="rId907" display="https://www.medianews4u.com/cleartrip-and-leo-burnett-orchard-highlight-the-benefits-of-clear-advantage-in-a-new-campaign/"/>
    <hyperlink ref="T778" r:id="rId908" display="https://www.goodadsmatter.com/post/talented"/>
    <hyperlink ref="S779" r:id="rId909" display="https://www.medianews4u.com/lowe-lintas-wins-creative-mandate-for-cofsils/"/>
    <hyperlink ref="S780" r:id="rId910" display="https://campaignbriefasia.com/2025/04/04/ogilvy-india-takes-minimalist-approach-to-latest-ad-campaign-for-coke-zero/"/>
    <hyperlink ref="S781" r:id="rId911" display="https://www.medianews4u.com/bimbo-bakeries-indias-new-cremtreat-campaign-share-karne-ka-mann-kare-aur-nahi-bhi-aims-to-express-innocence-and-playfulness/"/>
    <hyperlink ref="S782" r:id="rId912" display="https://www.pulpstrategy.com/?portfolio=chooseblackforwhite-dabur-charcoals-bold-narrative"/>
    <hyperlink ref="S783" r:id="rId913" display="https://www.indianweb2.com/2026/07/accenture-in-advanced-talks-to-acquire.html"/>
    <hyperlink ref="S784" r:id="rId914" display="https://www.medianews4u.com/dettol-fresh-introduces-12-hour-freshness-to-keep-indians-always-ready/"/>
    <hyperlink ref="S785" r:id="rId915" display="https://www.afaqs.com/news/mktg/dinshaws-draws-on-kamblis-journey-for-dildaaribut-how-far-is-too-far-11771596"/>
    <hyperlink ref="S786" r:id="rId916" display="https://www.afaqs.com/news/advertising/dish-tv-turns-small-switches-into-always-on-viewing-11735391"/>
    <hyperlink ref="S787" r:id="rId917" display="https://www.afaqs.com/news/newbizwins/dr-willmar-schwabes-dizester-assigns-creative-mandate-to-hakuhodowyng-10733385"/>
    <hyperlink ref="S788" r:id="rId918" display="https://www.goodadsmatter.com/post/moonshot"/>
    <hyperlink ref="S789" r:id="rId919" display="https://www.medianews4u.com/vml-india-creates-rainbow-classrooms-for-durexs-campaign-helping-indian-students-express-feelings-and-tackle-gender-identity-issues/"/>
    <hyperlink ref="S790" r:id="rId920" display="https://www.afaqs.com/topic/tbwa-lintas"/>
    <hyperlink ref="S791" r:id="rId921" display="https://www.medianews4u.com/cheils-experience-commerce-wins-digital-and-media-mandate-for-eveready/"/>
    <hyperlink ref="T791" r:id="rId922" display="https://www.afaqs.com/news/newbizwins/eveready-appoints-the-minimalist-as-its-digital-agency-partner-10596647"/>
    <hyperlink ref="S792" r:id="rId923" display="https://www.medianews4u.com/ogilvy-redefines-pujo-communication-with-culture-over-clutter/"/>
    <hyperlink ref="S793" r:id="rId924" display="https://www.medianews4u.com/fiesta-india-condoms-film-conceptualised-and-executed-by-tonic-worldwide-leverages-gen-z-pop-culture-and-aims-to-redefine-category-messaging/"/>
    <hyperlink ref="S794" r:id="rId925" display="https://www.medianews4u.com/lowe-lintas-campaign-for-flipkart-health-uses-humour-to-strengthen-the-brands-presence-in-up/"/>
    <hyperlink ref="S795" r:id="rId926" display="https://www.medianews4u.com/lk-saatchi-saatchis-campaign-showcases-ac-refrigerants-role-in-staying-cool-during-summer/"/>
    <hyperlink ref="S796" r:id="rId927" display="https://www.dentsu.com/in/en/our-news/dentsu-creative-india-bags-integrated-creative-mandate-for-gemini-edibles-and-fats-india"/>
    <hyperlink ref="S797" r:id="rId928" display="https://www.manifest-media.in/advertising/081025/indiaa-awards-2025-moonshot-and-ogilvy-dominate-with-four-wins-each.html"/>
    <hyperlink ref="S798" r:id="rId929" display="https://www.medianews4u.com/rediffusion-bags-creative-mandate-for-glucon-d/"/>
    <hyperlink ref="S799" r:id="rId930" display="https://campaignbriefasia.com/2024/10/23/ogilvy-india-promotes-googles-interactive-search-experience-via-googlies-on-google/"/>
    <hyperlink ref="S800" r:id="rId931" display="https://www.medianews4u.com/lk-saatchi-saatchi-bags-grupo-bimbos-creative-and-media-mandate/"/>
    <hyperlink ref="S801" r:id="rId932" display="https://www.afaqs.com/news/advertising/sideways-bags-creative-mandate-for-pidilites-haisha-paints"/>
    <hyperlink ref="S802" r:id="rId933" display="https://www.medianews4u.com/digital-refresh-networks-bags-the-digital-mandate-for-haribol/"/>
    <hyperlink ref="S803" r:id="rId934" display="https://www.medianews4u.com/harpic-launches-new-harpic-bathroom-ultra-cleaner-appoints-rohit-shetty-as-brand-ambassador/"/>
    <hyperlink ref="S804" r:id="rId935" display="https://www.afaqs.com/news/newbizwins"/>
    <hyperlink ref="S805" r:id="rId936" display="https://www.campaignindia.in/article/dentsu-bags-integrated-marketing-mandate-for-hell-energy-drink/48skmntrs290bsxedvmpd2q6ww"/>
    <hyperlink ref="T805" r:id="rId937" display="https://www.afaqs.com/news/newbizwins/hell-energy-drink-names-dentsu-india-as-integrated-marketing-partner-11725549"/>
    <hyperlink ref="S806" r:id="rId938" display="https://campaignbriefasia.com/2026/08/05/bbdo-india-reminds-readers-ink-doesnt-lie-in-new-campaign-for-the-indian-newspaper-society/"/>
    <hyperlink ref="S807" r:id="rId939" display="https://www.medianews4u.com/sociowash-bags-the-creative-mandate-for-indrive/"/>
    <hyperlink ref="S808" r:id="rId940" display="https://www.dentsu.com/in/en/our-news/dentsu-creative-webchutney-launches-new-campaign-for-iqoo-z11"/>
    <hyperlink ref="S809" r:id="rId941" display="https://www.medianews4u.com/itc-candyman-expands-portfolio-with-soft-chews-targets-evolving-kids-preferences-with-kuch-bhi-karega-campaign-2/"/>
    <hyperlink ref="S810" r:id="rId942" display="https://www.medianews4u.com/bbh-india-wins-creative-mandate-of-japfa/"/>
    <hyperlink ref="S811" r:id="rId943" display="https://manifest-media.in/advertising/280526/hakuhodo-bags-creative-mandate-for-jindal-stainless.html"/>
    <hyperlink ref="T811" r:id="rId944" display="https://www.afaqs.com/news/newbizwins/jindal-stainless-brings-hakuhodo-on-board-for-integrated-marketing-mandate-11882627"/>
    <hyperlink ref="S812" r:id="rId945" display="https://www.medianews4u.com/pankaj-tripathi-stars-in-jio-bps-latest-fuel-campaign-crafted-by-ogilvy/"/>
    <hyperlink ref="T812" r:id="rId946" display="https://www.afaqs.com/news/advertising/saatchi-saatchi-propagate-bags-digital-mandate-for-jio-bp"/>
    <hyperlink ref="S813" r:id="rId947" display="https://www.medianews4u.com/creativefuel-drives-multi-platform-digital-launch-for-jiohotstar-x-superman/"/>
    <hyperlink ref="S814" r:id="rId948" display="https://www.adobomagazine.com/campaign-spotlight/jiomart-and-lk-saatchi-and-saatchi-bring-the-relationship-between-shopkeeper-and-customer-to-the-fore/"/>
    <hyperlink ref="T814" r:id="rId949" display="https://www.medianews4u.com/ranveer-singh-deepika-padukone-bring-fayda-meter-to-life-in-jiomart-campaign/"/>
    <hyperlink ref="S815" r:id="rId950" display="https://www.afaqs.com/news/newbizwins/liqvd-asia-bags-four-new-mandates-11255145"/>
    <hyperlink ref="S816" r:id="rId951" display="https://www.medianews4u.com/rediffusion-bags-creative-media-mandate-for-keya-foods/"/>
    <hyperlink ref="S817" r:id="rId952" display="https://www.afaqs.com/news/mktg/kitkat-vml-install-slow-vending-machine-activation-11720525"/>
    <hyperlink ref="S818" r:id="rId953" display="https://www.afaqs.com/news/newbizwins/kurlon-appoints-tonic-worldwide-as-digital-marketing-partner-12013101"/>
    <hyperlink ref="T818" r:id="rId954" display="https://www.medianews4u.com/kurlon-awards-digital-marketing-mandate-to-tonic-worldwide/"/>
    <hyperlink ref="S819" r:id="rId955" display="https://www.afaqs.com/news/advertising/lahori-zeera-returns-with-a-sequel-not-a-reboot-10993407"/>
    <hyperlink ref="S820" r:id="rId956" display="https://www.afaqs.com/news/newbizwins/sw-network-bags-social-media-mandate-for-lava-mobiles-11258403"/>
    <hyperlink ref="S821" r:id="rId957" display="https://www.manifest-media.in/advertising/140226/effie-awards-2025-leo-wins-agency-of-the-year-nestle-is-client-of.html"/>
    <hyperlink ref="S822" r:id="rId958" display="https://www.medianews4u.com/tag/cut-the-crap/"/>
    <hyperlink ref="S823" r:id="rId959" display="https://www.storyboard18.com/advertising/coca-colas-limca-shifts-creative-mandate-to-atom-network-93735.htm"/>
    <hyperlink ref="S824" r:id="rId960" display="https://www.afaqs.com/news/newbizwins/livpure-appoints-weber-shandwick-as-communications-partner-10788859"/>
    <hyperlink ref="T824" r:id="rId961" display="https://www.afaqs.com/news/newbizwins/livpure-appoints-sw-network-to-handle-digital-communications-11705112"/>
    <hyperlink ref="S825" r:id="rId962" display="https://www.afaqs.com/news/newbizwins/dentsu-creative-india-bags-lottes-creative-mandate-12125904"/>
    <hyperlink ref="T825" r:id="rId963" display="https://www.socialsamosa.com/industry-updates/dentsu-creative-creative-mandate-lotte-india-12125886"/>
    <hyperlink ref="S826" r:id="rId964" display="https://www.medianews4u.com/madhur-sugar-dentsu-creative-webchutney-transform-packaging-with-the-good-cut-for-a-greener-tomorrow/"/>
    <hyperlink ref="S827" r:id="rId965" display="https://www.medianews4u.com/grapes-worldwide-crafts-real-time-ai-powered-campaign-pokos-day-out-for-mamypoko-pants/"/>
    <hyperlink ref="S828" r:id="rId966" display="https://www.afaqs.com/news/advertising/mccain-celebrates-family-bonds-and-festive-togetherness-with-usha-uthups-jugalbandi-campaign-10584487"/>
    <hyperlink ref="T828" r:id="rId967" display="https://www.schbang.com/news-centre"/>
    <hyperlink ref="S829" r:id="rId968" display="https://www.schbang.com/work"/>
    <hyperlink ref="S830" r:id="rId969" display="https://www.medianews4u.com/leo-burnett-india-wins-the-creative-mandate-for-meta/"/>
    <hyperlink ref="S831" r:id="rId970" display="https://bestmediainfo.com/2023/08/bbh-india-wins-integrated-creative-mandate-of-microtek"/>
    <hyperlink ref="S832" r:id="rId971" display="https://campaignbriefasia.com/2022/02/08/bbdo-india-lands-milkbaskets-brand-mandate/"/>
    <hyperlink ref="S833" r:id="rId972" display="https://www.medianews4u.com/moovs-campaign-stresses-pain-relief-commitment-for-all-ages/"/>
    <hyperlink ref="S834" r:id="rId973" display="https://www.afaqs.com/tags/havas-creative-india"/>
    <hyperlink ref="S835" r:id="rId974" display="https://campaignbriefasia.com/2026/06/04/ogilvy-india-helps-mother-dairy-launch-indias-first-naturally-degradable-milk-pouch/"/>
    <hyperlink ref="S836" r:id="rId975" display="https://www.dentsu.com/in/en/our-news/motorola-india-appoints-dentsu-creative-as-creative-partner"/>
    <hyperlink ref="S837" r:id="rId976" display="https://www.medianews4u.com/lowe-lintas-and-naukri-team-up-for-a-youth-oriented-campaign/"/>
    <hyperlink ref="S838" r:id="rId977" display="https://www.medianews4u.com/navbharat-times-fcb-ulka-introduce-gender-inclusive-hindi-with-barabari-ki-bhasha/"/>
    <hyperlink ref="S839" r:id="rId978" display="https://www.medianews4u.com/publicis-india-to-manage-the-creative-mandate-of-emamis-power-brand-navratna/"/>
    <hyperlink ref="S840" r:id="rId979" display="https://www.afaqs.com/news/newbizwins/social-panga-wins-the-marketing-mandate-for-neo-by-nippon-paint-9480460"/>
    <hyperlink ref="T840" r:id="rId980" display="https://www.medianews4u.com/social-panga-bags-marketing-mandate-for-neo-by-nippon-paint/"/>
    <hyperlink ref="S841" r:id="rId981" display="https://www.socialsamosa.com/samosa-snippets/tracing-legacy-publicis-india-transition-into-bbh-11021947"/>
    <hyperlink ref="S842" r:id="rId982" display="https://www.socialsamosa.com/samosa-snippets/bbdo-tbwa-mccann-bring-omnicom-reshaped-empire-10841609"/>
    <hyperlink ref="S843" r:id="rId983" display="https://www.medianews4u.com/nescafe-sunrise-launches-campaign-honoring-coffee-farmers/"/>
    <hyperlink ref="S844" r:id="rId984" display="https://www.medianews4u.com/publicis-groupe-south-asia-appoints-paritosh-srivastava-and-snehasis-bose-to-lead-bbh-india/"/>
    <hyperlink ref="S845" r:id="rId985" display="https://www.afaqs.com/news/advertising/the-womb-wins-nilkamals-brand-communications-mandate-7305118"/>
    <hyperlink ref="S846" r:id="rId986" display="https://www.medianews4u.com/digital-refresh-networks-wins-digital-mandate-for-nissin-geki-korean-noodles/"/>
    <hyperlink ref="S847" r:id="rId987" display="https://www.afaqs.com/news/newbizwins/repindia-bags-integrated-creative-mandate-for-oppo-india-10541040"/>
    <hyperlink ref="T847" r:id="rId988" display="https://www.afaqs.com/news/advertising/oppo-reveals-full-aawara-gang-story-with-siddhant-ishaan-pooja-following-ranbir-kapoors-teaser-9442028"/>
    <hyperlink ref="S848" r:id="rId989" display="https://www.afaqs.com/news/newbizwins/liqvd-asia-bags-four-new-mandates-11255145"/>
    <hyperlink ref="S849" r:id="rId990" display="https://www.socialsamosa.com/industry-updates/leo-india-alin-choubey-vice-president-digital-12151129"/>
    <hyperlink ref="S850" r:id="rId991" display="https://www.afaqs.com/news/newbizwins/punt-creative-bags-digital-duties-for-piramal-consumer-healthcares-flagship-brands-9762988"/>
    <hyperlink ref="S851" r:id="rId992" display="https://news.google.com/rss/search?q=%2222feet+Tribal%22&amp;hl=en-IN&amp;gl=IN&amp;ceid=IN:en"/>
    <hyperlink ref="S852" r:id="rId993" display="https://www.prnewswire.com/in/news-releases/powerade-enters-india-as-official-sports-drink-of-the-icc-mens-t20-world-cup-2026-302699467.html"/>
    <hyperlink ref="S853" r:id="rId994" display="https://www.afaqs.com/news/newbizwins/rediffusion-kolkata-awarded-creative-mandate-for-prabhuji-9009602"/>
    <hyperlink ref="S854" r:id="rId995" display="https://www.afaqs.com/news/newbizwins/fcb-kinnect-wins-full-funnel-creative-mandate-for-prega-news-8742531"/>
    <hyperlink ref="S855" r:id="rId996" display="https://www.afaqs.com/news/newbizwins/creativefuel-wins-social-media-digital-mandate-for-priyagold-11092247"/>
    <hyperlink ref="T855" r:id="rId997" display="https://www.medianews4u.com/creativefuel-bags-social-media-digital-mandate-for-priyagold/"/>
    <hyperlink ref="S856" r:id="rId998" display="https://www.afaqs.com/news/advertising/rediffusion-raids-create-an-ai-film-for-danones-protinex-9331706"/>
    <hyperlink ref="S857" r:id="rId999" display="https://www.medianews4u.com/ds-groups-pulse-candy-brings-maha-kumbh-to-life-with-ai-powered-storytelling-immersive-experiences/"/>
    <hyperlink ref="S858" r:id="rId1000" display="https://www.medianews4u.com/quess-corp-appoints-msl-india-as-strategic-communications-partner/"/>
    <hyperlink ref="S859" r:id="rId1001" display="https://www.afaqs.com/news/advertising/rasna-launches-thick-concentrate-rasna-rich-with-a-nostalgic-campaign-8865647"/>
    <hyperlink ref="S860" r:id="rId1002" display="https://www.medianews4u.com/its-fizzin-amazing-sidharth-malhotra-endorses-daburs-real-fizzin-beverages-range/"/>
    <hyperlink ref="S861" r:id="rId1003" display="https://www.afaqs.com/news/newbizwins/creativeland-asia-wins-social-media-mandate-for-realme-11458316"/>
    <hyperlink ref="S862" r:id="rId1004" display="https://www.afaqs.com/tags/leo-burnett-india"/>
    <hyperlink ref="S863" r:id="rId1005" display="https://www.afaqs.com/news/advertising/revital-highlights-the-impact-of-stress-in-new-ad-with-vicky-kaushal-12166198"/>
    <hyperlink ref="S864" r:id="rId1006" display="https://www.afaqs.com/news/advertising/when-beera-became-jeera-how-talented-crafted-a-rd-burman-earworm-for-rimzims-return-11159354"/>
    <hyperlink ref="S865" r:id="rId1007" display="https://www.medianews4u.com/lintas-live-wins-social-media-pr-mandates-for-bayer-indias-saridon-supradyn/"/>
    <hyperlink ref="S866" r:id="rId1008" display="https://www.medianews4u.com/fcb-ulka-bags-creative-mandate-for-sensodent-group/"/>
    <hyperlink ref="S867" r:id="rId1009" display="https://www.afaqs.com/news/advertising/schbang-bags-the-social-media-mandate-for-sharechat-and-moj"/>
    <hyperlink ref="S868" r:id="rId1010" display="https://www.afaqs.com/news/newbizwins/smart-bazaar-appoints-mccann-worldgroup-india-to-lead-creative-mandate-9765343"/>
    <hyperlink ref="S869" r:id="rId1011" display="https://www.medianews4u.com/varun-dhawan-headlines-softovacs-new-digital-campaign-kabz-ka-kabza-conceptualised-by-contract-advertising/"/>
    <hyperlink ref="S870" r:id="rId1012" display="https://www.dentsu.com/in/en/our-news/dentsu-creative-india-bags-digital-mandate-for-sony-entertainment-television"/>
    <hyperlink ref="S871" r:id="rId1013" display="https://www.adgully.com/post/16000/vml-india-bags-black-elephant-at-kyoorius-creative-awards-2026"/>
    <hyperlink ref="T871" r:id="rId1014" display="https://monk-e.in/"/>
    <hyperlink ref="S872" r:id="rId1015" display="https://campaignbriefasia.com/2025/03/07/star-cement-champions-north-east-spirit-with-boxer-lovelina-borgohain-in-vml-india-film/"/>
    <hyperlink ref="S873" r:id="rId1016" display="https://www.afaqs.com/news/advertising/india-ends-cannes-lions-2026-run-with-just-five-metals-12110431"/>
    <hyperlink ref="S874" r:id="rId1017" display="https://www.medianews4u.com/storia-unveils-marketing-campaign-for-their-range-of-shakes-ads-to-span-across-ott-tv-digital-and-social-media/"/>
    <hyperlink ref="S875" r:id="rId1018" display="https://www.medianews4u.com/vml-indias-new-campaign-with-janhvi-kapoor-kicks-off-sugar-frees-health-evolution/"/>
    <hyperlink ref="S876" r:id="rId1019" display="https://campaignbriefasia.com/2026/02/12/jasprit-bumrah-shows-his-fun-side-in-sunfeast-yippee-magic-masala-film-via-ogilvy-india/"/>
    <hyperlink ref="S877" r:id="rId1020" display="https://www.goodadsmatter.com/post/talented"/>
    <hyperlink ref="S878" r:id="rId1021" display="https://www.medianews4u.com/white-rivers-media-wins-25-business-accounts-in-2023s-q4/"/>
    <hyperlink ref="S879" r:id="rId1022" display="https://www.indianweb2.com/2026/07/accenture-in-advanced-talks-to-acquire.html"/>
    <hyperlink ref="S880" r:id="rId1023" display="https://www.afaqs.com/news/advertising/rediffusion-unveils-ai-generated-christmas-film-for-tata-power-8543786"/>
    <hyperlink ref="S881" r:id="rId1024" display="https://campaignbriefasia.com/2025/09/02/vml-india-and-thums-up-introduce-two-hands-ritual-with-shah-rukh-khan-and-jagapathi-babu/"/>
    <hyperlink ref="S882" r:id="rId1025" display="https://www.medianews4u.com/bc-web-wise-tiger-balm-shine-spotlight-on-forest-guards-this-international-tigers-day/"/>
    <hyperlink ref="S883" r:id="rId1026" display="https://www.medianews4u.com/vml-india-and-tirupati-edible-oils-bring-a-festive-twist-to-breathless-with-siddharth-mahadevan/"/>
    <hyperlink ref="S884" r:id="rId1027" display="https://www.medianews4u.com/india-at-cannes-lions-2026-17-shortlists-and-counting-as-ogilvy-vml-lead-the-charge/"/>
    <hyperlink ref="S885" r:id="rId1028" display="https://www.afaqs.com/news/advertising/too-yumm-revamps-brand-positioning-introduces-twisties-snack-in-new-ad"/>
    <hyperlink ref="S886" r:id="rId1029" display="https://www.afaqs.com/news/advertising/truecaller-awards-creative-duties-to-thinkstr"/>
    <hyperlink ref="S887" r:id="rId1030" display="https://www.socialsamosa.com/industry-updates/dentsu-creative-india-expands-mandate-ttk-healthcare-3587888"/>
    <hyperlink ref="S888" r:id="rId1031" display="https://www.afaqs.com/news/advertising/urbn-appoints-curativity-as-creative-partner"/>
    <hyperlink ref="S889" r:id="rId1032" display="https://www.afaqs.com/news/advertising/vanish-aims-to-make-uniforms-uniform-again-with-vanishthedifference-campaign"/>
    <hyperlink ref="S890" r:id="rId1033" display="https://www.afaqs.com/news/advertising/how-enormous-is-winning-most-of-its-new-business-without-pitching-10996334"/>
    <hyperlink ref="S891" r:id="rId1034" display="https://www.medianews4u.com/grapes-worldwide-crafts-new-kuch-bhi-campaign-for-vibhor-oils/"/>
    <hyperlink ref="S892" r:id="rId1035" display="https://www.medianews4u.com/vims-equal-vows-campaign-champions-gender-equality-in-households-with-collaborative-partnerships/"/>
    <hyperlink ref="S893" r:id="rId1036" display="https://www.schbang.com/news-centre"/>
    <hyperlink ref="S894" r:id="rId1037" display="https://www.afaqs.com/news/newbizwins/wipro-consumer-care-appoints-wavemaker-as-integrated-media-partner-11442219"/>
    <hyperlink ref="S895" r:id="rId1038" display="https://www.afaqs.com/news/newbizwins/the-womb-wins-wonder-cements-creative-and-strategy-mandate-11878818"/>
    <hyperlink ref="T895" r:id="rId1039" display="https://manifest-media.in/advertising/270526/the-womb-bags-wonder-cements-brand-strategy-and-creative-mandate.html"/>
    <hyperlink ref="S896" r:id="rId1040" display="https://www.agencyreporter.com/publicis-capital-bags-the-creative-mandate-of-zee5-india/"/>
    <hyperlink ref="S897" r:id="rId1041" display="https://www.afaqs.com/tags/leo-burnett-india"/>
    <hyperlink ref="S898" r:id="rId1042" display="https://www.afaqs.com/tags/sideways-consulting"/>
    <hyperlink ref="T898" r:id="rId1043" display="https://www.afaqs.com/news/newbizwins/havas-media-network-bags-media-mandate-for-aakash-educational-services-11438357"/>
    <hyperlink ref="S899" r:id="rId1044" display="https://www.afaqs.com/news/newbizwins/hashtag-orange-bags-marketing-mandate-for-frankfinn-12505549"/>
    <hyperlink ref="S900" r:id="rId1045" display="https://news.google.com/rss/search?q=%22TBWA%22+India+mandate+OR+wins+OR+bags&amp;hl=en-IN&amp;gl=IN&amp;ceid=IN:en"/>
    <hyperlink ref="S901" r:id="rId1046" display="https://www.afaqs.com/news/advertising/how-enormous-is-winning-most-of-its-new-business-without-pitching-10996334"/>
    <hyperlink ref="S902" r:id="rId1047" display="https://www.afaqs.com/marketing/nicmar-appoints-tonic-worldwide-as-integrated-digital-marketing-partner-10560074"/>
    <hyperlink ref="S903" r:id="rId1048" display="https://www.afaqs.com/news/advertising/sportz-village-advocates-for-sports-in-schools-in-its-new-campaign"/>
    <hyperlink ref="S904" r:id="rId1049" display="https://www.medianews4u.com/bbh-india-wins-unischolars-creative-duties/"/>
    <hyperlink ref="S905" r:id="rId1050" display="https://www.afaqs.com/tags/saatchi-saatchi-propagate"/>
    <hyperlink ref="S906" r:id="rId1051" display="https://www.indianweb2.com/2026/07/accenture-in-advanced-talks-to-acquire.html"/>
    <hyperlink ref="T906" r:id="rId1052" display="https://www.medianews4u.com/bbh-india-to-handle-upcoming-upgrad-campaign-to-reposition-brand/"/>
    <hyperlink ref="S907" r:id="rId1053" display="https://crosshairscommunication.com/case-studies/"/>
    <hyperlink ref="S908" r:id="rId1054" display="https://www.medianews4u.com/bbh-india-brings-home-a-bronze-lion-for-bassi-vs-garnier-men-facewash-campaign/"/>
    <hyperlink ref="S909" r:id="rId1055" display="https://www.socialsamosa.com/industry-updates/akshay-gurnani-exits-schbang-harshil-sohil-karia-full-control-8772881"/>
    <hyperlink ref="T909" r:id="rId1056" display="https://www.storyboard18.com/agency-news/loreal-india-appoints-publicis-media-as-integrated-media-agency-after-strategic-review-99678.ht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5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28"/>
    <col collapsed="false" customWidth="true" hidden="false" outlineLevel="0" max="3" min="3" style="0" width="20"/>
    <col collapsed="false" customWidth="true" hidden="false" outlineLevel="0" max="4" min="4" style="0" width="9"/>
    <col collapsed="false" customWidth="true" hidden="false" outlineLevel="0" max="5" min="5" style="0" width="60"/>
    <col collapsed="false" customWidth="true" hidden="false" outlineLevel="0" max="6" min="6" style="0" width="28"/>
    <col collapsed="false" customWidth="true" hidden="false" outlineLevel="0" max="7" min="7" style="0" width="13"/>
    <col collapsed="false" customWidth="true" hidden="false" outlineLevel="0" max="8" min="8" style="0" width="11"/>
    <col collapsed="false" customWidth="true" hidden="false" outlineLevel="0" max="9" min="9" style="0" width="55"/>
    <col collapsed="false" customWidth="true" hidden="false" outlineLevel="0" max="10" min="10" style="0" width="40"/>
    <col collapsed="false" customWidth="true" hidden="false" outlineLevel="0" max="11" min="11" style="0" width="10"/>
  </cols>
  <sheetData>
    <row r="1" customFormat="false" ht="30" hidden="false" customHeight="true" outlineLevel="0" collapsed="false">
      <c r="A1" s="5" t="s">
        <v>4666</v>
      </c>
      <c r="B1" s="5" t="s">
        <v>54</v>
      </c>
      <c r="C1" s="5" t="s">
        <v>60</v>
      </c>
      <c r="D1" s="5" t="s">
        <v>61</v>
      </c>
      <c r="E1" s="5" t="s">
        <v>4667</v>
      </c>
      <c r="F1" s="5" t="s">
        <v>4668</v>
      </c>
      <c r="G1" s="5" t="s">
        <v>4669</v>
      </c>
      <c r="H1" s="5" t="s">
        <v>4670</v>
      </c>
      <c r="I1" s="5" t="s">
        <v>4671</v>
      </c>
      <c r="J1" s="5" t="s">
        <v>4672</v>
      </c>
      <c r="K1" s="5" t="s">
        <v>31</v>
      </c>
    </row>
    <row r="2" customFormat="false" ht="23.85" hidden="false" customHeight="false" outlineLevel="0" collapsed="false">
      <c r="A2" s="6" t="s">
        <v>97</v>
      </c>
      <c r="B2" s="7" t="s">
        <v>1498</v>
      </c>
      <c r="C2" s="6" t="s">
        <v>164</v>
      </c>
      <c r="D2" s="6" t="s">
        <v>77</v>
      </c>
      <c r="E2" s="2" t="s">
        <v>4673</v>
      </c>
      <c r="F2" s="6" t="s">
        <v>4674</v>
      </c>
      <c r="G2" s="6" t="s">
        <v>4675</v>
      </c>
      <c r="H2" s="6" t="s">
        <v>4676</v>
      </c>
      <c r="I2" s="2" t="s">
        <v>4677</v>
      </c>
      <c r="J2" s="9" t="s">
        <v>4678</v>
      </c>
      <c r="K2" s="6" t="s">
        <v>85</v>
      </c>
    </row>
    <row r="3" customFormat="false" ht="23.85" hidden="false" customHeight="false" outlineLevel="0" collapsed="false">
      <c r="A3" s="6" t="s">
        <v>97</v>
      </c>
      <c r="B3" s="7" t="s">
        <v>212</v>
      </c>
      <c r="C3" s="6" t="s">
        <v>164</v>
      </c>
      <c r="D3" s="6" t="s">
        <v>77</v>
      </c>
      <c r="E3" s="2" t="s">
        <v>214</v>
      </c>
      <c r="F3" s="6" t="s">
        <v>33</v>
      </c>
      <c r="G3" s="6" t="s">
        <v>4679</v>
      </c>
      <c r="H3" s="6" t="s">
        <v>4680</v>
      </c>
      <c r="I3" s="2" t="s">
        <v>215</v>
      </c>
      <c r="J3" s="9" t="s">
        <v>216</v>
      </c>
      <c r="K3" s="6" t="s">
        <v>85</v>
      </c>
    </row>
    <row r="4" customFormat="false" ht="23.85" hidden="false" customHeight="false" outlineLevel="0" collapsed="false">
      <c r="A4" s="6" t="s">
        <v>97</v>
      </c>
      <c r="B4" s="7" t="s">
        <v>611</v>
      </c>
      <c r="C4" s="6" t="s">
        <v>76</v>
      </c>
      <c r="D4" s="6" t="s">
        <v>77</v>
      </c>
      <c r="E4" s="2" t="s">
        <v>613</v>
      </c>
      <c r="F4" s="6" t="s">
        <v>33</v>
      </c>
      <c r="G4" s="6" t="s">
        <v>4679</v>
      </c>
      <c r="H4" s="6" t="s">
        <v>4680</v>
      </c>
      <c r="I4" s="2" t="s">
        <v>614</v>
      </c>
      <c r="J4" s="9" t="s">
        <v>615</v>
      </c>
      <c r="K4" s="6" t="s">
        <v>85</v>
      </c>
    </row>
    <row r="5" customFormat="false" ht="23.85" hidden="false" customHeight="false" outlineLevel="0" collapsed="false">
      <c r="A5" s="6" t="s">
        <v>97</v>
      </c>
      <c r="B5" s="7" t="s">
        <v>2606</v>
      </c>
      <c r="C5" s="6" t="s">
        <v>153</v>
      </c>
      <c r="D5" s="6" t="s">
        <v>287</v>
      </c>
      <c r="E5" s="2" t="s">
        <v>2608</v>
      </c>
      <c r="F5" s="6" t="s">
        <v>4681</v>
      </c>
      <c r="G5" s="6" t="s">
        <v>4675</v>
      </c>
      <c r="H5" s="6" t="s">
        <v>4682</v>
      </c>
      <c r="I5" s="2" t="s">
        <v>2609</v>
      </c>
      <c r="J5" s="9" t="s">
        <v>2610</v>
      </c>
      <c r="K5" s="6" t="s">
        <v>85</v>
      </c>
    </row>
    <row r="6" customFormat="false" ht="15" hidden="false" customHeight="false" outlineLevel="0" collapsed="false">
      <c r="A6" s="6" t="s">
        <v>97</v>
      </c>
      <c r="B6" s="7" t="s">
        <v>2786</v>
      </c>
      <c r="C6" s="6" t="s">
        <v>1127</v>
      </c>
      <c r="D6" s="6" t="s">
        <v>287</v>
      </c>
      <c r="E6" s="2" t="s">
        <v>2788</v>
      </c>
      <c r="F6" s="6" t="s">
        <v>4683</v>
      </c>
      <c r="G6" s="6" t="s">
        <v>4675</v>
      </c>
      <c r="H6" s="6" t="s">
        <v>4684</v>
      </c>
      <c r="I6" s="2" t="s">
        <v>2789</v>
      </c>
      <c r="J6" s="9" t="s">
        <v>2790</v>
      </c>
      <c r="K6" s="6" t="s">
        <v>85</v>
      </c>
    </row>
    <row r="7" customFormat="false" ht="23.85" hidden="false" customHeight="false" outlineLevel="0" collapsed="false">
      <c r="A7" s="6" t="s">
        <v>97</v>
      </c>
      <c r="B7" s="7" t="s">
        <v>1918</v>
      </c>
      <c r="C7" s="6" t="s">
        <v>1085</v>
      </c>
      <c r="D7" s="6" t="s">
        <v>287</v>
      </c>
      <c r="E7" s="2" t="s">
        <v>4685</v>
      </c>
      <c r="F7" s="6" t="s">
        <v>33</v>
      </c>
      <c r="G7" s="6" t="s">
        <v>4679</v>
      </c>
      <c r="H7" s="6" t="s">
        <v>4684</v>
      </c>
      <c r="I7" s="2" t="s">
        <v>4686</v>
      </c>
      <c r="J7" s="9" t="s">
        <v>4687</v>
      </c>
      <c r="K7" s="6" t="s">
        <v>106</v>
      </c>
    </row>
    <row r="8" customFormat="false" ht="15" hidden="false" customHeight="false" outlineLevel="0" collapsed="false">
      <c r="A8" s="6" t="s">
        <v>97</v>
      </c>
      <c r="B8" s="7" t="s">
        <v>1945</v>
      </c>
      <c r="C8" s="6" t="s">
        <v>239</v>
      </c>
      <c r="D8" s="6" t="s">
        <v>287</v>
      </c>
      <c r="E8" s="2" t="s">
        <v>1947</v>
      </c>
      <c r="F8" s="6" t="s">
        <v>33</v>
      </c>
      <c r="G8" s="6" t="s">
        <v>4679</v>
      </c>
      <c r="H8" s="6" t="s">
        <v>4682</v>
      </c>
      <c r="I8" s="2" t="s">
        <v>1948</v>
      </c>
      <c r="J8" s="9" t="s">
        <v>1950</v>
      </c>
      <c r="K8" s="6" t="s">
        <v>85</v>
      </c>
    </row>
    <row r="9" customFormat="false" ht="15" hidden="false" customHeight="false" outlineLevel="0" collapsed="false">
      <c r="A9" s="6" t="s">
        <v>97</v>
      </c>
      <c r="B9" s="7" t="s">
        <v>296</v>
      </c>
      <c r="C9" s="6" t="s">
        <v>118</v>
      </c>
      <c r="D9" s="6" t="s">
        <v>287</v>
      </c>
      <c r="E9" s="2" t="s">
        <v>298</v>
      </c>
      <c r="F9" s="6" t="s">
        <v>33</v>
      </c>
      <c r="G9" s="6" t="s">
        <v>4679</v>
      </c>
      <c r="H9" s="6" t="s">
        <v>4680</v>
      </c>
      <c r="I9" s="2" t="s">
        <v>299</v>
      </c>
      <c r="J9" s="9" t="s">
        <v>300</v>
      </c>
      <c r="K9" s="6" t="s">
        <v>85</v>
      </c>
    </row>
    <row r="10" customFormat="false" ht="15" hidden="false" customHeight="false" outlineLevel="0" collapsed="false">
      <c r="A10" s="6" t="s">
        <v>97</v>
      </c>
      <c r="B10" s="7" t="s">
        <v>1582</v>
      </c>
      <c r="C10" s="6" t="s">
        <v>1583</v>
      </c>
      <c r="D10" s="6" t="s">
        <v>287</v>
      </c>
      <c r="E10" s="2" t="s">
        <v>1585</v>
      </c>
      <c r="F10" s="6" t="s">
        <v>33</v>
      </c>
      <c r="G10" s="6" t="s">
        <v>4679</v>
      </c>
      <c r="H10" s="6" t="s">
        <v>4680</v>
      </c>
      <c r="I10" s="2" t="s">
        <v>1586</v>
      </c>
      <c r="J10" s="9" t="s">
        <v>1587</v>
      </c>
      <c r="K10" s="6" t="s">
        <v>106</v>
      </c>
    </row>
    <row r="11" customFormat="false" ht="23.85" hidden="false" customHeight="false" outlineLevel="0" collapsed="false">
      <c r="A11" s="6" t="s">
        <v>97</v>
      </c>
      <c r="B11" s="7" t="s">
        <v>1588</v>
      </c>
      <c r="C11" s="6" t="s">
        <v>1583</v>
      </c>
      <c r="D11" s="6" t="s">
        <v>287</v>
      </c>
      <c r="E11" s="2" t="s">
        <v>1589</v>
      </c>
      <c r="F11" s="6" t="s">
        <v>33</v>
      </c>
      <c r="G11" s="6" t="s">
        <v>4679</v>
      </c>
      <c r="H11" s="6" t="s">
        <v>4680</v>
      </c>
      <c r="I11" s="2" t="s">
        <v>1590</v>
      </c>
      <c r="J11" s="9" t="s">
        <v>1591</v>
      </c>
      <c r="K11" s="6" t="s">
        <v>85</v>
      </c>
    </row>
    <row r="12" customFormat="false" ht="15" hidden="false" customHeight="false" outlineLevel="0" collapsed="false">
      <c r="A12" s="6" t="s">
        <v>97</v>
      </c>
      <c r="B12" s="7" t="s">
        <v>358</v>
      </c>
      <c r="C12" s="6" t="s">
        <v>1085</v>
      </c>
      <c r="D12" s="6" t="s">
        <v>287</v>
      </c>
      <c r="E12" s="2" t="s">
        <v>4688</v>
      </c>
      <c r="F12" s="6" t="s">
        <v>33</v>
      </c>
      <c r="G12" s="6" t="s">
        <v>4679</v>
      </c>
      <c r="H12" s="6" t="s">
        <v>4680</v>
      </c>
      <c r="I12" s="2" t="s">
        <v>363</v>
      </c>
      <c r="J12" s="9" t="s">
        <v>364</v>
      </c>
      <c r="K12" s="6" t="s">
        <v>85</v>
      </c>
    </row>
    <row r="13" customFormat="false" ht="15" hidden="false" customHeight="false" outlineLevel="0" collapsed="false">
      <c r="A13" s="6" t="s">
        <v>97</v>
      </c>
      <c r="B13" s="7" t="s">
        <v>806</v>
      </c>
      <c r="C13" s="6" t="s">
        <v>76</v>
      </c>
      <c r="D13" s="6" t="s">
        <v>287</v>
      </c>
      <c r="E13" s="2" t="s">
        <v>807</v>
      </c>
      <c r="F13" s="6" t="s">
        <v>33</v>
      </c>
      <c r="G13" s="6" t="s">
        <v>4679</v>
      </c>
      <c r="H13" s="6" t="s">
        <v>4680</v>
      </c>
      <c r="I13" s="2" t="s">
        <v>808</v>
      </c>
      <c r="J13" s="9" t="s">
        <v>809</v>
      </c>
      <c r="K13" s="6" t="s">
        <v>106</v>
      </c>
    </row>
    <row r="14" customFormat="false" ht="23.85" hidden="false" customHeight="false" outlineLevel="0" collapsed="false">
      <c r="A14" s="6" t="s">
        <v>97</v>
      </c>
      <c r="B14" s="7" t="s">
        <v>420</v>
      </c>
      <c r="C14" s="6" t="s">
        <v>3000</v>
      </c>
      <c r="D14" s="6" t="s">
        <v>287</v>
      </c>
      <c r="E14" s="2" t="s">
        <v>4689</v>
      </c>
      <c r="F14" s="6" t="s">
        <v>33</v>
      </c>
      <c r="G14" s="6" t="s">
        <v>4679</v>
      </c>
      <c r="H14" s="6" t="s">
        <v>4680</v>
      </c>
      <c r="I14" s="2" t="s">
        <v>4690</v>
      </c>
      <c r="J14" s="9" t="s">
        <v>4691</v>
      </c>
      <c r="K14" s="6" t="s">
        <v>85</v>
      </c>
    </row>
    <row r="15" customFormat="false" ht="23.85" hidden="false" customHeight="false" outlineLevel="0" collapsed="false">
      <c r="A15" s="6" t="s">
        <v>97</v>
      </c>
      <c r="B15" s="7" t="s">
        <v>462</v>
      </c>
      <c r="C15" s="6" t="s">
        <v>239</v>
      </c>
      <c r="D15" s="6" t="s">
        <v>287</v>
      </c>
      <c r="E15" s="2" t="s">
        <v>463</v>
      </c>
      <c r="F15" s="6" t="s">
        <v>33</v>
      </c>
      <c r="G15" s="6" t="s">
        <v>4679</v>
      </c>
      <c r="H15" s="6" t="s">
        <v>4680</v>
      </c>
      <c r="I15" s="2" t="s">
        <v>464</v>
      </c>
      <c r="J15" s="9" t="s">
        <v>465</v>
      </c>
      <c r="K15" s="6" t="s">
        <v>85</v>
      </c>
    </row>
    <row r="16" customFormat="false" ht="15" hidden="false" customHeight="false" outlineLevel="0" collapsed="false">
      <c r="A16" s="6" t="s">
        <v>97</v>
      </c>
      <c r="B16" s="7" t="s">
        <v>1264</v>
      </c>
      <c r="C16" s="6" t="s">
        <v>182</v>
      </c>
      <c r="D16" s="6" t="s">
        <v>287</v>
      </c>
      <c r="E16" s="2" t="s">
        <v>1266</v>
      </c>
      <c r="F16" s="6" t="s">
        <v>33</v>
      </c>
      <c r="G16" s="6" t="s">
        <v>4679</v>
      </c>
      <c r="H16" s="6" t="s">
        <v>4680</v>
      </c>
      <c r="I16" s="2" t="s">
        <v>1267</v>
      </c>
      <c r="J16" s="9" t="s">
        <v>1268</v>
      </c>
      <c r="K16" s="6" t="s">
        <v>106</v>
      </c>
    </row>
    <row r="17" customFormat="false" ht="23.85" hidden="false" customHeight="false" outlineLevel="0" collapsed="false">
      <c r="A17" s="6" t="s">
        <v>97</v>
      </c>
      <c r="B17" s="7" t="s">
        <v>1688</v>
      </c>
      <c r="C17" s="6" t="s">
        <v>1583</v>
      </c>
      <c r="D17" s="6" t="s">
        <v>287</v>
      </c>
      <c r="E17" s="2" t="s">
        <v>4692</v>
      </c>
      <c r="F17" s="6" t="s">
        <v>33</v>
      </c>
      <c r="G17" s="6" t="s">
        <v>4679</v>
      </c>
      <c r="H17" s="6" t="s">
        <v>4680</v>
      </c>
      <c r="I17" s="2" t="s">
        <v>1693</v>
      </c>
      <c r="J17" s="9" t="s">
        <v>1695</v>
      </c>
      <c r="K17" s="6" t="s">
        <v>85</v>
      </c>
    </row>
    <row r="18" customFormat="false" ht="15" hidden="false" customHeight="false" outlineLevel="0" collapsed="false">
      <c r="A18" s="6" t="s">
        <v>97</v>
      </c>
      <c r="B18" s="7" t="s">
        <v>3612</v>
      </c>
      <c r="C18" s="6" t="s">
        <v>507</v>
      </c>
      <c r="D18" s="6" t="s">
        <v>1445</v>
      </c>
      <c r="E18" s="2" t="s">
        <v>3613</v>
      </c>
      <c r="F18" s="6" t="s">
        <v>33</v>
      </c>
      <c r="G18" s="6" t="s">
        <v>4679</v>
      </c>
      <c r="H18" s="6" t="s">
        <v>4680</v>
      </c>
      <c r="I18" s="2" t="s">
        <v>3614</v>
      </c>
      <c r="J18" s="9" t="s">
        <v>3615</v>
      </c>
      <c r="K18" s="6" t="s">
        <v>85</v>
      </c>
    </row>
    <row r="19" customFormat="false" ht="15" hidden="false" customHeight="false" outlineLevel="0" collapsed="false">
      <c r="A19" s="6" t="s">
        <v>97</v>
      </c>
      <c r="B19" s="7" t="s">
        <v>2973</v>
      </c>
      <c r="C19" s="6" t="s">
        <v>2312</v>
      </c>
      <c r="D19" s="6" t="s">
        <v>1445</v>
      </c>
      <c r="E19" s="2" t="s">
        <v>3012</v>
      </c>
      <c r="F19" s="6" t="s">
        <v>33</v>
      </c>
      <c r="G19" s="6" t="s">
        <v>4679</v>
      </c>
      <c r="H19" s="6" t="s">
        <v>4680</v>
      </c>
      <c r="I19" s="2" t="s">
        <v>3013</v>
      </c>
      <c r="J19" s="9" t="s">
        <v>3014</v>
      </c>
      <c r="K19" s="6" t="s">
        <v>85</v>
      </c>
    </row>
    <row r="20" customFormat="false" ht="15" hidden="false" customHeight="false" outlineLevel="0" collapsed="false">
      <c r="A20" s="6" t="s">
        <v>97</v>
      </c>
      <c r="B20" s="7" t="s">
        <v>3561</v>
      </c>
      <c r="C20" s="6" t="s">
        <v>1598</v>
      </c>
      <c r="D20" s="6" t="s">
        <v>1445</v>
      </c>
      <c r="E20" s="2" t="s">
        <v>4693</v>
      </c>
      <c r="F20" s="6" t="s">
        <v>33</v>
      </c>
      <c r="G20" s="6" t="s">
        <v>4679</v>
      </c>
      <c r="H20" s="6" t="s">
        <v>4680</v>
      </c>
      <c r="I20" s="2" t="s">
        <v>3564</v>
      </c>
      <c r="J20" s="9" t="s">
        <v>3565</v>
      </c>
      <c r="K20" s="6" t="s">
        <v>85</v>
      </c>
    </row>
    <row r="21" customFormat="false" ht="23.85" hidden="false" customHeight="false" outlineLevel="0" collapsed="false">
      <c r="A21" s="6" t="s">
        <v>97</v>
      </c>
      <c r="B21" s="7" t="s">
        <v>3038</v>
      </c>
      <c r="C21" s="6" t="s">
        <v>1583</v>
      </c>
      <c r="D21" s="6" t="s">
        <v>1445</v>
      </c>
      <c r="E21" s="2" t="s">
        <v>3040</v>
      </c>
      <c r="F21" s="6" t="s">
        <v>33</v>
      </c>
      <c r="G21" s="6" t="s">
        <v>4679</v>
      </c>
      <c r="H21" s="6" t="s">
        <v>4680</v>
      </c>
      <c r="I21" s="2" t="s">
        <v>3041</v>
      </c>
      <c r="J21" s="9" t="s">
        <v>3042</v>
      </c>
      <c r="K21" s="6" t="s">
        <v>85</v>
      </c>
    </row>
    <row r="22" customFormat="false" ht="23.85" hidden="false" customHeight="false" outlineLevel="0" collapsed="false">
      <c r="A22" s="6" t="s">
        <v>97</v>
      </c>
      <c r="B22" s="7" t="s">
        <v>2661</v>
      </c>
      <c r="C22" s="6" t="s">
        <v>507</v>
      </c>
      <c r="D22" s="6" t="s">
        <v>1445</v>
      </c>
      <c r="E22" s="2" t="s">
        <v>2663</v>
      </c>
      <c r="F22" s="6" t="s">
        <v>33</v>
      </c>
      <c r="G22" s="6" t="s">
        <v>4679</v>
      </c>
      <c r="H22" s="6" t="s">
        <v>4680</v>
      </c>
      <c r="I22" s="2" t="s">
        <v>2664</v>
      </c>
      <c r="J22" s="9" t="s">
        <v>2665</v>
      </c>
      <c r="K22" s="6" t="s">
        <v>85</v>
      </c>
    </row>
    <row r="23" customFormat="false" ht="23.85" hidden="false" customHeight="false" outlineLevel="0" collapsed="false">
      <c r="A23" s="6" t="s">
        <v>160</v>
      </c>
      <c r="B23" s="7" t="s">
        <v>238</v>
      </c>
      <c r="C23" s="6" t="s">
        <v>239</v>
      </c>
      <c r="D23" s="6" t="s">
        <v>77</v>
      </c>
      <c r="E23" s="2" t="s">
        <v>241</v>
      </c>
      <c r="F23" s="6" t="s">
        <v>33</v>
      </c>
      <c r="G23" s="6" t="s">
        <v>4679</v>
      </c>
      <c r="H23" s="6" t="s">
        <v>4680</v>
      </c>
      <c r="I23" s="2" t="s">
        <v>242</v>
      </c>
      <c r="J23" s="9" t="s">
        <v>243</v>
      </c>
      <c r="K23" s="6" t="s">
        <v>85</v>
      </c>
    </row>
    <row r="24" customFormat="false" ht="15" hidden="false" customHeight="false" outlineLevel="0" collapsed="false">
      <c r="A24" s="6" t="s">
        <v>160</v>
      </c>
      <c r="B24" s="7" t="s">
        <v>244</v>
      </c>
      <c r="C24" s="6" t="s">
        <v>90</v>
      </c>
      <c r="D24" s="6" t="s">
        <v>77</v>
      </c>
      <c r="E24" s="2" t="s">
        <v>4694</v>
      </c>
      <c r="F24" s="6" t="s">
        <v>33</v>
      </c>
      <c r="G24" s="6" t="s">
        <v>4679</v>
      </c>
      <c r="H24" s="6" t="s">
        <v>4680</v>
      </c>
      <c r="I24" s="2" t="s">
        <v>249</v>
      </c>
      <c r="J24" s="9" t="s">
        <v>250</v>
      </c>
      <c r="K24" s="6" t="s">
        <v>85</v>
      </c>
    </row>
    <row r="25" customFormat="false" ht="15" hidden="false" customHeight="false" outlineLevel="0" collapsed="false">
      <c r="A25" s="6" t="s">
        <v>160</v>
      </c>
      <c r="B25" s="7" t="s">
        <v>3259</v>
      </c>
      <c r="C25" s="6" t="s">
        <v>1598</v>
      </c>
      <c r="D25" s="6" t="s">
        <v>287</v>
      </c>
      <c r="E25" s="2" t="s">
        <v>4695</v>
      </c>
      <c r="F25" s="6" t="s">
        <v>4696</v>
      </c>
      <c r="G25" s="6" t="s">
        <v>4675</v>
      </c>
      <c r="H25" s="6" t="s">
        <v>4697</v>
      </c>
      <c r="I25" s="2" t="s">
        <v>3263</v>
      </c>
      <c r="J25" s="9" t="s">
        <v>4698</v>
      </c>
      <c r="K25" s="6" t="s">
        <v>85</v>
      </c>
    </row>
    <row r="26" customFormat="false" ht="23.85" hidden="false" customHeight="false" outlineLevel="0" collapsed="false">
      <c r="A26" s="6" t="s">
        <v>160</v>
      </c>
      <c r="B26" s="7" t="s">
        <v>2448</v>
      </c>
      <c r="C26" s="6" t="s">
        <v>182</v>
      </c>
      <c r="D26" s="6" t="s">
        <v>287</v>
      </c>
      <c r="E26" s="2" t="s">
        <v>4699</v>
      </c>
      <c r="F26" s="6" t="s">
        <v>4700</v>
      </c>
      <c r="G26" s="6" t="s">
        <v>4675</v>
      </c>
      <c r="H26" s="6" t="s">
        <v>4684</v>
      </c>
      <c r="I26" s="2" t="s">
        <v>4701</v>
      </c>
      <c r="J26" s="9" t="s">
        <v>2454</v>
      </c>
      <c r="K26" s="6" t="s">
        <v>85</v>
      </c>
    </row>
    <row r="27" customFormat="false" ht="23.85" hidden="false" customHeight="false" outlineLevel="0" collapsed="false">
      <c r="A27" s="6" t="s">
        <v>160</v>
      </c>
      <c r="B27" s="7" t="s">
        <v>1990</v>
      </c>
      <c r="C27" s="6" t="s">
        <v>118</v>
      </c>
      <c r="D27" s="6" t="s">
        <v>287</v>
      </c>
      <c r="E27" s="2" t="s">
        <v>1992</v>
      </c>
      <c r="F27" s="6" t="s">
        <v>4702</v>
      </c>
      <c r="G27" s="6" t="s">
        <v>4675</v>
      </c>
      <c r="H27" s="6" t="s">
        <v>4676</v>
      </c>
      <c r="I27" s="2" t="s">
        <v>1993</v>
      </c>
      <c r="J27" s="9" t="s">
        <v>1994</v>
      </c>
      <c r="K27" s="6" t="s">
        <v>85</v>
      </c>
    </row>
    <row r="28" customFormat="false" ht="46.25" hidden="false" customHeight="false" outlineLevel="0" collapsed="false">
      <c r="A28" s="6" t="s">
        <v>160</v>
      </c>
      <c r="B28" s="7" t="s">
        <v>918</v>
      </c>
      <c r="C28" s="6" t="s">
        <v>164</v>
      </c>
      <c r="D28" s="6" t="s">
        <v>287</v>
      </c>
      <c r="E28" s="2" t="s">
        <v>2581</v>
      </c>
      <c r="F28" s="6" t="s">
        <v>4703</v>
      </c>
      <c r="G28" s="6" t="s">
        <v>4675</v>
      </c>
      <c r="H28" s="6" t="s">
        <v>4682</v>
      </c>
      <c r="I28" s="2" t="s">
        <v>2582</v>
      </c>
      <c r="J28" s="9" t="s">
        <v>2583</v>
      </c>
      <c r="K28" s="6" t="s">
        <v>85</v>
      </c>
    </row>
    <row r="29" customFormat="false" ht="15" hidden="false" customHeight="false" outlineLevel="0" collapsed="false">
      <c r="A29" s="6" t="s">
        <v>160</v>
      </c>
      <c r="B29" s="7" t="s">
        <v>3406</v>
      </c>
      <c r="C29" s="6" t="s">
        <v>2312</v>
      </c>
      <c r="D29" s="6" t="s">
        <v>287</v>
      </c>
      <c r="E29" s="2" t="s">
        <v>4704</v>
      </c>
      <c r="F29" s="6" t="s">
        <v>4705</v>
      </c>
      <c r="G29" s="6" t="s">
        <v>4675</v>
      </c>
      <c r="H29" s="6" t="s">
        <v>4706</v>
      </c>
      <c r="I29" s="2" t="s">
        <v>3409</v>
      </c>
      <c r="J29" s="9" t="s">
        <v>3411</v>
      </c>
      <c r="K29" s="6" t="s">
        <v>85</v>
      </c>
    </row>
    <row r="30" customFormat="false" ht="15" hidden="false" customHeight="false" outlineLevel="0" collapsed="false">
      <c r="A30" s="6" t="s">
        <v>160</v>
      </c>
      <c r="B30" s="7" t="s">
        <v>2560</v>
      </c>
      <c r="C30" s="6" t="s">
        <v>182</v>
      </c>
      <c r="D30" s="6" t="s">
        <v>287</v>
      </c>
      <c r="E30" s="2" t="s">
        <v>2562</v>
      </c>
      <c r="F30" s="6" t="s">
        <v>4707</v>
      </c>
      <c r="G30" s="6" t="s">
        <v>4675</v>
      </c>
      <c r="H30" s="6" t="s">
        <v>4682</v>
      </c>
      <c r="I30" s="2" t="s">
        <v>2563</v>
      </c>
      <c r="J30" s="9" t="s">
        <v>2564</v>
      </c>
      <c r="K30" s="6" t="s">
        <v>85</v>
      </c>
    </row>
    <row r="31" customFormat="false" ht="15" hidden="false" customHeight="false" outlineLevel="0" collapsed="false">
      <c r="A31" s="6" t="s">
        <v>160</v>
      </c>
      <c r="B31" s="7" t="s">
        <v>2894</v>
      </c>
      <c r="C31" s="6" t="s">
        <v>1127</v>
      </c>
      <c r="D31" s="6" t="s">
        <v>287</v>
      </c>
      <c r="E31" s="2" t="s">
        <v>4708</v>
      </c>
      <c r="F31" s="6" t="s">
        <v>4709</v>
      </c>
      <c r="G31" s="6" t="s">
        <v>4675</v>
      </c>
      <c r="H31" s="6" t="s">
        <v>4684</v>
      </c>
      <c r="I31" s="2" t="s">
        <v>4710</v>
      </c>
      <c r="J31" s="9" t="s">
        <v>2900</v>
      </c>
      <c r="K31" s="6" t="s">
        <v>85</v>
      </c>
    </row>
    <row r="32" customFormat="false" ht="23.85" hidden="false" customHeight="false" outlineLevel="0" collapsed="false">
      <c r="A32" s="6" t="s">
        <v>160</v>
      </c>
      <c r="B32" s="7" t="s">
        <v>1498</v>
      </c>
      <c r="C32" s="6" t="s">
        <v>164</v>
      </c>
      <c r="D32" s="6" t="s">
        <v>287</v>
      </c>
      <c r="E32" s="2" t="s">
        <v>4711</v>
      </c>
      <c r="F32" s="6" t="s">
        <v>4712</v>
      </c>
      <c r="G32" s="6" t="s">
        <v>4675</v>
      </c>
      <c r="H32" s="6" t="s">
        <v>4706</v>
      </c>
      <c r="I32" s="2" t="s">
        <v>4713</v>
      </c>
      <c r="J32" s="9" t="s">
        <v>1506</v>
      </c>
      <c r="K32" s="6" t="s">
        <v>85</v>
      </c>
    </row>
    <row r="33" customFormat="false" ht="15" hidden="false" customHeight="false" outlineLevel="0" collapsed="false">
      <c r="A33" s="6" t="s">
        <v>160</v>
      </c>
      <c r="B33" s="7" t="s">
        <v>2028</v>
      </c>
      <c r="C33" s="6" t="s">
        <v>239</v>
      </c>
      <c r="D33" s="6" t="s">
        <v>287</v>
      </c>
      <c r="E33" s="2" t="s">
        <v>2030</v>
      </c>
      <c r="F33" s="6" t="s">
        <v>4714</v>
      </c>
      <c r="G33" s="6" t="s">
        <v>4675</v>
      </c>
      <c r="H33" s="6" t="s">
        <v>4715</v>
      </c>
      <c r="I33" s="2" t="s">
        <v>2031</v>
      </c>
      <c r="J33" s="9" t="s">
        <v>2032</v>
      </c>
      <c r="K33" s="6" t="s">
        <v>85</v>
      </c>
    </row>
    <row r="34" customFormat="false" ht="23.85" hidden="false" customHeight="false" outlineLevel="0" collapsed="false">
      <c r="A34" s="6" t="s">
        <v>160</v>
      </c>
      <c r="B34" s="7" t="s">
        <v>1823</v>
      </c>
      <c r="C34" s="6" t="s">
        <v>153</v>
      </c>
      <c r="D34" s="6" t="s">
        <v>287</v>
      </c>
      <c r="E34" s="2" t="s">
        <v>1825</v>
      </c>
      <c r="F34" s="6" t="s">
        <v>33</v>
      </c>
      <c r="G34" s="6" t="s">
        <v>4679</v>
      </c>
      <c r="H34" s="6" t="s">
        <v>4680</v>
      </c>
      <c r="I34" s="2" t="s">
        <v>1826</v>
      </c>
      <c r="J34" s="9" t="s">
        <v>1827</v>
      </c>
      <c r="K34" s="6" t="s">
        <v>85</v>
      </c>
    </row>
    <row r="35" customFormat="false" ht="15" hidden="false" customHeight="false" outlineLevel="0" collapsed="false">
      <c r="A35" s="6" t="s">
        <v>160</v>
      </c>
      <c r="B35" s="7" t="s">
        <v>685</v>
      </c>
      <c r="C35" s="6" t="s">
        <v>153</v>
      </c>
      <c r="D35" s="6" t="s">
        <v>287</v>
      </c>
      <c r="E35" s="2" t="s">
        <v>4716</v>
      </c>
      <c r="F35" s="6" t="s">
        <v>33</v>
      </c>
      <c r="G35" s="6" t="s">
        <v>4679</v>
      </c>
      <c r="H35" s="6" t="s">
        <v>4680</v>
      </c>
      <c r="I35" s="2" t="s">
        <v>689</v>
      </c>
      <c r="J35" s="9" t="s">
        <v>691</v>
      </c>
      <c r="K35" s="6" t="s">
        <v>85</v>
      </c>
    </row>
    <row r="36" customFormat="false" ht="23.85" hidden="false" customHeight="false" outlineLevel="0" collapsed="false">
      <c r="A36" s="6" t="s">
        <v>160</v>
      </c>
      <c r="B36" s="7" t="s">
        <v>711</v>
      </c>
      <c r="C36" s="6" t="s">
        <v>626</v>
      </c>
      <c r="D36" s="6" t="s">
        <v>287</v>
      </c>
      <c r="E36" s="2" t="s">
        <v>712</v>
      </c>
      <c r="F36" s="6" t="s">
        <v>33</v>
      </c>
      <c r="G36" s="6" t="s">
        <v>4679</v>
      </c>
      <c r="H36" s="6" t="s">
        <v>4680</v>
      </c>
      <c r="I36" s="2" t="s">
        <v>713</v>
      </c>
      <c r="J36" s="9" t="s">
        <v>714</v>
      </c>
      <c r="K36" s="6" t="s">
        <v>85</v>
      </c>
    </row>
    <row r="37" customFormat="false" ht="23.85" hidden="false" customHeight="false" outlineLevel="0" collapsed="false">
      <c r="A37" s="6" t="s">
        <v>160</v>
      </c>
      <c r="B37" s="7" t="s">
        <v>1658</v>
      </c>
      <c r="C37" s="6" t="s">
        <v>1583</v>
      </c>
      <c r="D37" s="6" t="s">
        <v>287</v>
      </c>
      <c r="E37" s="2" t="s">
        <v>4717</v>
      </c>
      <c r="F37" s="6" t="s">
        <v>33</v>
      </c>
      <c r="G37" s="6" t="s">
        <v>4718</v>
      </c>
      <c r="H37" s="6" t="s">
        <v>4684</v>
      </c>
      <c r="I37" s="2" t="s">
        <v>1662</v>
      </c>
      <c r="J37" s="9" t="s">
        <v>1664</v>
      </c>
      <c r="K37" s="6" t="s">
        <v>85</v>
      </c>
    </row>
    <row r="38" customFormat="false" ht="35.05" hidden="false" customHeight="false" outlineLevel="0" collapsed="false">
      <c r="A38" s="6" t="s">
        <v>160</v>
      </c>
      <c r="B38" s="7" t="s">
        <v>4024</v>
      </c>
      <c r="C38" s="6" t="s">
        <v>1598</v>
      </c>
      <c r="D38" s="6" t="s">
        <v>1445</v>
      </c>
      <c r="E38" s="2" t="s">
        <v>4027</v>
      </c>
      <c r="F38" s="6" t="s">
        <v>4719</v>
      </c>
      <c r="G38" s="6" t="s">
        <v>4675</v>
      </c>
      <c r="H38" s="6" t="s">
        <v>4680</v>
      </c>
      <c r="I38" s="2" t="s">
        <v>4028</v>
      </c>
      <c r="J38" s="9" t="s">
        <v>4029</v>
      </c>
      <c r="K38" s="6" t="s">
        <v>85</v>
      </c>
    </row>
    <row r="39" customFormat="false" ht="15" hidden="false" customHeight="false" outlineLevel="0" collapsed="false">
      <c r="A39" s="6" t="s">
        <v>160</v>
      </c>
      <c r="B39" s="7" t="s">
        <v>4019</v>
      </c>
      <c r="C39" s="6" t="s">
        <v>507</v>
      </c>
      <c r="D39" s="6" t="s">
        <v>1445</v>
      </c>
      <c r="E39" s="2" t="s">
        <v>4021</v>
      </c>
      <c r="F39" s="6" t="s">
        <v>4720</v>
      </c>
      <c r="G39" s="6" t="s">
        <v>4675</v>
      </c>
      <c r="H39" s="6" t="s">
        <v>4697</v>
      </c>
      <c r="I39" s="2" t="s">
        <v>4022</v>
      </c>
      <c r="J39" s="9" t="s">
        <v>4023</v>
      </c>
      <c r="K39" s="6" t="s">
        <v>85</v>
      </c>
    </row>
    <row r="40" customFormat="false" ht="23.85" hidden="false" customHeight="false" outlineLevel="0" collapsed="false">
      <c r="A40" s="6" t="s">
        <v>160</v>
      </c>
      <c r="B40" s="7" t="s">
        <v>3132</v>
      </c>
      <c r="C40" s="6" t="s">
        <v>153</v>
      </c>
      <c r="D40" s="6" t="s">
        <v>1445</v>
      </c>
      <c r="E40" s="2" t="s">
        <v>4721</v>
      </c>
      <c r="F40" s="6" t="s">
        <v>4722</v>
      </c>
      <c r="G40" s="6" t="s">
        <v>4675</v>
      </c>
      <c r="H40" s="6" t="s">
        <v>4697</v>
      </c>
      <c r="I40" s="2" t="s">
        <v>3781</v>
      </c>
      <c r="J40" s="9" t="s">
        <v>3782</v>
      </c>
      <c r="K40" s="6" t="s">
        <v>85</v>
      </c>
    </row>
    <row r="41" customFormat="false" ht="23.85" hidden="false" customHeight="false" outlineLevel="0" collapsed="false">
      <c r="A41" s="6" t="s">
        <v>160</v>
      </c>
      <c r="B41" s="7" t="s">
        <v>3964</v>
      </c>
      <c r="C41" s="6" t="s">
        <v>507</v>
      </c>
      <c r="D41" s="6" t="s">
        <v>1445</v>
      </c>
      <c r="E41" s="2" t="s">
        <v>3967</v>
      </c>
      <c r="F41" s="6" t="s">
        <v>4723</v>
      </c>
      <c r="G41" s="6" t="s">
        <v>4675</v>
      </c>
      <c r="H41" s="6" t="s">
        <v>4697</v>
      </c>
      <c r="I41" s="2" t="s">
        <v>3968</v>
      </c>
      <c r="J41" s="9" t="s">
        <v>3969</v>
      </c>
      <c r="K41" s="6" t="s">
        <v>85</v>
      </c>
    </row>
    <row r="42" customFormat="false" ht="23.85" hidden="false" customHeight="false" outlineLevel="0" collapsed="false">
      <c r="A42" s="6" t="s">
        <v>160</v>
      </c>
      <c r="B42" s="7" t="s">
        <v>3132</v>
      </c>
      <c r="C42" s="6" t="s">
        <v>153</v>
      </c>
      <c r="D42" s="6" t="s">
        <v>1445</v>
      </c>
      <c r="E42" s="2" t="s">
        <v>4724</v>
      </c>
      <c r="F42" s="6" t="s">
        <v>4725</v>
      </c>
      <c r="G42" s="6" t="s">
        <v>4726</v>
      </c>
      <c r="H42" s="6" t="s">
        <v>4697</v>
      </c>
      <c r="I42" s="2" t="s">
        <v>4727</v>
      </c>
      <c r="J42" s="9" t="s">
        <v>3782</v>
      </c>
      <c r="K42" s="6" t="s">
        <v>85</v>
      </c>
    </row>
    <row r="43" customFormat="false" ht="23.85" hidden="false" customHeight="false" outlineLevel="0" collapsed="false">
      <c r="A43" s="6" t="s">
        <v>160</v>
      </c>
      <c r="B43" s="7" t="s">
        <v>3163</v>
      </c>
      <c r="C43" s="6" t="s">
        <v>239</v>
      </c>
      <c r="D43" s="6" t="s">
        <v>1445</v>
      </c>
      <c r="E43" s="2" t="s">
        <v>3165</v>
      </c>
      <c r="F43" s="6" t="s">
        <v>4728</v>
      </c>
      <c r="G43" s="6" t="s">
        <v>4675</v>
      </c>
      <c r="H43" s="6" t="s">
        <v>4706</v>
      </c>
      <c r="I43" s="2" t="s">
        <v>3166</v>
      </c>
      <c r="J43" s="9" t="s">
        <v>3167</v>
      </c>
      <c r="K43" s="6" t="s">
        <v>85</v>
      </c>
    </row>
    <row r="44" customFormat="false" ht="23.85" hidden="false" customHeight="false" outlineLevel="0" collapsed="false">
      <c r="A44" s="6" t="s">
        <v>160</v>
      </c>
      <c r="B44" s="7" t="s">
        <v>2456</v>
      </c>
      <c r="C44" s="6" t="s">
        <v>1598</v>
      </c>
      <c r="D44" s="6" t="s">
        <v>1445</v>
      </c>
      <c r="E44" s="2" t="s">
        <v>3016</v>
      </c>
      <c r="F44" s="6" t="s">
        <v>33</v>
      </c>
      <c r="G44" s="6" t="s">
        <v>4679</v>
      </c>
      <c r="H44" s="6" t="s">
        <v>4680</v>
      </c>
      <c r="I44" s="2" t="s">
        <v>3017</v>
      </c>
      <c r="J44" s="9" t="s">
        <v>3018</v>
      </c>
      <c r="K44" s="6" t="s">
        <v>85</v>
      </c>
    </row>
    <row r="45" customFormat="false" ht="23.85" hidden="false" customHeight="false" outlineLevel="0" collapsed="false">
      <c r="A45" s="6" t="s">
        <v>256</v>
      </c>
      <c r="B45" s="7" t="s">
        <v>187</v>
      </c>
      <c r="C45" s="6" t="s">
        <v>153</v>
      </c>
      <c r="D45" s="6" t="s">
        <v>77</v>
      </c>
      <c r="E45" s="2" t="s">
        <v>4729</v>
      </c>
      <c r="F45" s="6" t="s">
        <v>33</v>
      </c>
      <c r="G45" s="6" t="s">
        <v>4679</v>
      </c>
      <c r="H45" s="6" t="s">
        <v>4680</v>
      </c>
      <c r="I45" s="2" t="s">
        <v>4730</v>
      </c>
      <c r="J45" s="9" t="s">
        <v>194</v>
      </c>
      <c r="K45" s="6" t="s">
        <v>85</v>
      </c>
    </row>
    <row r="46" customFormat="false" ht="15" hidden="false" customHeight="false" outlineLevel="0" collapsed="false">
      <c r="A46" s="6" t="s">
        <v>256</v>
      </c>
      <c r="B46" s="7" t="s">
        <v>187</v>
      </c>
      <c r="C46" s="6" t="s">
        <v>153</v>
      </c>
      <c r="D46" s="6" t="s">
        <v>77</v>
      </c>
      <c r="E46" s="2" t="s">
        <v>4731</v>
      </c>
      <c r="F46" s="6" t="s">
        <v>33</v>
      </c>
      <c r="G46" s="6" t="s">
        <v>4679</v>
      </c>
      <c r="H46" s="6" t="s">
        <v>4732</v>
      </c>
      <c r="I46" s="2" t="s">
        <v>4733</v>
      </c>
      <c r="J46" s="9" t="s">
        <v>4734</v>
      </c>
      <c r="K46" s="6" t="s">
        <v>85</v>
      </c>
    </row>
    <row r="47" customFormat="false" ht="23.85" hidden="false" customHeight="false" outlineLevel="0" collapsed="false">
      <c r="A47" s="6" t="s">
        <v>256</v>
      </c>
      <c r="B47" s="7" t="s">
        <v>3259</v>
      </c>
      <c r="C47" s="6" t="s">
        <v>1598</v>
      </c>
      <c r="D47" s="6" t="s">
        <v>287</v>
      </c>
      <c r="E47" s="2" t="s">
        <v>4735</v>
      </c>
      <c r="F47" s="6" t="s">
        <v>4736</v>
      </c>
      <c r="G47" s="6" t="s">
        <v>4675</v>
      </c>
      <c r="H47" s="6" t="s">
        <v>4680</v>
      </c>
      <c r="I47" s="2" t="s">
        <v>4737</v>
      </c>
      <c r="J47" s="9" t="s">
        <v>3264</v>
      </c>
      <c r="K47" s="6" t="s">
        <v>85</v>
      </c>
    </row>
    <row r="48" customFormat="false" ht="15" hidden="false" customHeight="false" outlineLevel="0" collapsed="false">
      <c r="A48" s="6" t="s">
        <v>256</v>
      </c>
      <c r="B48" s="7" t="s">
        <v>2002</v>
      </c>
      <c r="C48" s="6" t="s">
        <v>76</v>
      </c>
      <c r="D48" s="6" t="s">
        <v>287</v>
      </c>
      <c r="E48" s="2" t="s">
        <v>2004</v>
      </c>
      <c r="F48" s="6" t="s">
        <v>4738</v>
      </c>
      <c r="G48" s="6" t="s">
        <v>4675</v>
      </c>
      <c r="H48" s="6" t="s">
        <v>4680</v>
      </c>
      <c r="I48" s="2" t="s">
        <v>2005</v>
      </c>
      <c r="J48" s="9" t="s">
        <v>2006</v>
      </c>
      <c r="K48" s="6" t="s">
        <v>85</v>
      </c>
    </row>
    <row r="49" customFormat="false" ht="15" hidden="false" customHeight="false" outlineLevel="0" collapsed="false">
      <c r="A49" s="6" t="s">
        <v>256</v>
      </c>
      <c r="B49" s="7" t="s">
        <v>631</v>
      </c>
      <c r="C49" s="6" t="s">
        <v>164</v>
      </c>
      <c r="D49" s="6" t="s">
        <v>287</v>
      </c>
      <c r="E49" s="2" t="s">
        <v>4739</v>
      </c>
      <c r="F49" s="6" t="s">
        <v>33</v>
      </c>
      <c r="G49" s="6" t="s">
        <v>4679</v>
      </c>
      <c r="H49" s="6" t="s">
        <v>4680</v>
      </c>
      <c r="I49" s="2" t="s">
        <v>635</v>
      </c>
      <c r="J49" s="9" t="s">
        <v>4740</v>
      </c>
      <c r="K49" s="6" t="s">
        <v>85</v>
      </c>
    </row>
    <row r="50" customFormat="false" ht="23.85" hidden="false" customHeight="false" outlineLevel="0" collapsed="false">
      <c r="A50" s="6" t="s">
        <v>256</v>
      </c>
      <c r="B50" s="7" t="s">
        <v>1181</v>
      </c>
      <c r="C50" s="6" t="s">
        <v>164</v>
      </c>
      <c r="D50" s="6" t="s">
        <v>287</v>
      </c>
      <c r="E50" s="2" t="s">
        <v>4741</v>
      </c>
      <c r="F50" s="6" t="s">
        <v>33</v>
      </c>
      <c r="G50" s="6" t="s">
        <v>4679</v>
      </c>
      <c r="H50" s="6" t="s">
        <v>4680</v>
      </c>
      <c r="I50" s="2" t="s">
        <v>1185</v>
      </c>
      <c r="J50" s="9" t="s">
        <v>1186</v>
      </c>
      <c r="K50" s="6" t="s">
        <v>85</v>
      </c>
    </row>
    <row r="51" customFormat="false" ht="23.85" hidden="false" customHeight="false" outlineLevel="0" collapsed="false">
      <c r="A51" s="6" t="s">
        <v>256</v>
      </c>
      <c r="B51" s="7" t="s">
        <v>366</v>
      </c>
      <c r="C51" s="6" t="s">
        <v>118</v>
      </c>
      <c r="D51" s="6" t="s">
        <v>287</v>
      </c>
      <c r="E51" s="2" t="s">
        <v>368</v>
      </c>
      <c r="F51" s="6" t="s">
        <v>33</v>
      </c>
      <c r="G51" s="6" t="s">
        <v>4679</v>
      </c>
      <c r="H51" s="6" t="s">
        <v>4680</v>
      </c>
      <c r="I51" s="2" t="s">
        <v>369</v>
      </c>
      <c r="J51" s="9" t="s">
        <v>370</v>
      </c>
      <c r="K51" s="6" t="s">
        <v>85</v>
      </c>
    </row>
    <row r="52" customFormat="false" ht="15" hidden="false" customHeight="false" outlineLevel="0" collapsed="false">
      <c r="A52" s="6" t="s">
        <v>256</v>
      </c>
      <c r="B52" s="7" t="s">
        <v>414</v>
      </c>
      <c r="C52" s="6" t="s">
        <v>76</v>
      </c>
      <c r="D52" s="6" t="s">
        <v>287</v>
      </c>
      <c r="E52" s="2" t="s">
        <v>4742</v>
      </c>
      <c r="F52" s="6" t="s">
        <v>33</v>
      </c>
      <c r="G52" s="6" t="s">
        <v>4679</v>
      </c>
      <c r="H52" s="6" t="s">
        <v>4680</v>
      </c>
      <c r="I52" s="2" t="s">
        <v>417</v>
      </c>
      <c r="J52" s="9" t="s">
        <v>418</v>
      </c>
      <c r="K52" s="6" t="s">
        <v>85</v>
      </c>
    </row>
    <row r="53" customFormat="false" ht="23.85" hidden="false" customHeight="false" outlineLevel="0" collapsed="false">
      <c r="A53" s="6" t="s">
        <v>256</v>
      </c>
      <c r="B53" s="7" t="s">
        <v>1370</v>
      </c>
      <c r="C53" s="6" t="s">
        <v>118</v>
      </c>
      <c r="D53" s="6" t="s">
        <v>287</v>
      </c>
      <c r="E53" s="2" t="s">
        <v>1372</v>
      </c>
      <c r="F53" s="6" t="s">
        <v>33</v>
      </c>
      <c r="G53" s="6" t="s">
        <v>4679</v>
      </c>
      <c r="H53" s="6" t="s">
        <v>4680</v>
      </c>
      <c r="I53" s="2" t="s">
        <v>1373</v>
      </c>
      <c r="J53" s="9" t="s">
        <v>1374</v>
      </c>
      <c r="K53" s="6" t="s">
        <v>85</v>
      </c>
    </row>
    <row r="54" customFormat="false" ht="23.85" hidden="false" customHeight="false" outlineLevel="0" collapsed="false">
      <c r="A54" s="6" t="s">
        <v>256</v>
      </c>
      <c r="B54" s="7" t="s">
        <v>741</v>
      </c>
      <c r="C54" s="6" t="s">
        <v>153</v>
      </c>
      <c r="D54" s="6" t="s">
        <v>287</v>
      </c>
      <c r="E54" s="2" t="s">
        <v>4743</v>
      </c>
      <c r="F54" s="6" t="s">
        <v>33</v>
      </c>
      <c r="G54" s="6" t="s">
        <v>4679</v>
      </c>
      <c r="H54" s="6" t="s">
        <v>4680</v>
      </c>
      <c r="I54" s="2" t="s">
        <v>4744</v>
      </c>
      <c r="J54" s="9" t="s">
        <v>4745</v>
      </c>
      <c r="K54" s="6" t="s">
        <v>106</v>
      </c>
    </row>
    <row r="55" customFormat="false" ht="15" hidden="false" customHeight="false" outlineLevel="0" collapsed="false">
      <c r="A55" s="6" t="s">
        <v>256</v>
      </c>
      <c r="B55" s="7" t="s">
        <v>495</v>
      </c>
      <c r="C55" s="6" t="s">
        <v>239</v>
      </c>
      <c r="D55" s="6" t="s">
        <v>287</v>
      </c>
      <c r="E55" s="2" t="s">
        <v>496</v>
      </c>
      <c r="F55" s="6" t="s">
        <v>33</v>
      </c>
      <c r="G55" s="6" t="s">
        <v>4679</v>
      </c>
      <c r="H55" s="6" t="s">
        <v>4680</v>
      </c>
      <c r="I55" s="2" t="s">
        <v>497</v>
      </c>
      <c r="J55" s="9" t="s">
        <v>498</v>
      </c>
      <c r="K55" s="6" t="s">
        <v>85</v>
      </c>
    </row>
    <row r="56" customFormat="false" ht="15" hidden="false" customHeight="false" outlineLevel="0" collapsed="false">
      <c r="A56" s="6" t="s">
        <v>256</v>
      </c>
      <c r="B56" s="7" t="s">
        <v>2995</v>
      </c>
      <c r="C56" s="6" t="s">
        <v>1644</v>
      </c>
      <c r="D56" s="6" t="s">
        <v>1445</v>
      </c>
      <c r="E56" s="2" t="s">
        <v>496</v>
      </c>
      <c r="F56" s="6" t="s">
        <v>33</v>
      </c>
      <c r="G56" s="6" t="s">
        <v>4679</v>
      </c>
      <c r="H56" s="6" t="s">
        <v>4680</v>
      </c>
      <c r="I56" s="2" t="s">
        <v>2997</v>
      </c>
      <c r="J56" s="9" t="s">
        <v>2998</v>
      </c>
      <c r="K56" s="6" t="s">
        <v>85</v>
      </c>
    </row>
    <row r="57" customFormat="false" ht="23.85" hidden="false" customHeight="false" outlineLevel="0" collapsed="false">
      <c r="A57" s="6" t="s">
        <v>256</v>
      </c>
      <c r="B57" s="7" t="s">
        <v>3019</v>
      </c>
      <c r="C57" s="6" t="s">
        <v>1583</v>
      </c>
      <c r="D57" s="6" t="s">
        <v>1445</v>
      </c>
      <c r="E57" s="2" t="s">
        <v>3022</v>
      </c>
      <c r="F57" s="6" t="s">
        <v>33</v>
      </c>
      <c r="G57" s="6" t="s">
        <v>4718</v>
      </c>
      <c r="H57" s="6" t="s">
        <v>4697</v>
      </c>
      <c r="I57" s="2" t="s">
        <v>3023</v>
      </c>
      <c r="J57" s="9" t="s">
        <v>3024</v>
      </c>
      <c r="K57" s="6" t="s">
        <v>85</v>
      </c>
    </row>
    <row r="58" customFormat="false" ht="15" hidden="false" customHeight="false" outlineLevel="0" collapsed="false">
      <c r="A58" s="6" t="s">
        <v>256</v>
      </c>
      <c r="B58" s="7" t="s">
        <v>2646</v>
      </c>
      <c r="C58" s="6" t="s">
        <v>1127</v>
      </c>
      <c r="D58" s="6" t="s">
        <v>1445</v>
      </c>
      <c r="E58" s="2" t="s">
        <v>496</v>
      </c>
      <c r="F58" s="6" t="s">
        <v>33</v>
      </c>
      <c r="G58" s="6" t="s">
        <v>4679</v>
      </c>
      <c r="H58" s="6" t="s">
        <v>4680</v>
      </c>
      <c r="I58" s="2" t="s">
        <v>2650</v>
      </c>
      <c r="J58" s="9" t="s">
        <v>2652</v>
      </c>
      <c r="K58" s="6" t="s">
        <v>85</v>
      </c>
    </row>
    <row r="59" customFormat="false" ht="15" hidden="false" customHeight="false" outlineLevel="0" collapsed="false">
      <c r="A59" s="6" t="s">
        <v>256</v>
      </c>
      <c r="B59" s="7" t="s">
        <v>2653</v>
      </c>
      <c r="C59" s="6" t="s">
        <v>1127</v>
      </c>
      <c r="D59" s="6" t="s">
        <v>1445</v>
      </c>
      <c r="E59" s="2" t="s">
        <v>4746</v>
      </c>
      <c r="F59" s="6" t="s">
        <v>33</v>
      </c>
      <c r="G59" s="6" t="s">
        <v>4679</v>
      </c>
      <c r="H59" s="6" t="s">
        <v>4680</v>
      </c>
      <c r="I59" s="2" t="s">
        <v>2658</v>
      </c>
      <c r="J59" s="9" t="s">
        <v>4747</v>
      </c>
      <c r="K59" s="6" t="s">
        <v>85</v>
      </c>
    </row>
    <row r="60" customFormat="false" ht="15" hidden="false" customHeight="false" outlineLevel="0" collapsed="false">
      <c r="A60" s="6" t="s">
        <v>256</v>
      </c>
      <c r="B60" s="7" t="s">
        <v>3049</v>
      </c>
      <c r="C60" s="6" t="s">
        <v>3000</v>
      </c>
      <c r="D60" s="6" t="s">
        <v>1445</v>
      </c>
      <c r="E60" s="2" t="s">
        <v>4748</v>
      </c>
      <c r="F60" s="6" t="s">
        <v>33</v>
      </c>
      <c r="G60" s="6" t="s">
        <v>4679</v>
      </c>
      <c r="H60" s="6" t="s">
        <v>4680</v>
      </c>
      <c r="I60" s="2" t="s">
        <v>3053</v>
      </c>
      <c r="J60" s="9" t="s">
        <v>4749</v>
      </c>
      <c r="K60" s="6" t="s">
        <v>85</v>
      </c>
    </row>
    <row r="61" customFormat="false" ht="23.85" hidden="false" customHeight="false" outlineLevel="0" collapsed="false">
      <c r="A61" s="6" t="s">
        <v>130</v>
      </c>
      <c r="B61" s="7" t="s">
        <v>514</v>
      </c>
      <c r="C61" s="6" t="s">
        <v>164</v>
      </c>
      <c r="D61" s="6" t="s">
        <v>77</v>
      </c>
      <c r="E61" s="2" t="s">
        <v>1545</v>
      </c>
      <c r="F61" s="6" t="s">
        <v>4750</v>
      </c>
      <c r="G61" s="6" t="s">
        <v>4675</v>
      </c>
      <c r="H61" s="6" t="s">
        <v>4697</v>
      </c>
      <c r="I61" s="2" t="s">
        <v>1546</v>
      </c>
      <c r="J61" s="9" t="s">
        <v>1547</v>
      </c>
      <c r="K61" s="6" t="s">
        <v>85</v>
      </c>
    </row>
    <row r="62" customFormat="false" ht="23.85" hidden="false" customHeight="false" outlineLevel="0" collapsed="false">
      <c r="A62" s="6" t="s">
        <v>130</v>
      </c>
      <c r="B62" s="7" t="s">
        <v>3299</v>
      </c>
      <c r="C62" s="6" t="s">
        <v>1215</v>
      </c>
      <c r="D62" s="6" t="s">
        <v>287</v>
      </c>
      <c r="E62" s="2" t="s">
        <v>4751</v>
      </c>
      <c r="F62" s="6" t="s">
        <v>4752</v>
      </c>
      <c r="G62" s="6" t="s">
        <v>4675</v>
      </c>
      <c r="H62" s="6" t="s">
        <v>4706</v>
      </c>
      <c r="I62" s="2" t="s">
        <v>3304</v>
      </c>
      <c r="J62" s="9" t="s">
        <v>3305</v>
      </c>
      <c r="K62" s="6" t="s">
        <v>85</v>
      </c>
    </row>
    <row r="63" customFormat="false" ht="15" hidden="false" customHeight="false" outlineLevel="0" collapsed="false">
      <c r="A63" s="6" t="s">
        <v>130</v>
      </c>
      <c r="B63" s="7" t="s">
        <v>3321</v>
      </c>
      <c r="C63" s="6" t="s">
        <v>2312</v>
      </c>
      <c r="D63" s="6" t="s">
        <v>287</v>
      </c>
      <c r="E63" s="2" t="s">
        <v>3324</v>
      </c>
      <c r="F63" s="6" t="s">
        <v>4753</v>
      </c>
      <c r="G63" s="6" t="s">
        <v>4675</v>
      </c>
      <c r="H63" s="6" t="s">
        <v>4684</v>
      </c>
      <c r="I63" s="2" t="s">
        <v>3325</v>
      </c>
      <c r="J63" s="9" t="s">
        <v>3326</v>
      </c>
      <c r="K63" s="6" t="s">
        <v>85</v>
      </c>
    </row>
    <row r="64" customFormat="false" ht="23.85" hidden="false" customHeight="false" outlineLevel="0" collapsed="false">
      <c r="A64" s="6" t="s">
        <v>130</v>
      </c>
      <c r="B64" s="7" t="s">
        <v>3266</v>
      </c>
      <c r="C64" s="6" t="s">
        <v>1598</v>
      </c>
      <c r="D64" s="6" t="s">
        <v>287</v>
      </c>
      <c r="E64" s="2" t="s">
        <v>3269</v>
      </c>
      <c r="F64" s="6" t="s">
        <v>4754</v>
      </c>
      <c r="G64" s="6" t="s">
        <v>4675</v>
      </c>
      <c r="H64" s="6" t="s">
        <v>4680</v>
      </c>
      <c r="I64" s="2" t="s">
        <v>3270</v>
      </c>
      <c r="J64" s="9" t="s">
        <v>3271</v>
      </c>
      <c r="K64" s="6" t="s">
        <v>85</v>
      </c>
    </row>
    <row r="65" customFormat="false" ht="15" hidden="false" customHeight="false" outlineLevel="0" collapsed="false">
      <c r="A65" s="6" t="s">
        <v>130</v>
      </c>
      <c r="B65" s="7" t="s">
        <v>836</v>
      </c>
      <c r="C65" s="6" t="s">
        <v>239</v>
      </c>
      <c r="D65" s="6" t="s">
        <v>287</v>
      </c>
      <c r="E65" s="2" t="s">
        <v>837</v>
      </c>
      <c r="F65" s="6" t="s">
        <v>33</v>
      </c>
      <c r="G65" s="6" t="s">
        <v>4679</v>
      </c>
      <c r="H65" s="6" t="s">
        <v>4680</v>
      </c>
      <c r="I65" s="2" t="s">
        <v>838</v>
      </c>
      <c r="J65" s="9" t="s">
        <v>839</v>
      </c>
      <c r="K65" s="6" t="s">
        <v>85</v>
      </c>
    </row>
    <row r="66" customFormat="false" ht="15" hidden="false" customHeight="false" outlineLevel="0" collapsed="false">
      <c r="A66" s="6" t="s">
        <v>130</v>
      </c>
      <c r="B66" s="7" t="s">
        <v>750</v>
      </c>
      <c r="C66" s="6" t="s">
        <v>153</v>
      </c>
      <c r="D66" s="6" t="s">
        <v>287</v>
      </c>
      <c r="E66" s="2" t="s">
        <v>4755</v>
      </c>
      <c r="F66" s="6" t="s">
        <v>33</v>
      </c>
      <c r="G66" s="6" t="s">
        <v>4679</v>
      </c>
      <c r="H66" s="6" t="s">
        <v>4680</v>
      </c>
      <c r="I66" s="2" t="s">
        <v>755</v>
      </c>
      <c r="J66" s="9" t="s">
        <v>757</v>
      </c>
      <c r="K66" s="6" t="s">
        <v>85</v>
      </c>
    </row>
    <row r="67" customFormat="false" ht="23.85" hidden="false" customHeight="false" outlineLevel="0" collapsed="false">
      <c r="A67" s="6" t="s">
        <v>130</v>
      </c>
      <c r="B67" s="7" t="s">
        <v>3875</v>
      </c>
      <c r="C67" s="6" t="s">
        <v>507</v>
      </c>
      <c r="D67" s="6" t="s">
        <v>1445</v>
      </c>
      <c r="E67" s="2" t="s">
        <v>4756</v>
      </c>
      <c r="F67" s="6" t="s">
        <v>4757</v>
      </c>
      <c r="G67" s="6" t="s">
        <v>4675</v>
      </c>
      <c r="H67" s="6" t="s">
        <v>4697</v>
      </c>
      <c r="I67" s="2" t="s">
        <v>3879</v>
      </c>
      <c r="J67" s="9" t="s">
        <v>4758</v>
      </c>
      <c r="K67" s="6" t="s">
        <v>85</v>
      </c>
    </row>
    <row r="68" customFormat="false" ht="15" hidden="false" customHeight="false" outlineLevel="0" collapsed="false">
      <c r="A68" s="6" t="s">
        <v>130</v>
      </c>
      <c r="B68" s="7" t="s">
        <v>3277</v>
      </c>
      <c r="C68" s="6" t="s">
        <v>2312</v>
      </c>
      <c r="D68" s="6" t="s">
        <v>1445</v>
      </c>
      <c r="E68" s="2" t="s">
        <v>4759</v>
      </c>
      <c r="F68" s="6" t="s">
        <v>4760</v>
      </c>
      <c r="G68" s="6" t="s">
        <v>4675</v>
      </c>
      <c r="H68" s="6" t="s">
        <v>4676</v>
      </c>
      <c r="I68" s="2" t="s">
        <v>3281</v>
      </c>
      <c r="J68" s="9" t="s">
        <v>3282</v>
      </c>
      <c r="K68" s="6" t="s">
        <v>85</v>
      </c>
    </row>
    <row r="69" customFormat="false" ht="35.05" hidden="false" customHeight="false" outlineLevel="0" collapsed="false">
      <c r="A69" s="6" t="s">
        <v>130</v>
      </c>
      <c r="B69" s="7" t="s">
        <v>4270</v>
      </c>
      <c r="C69" s="6" t="s">
        <v>1215</v>
      </c>
      <c r="D69" s="6" t="s">
        <v>1445</v>
      </c>
      <c r="E69" s="2" t="s">
        <v>4761</v>
      </c>
      <c r="F69" s="6" t="s">
        <v>4762</v>
      </c>
      <c r="G69" s="6" t="s">
        <v>4675</v>
      </c>
      <c r="H69" s="6" t="s">
        <v>4676</v>
      </c>
      <c r="I69" s="2" t="s">
        <v>4274</v>
      </c>
      <c r="J69" s="9" t="s">
        <v>4275</v>
      </c>
      <c r="K69" s="6" t="s">
        <v>85</v>
      </c>
    </row>
    <row r="70" customFormat="false" ht="15" hidden="false" customHeight="false" outlineLevel="0" collapsed="false">
      <c r="A70" s="6" t="s">
        <v>130</v>
      </c>
      <c r="B70" s="7" t="s">
        <v>3514</v>
      </c>
      <c r="C70" s="6" t="s">
        <v>1583</v>
      </c>
      <c r="D70" s="6" t="s">
        <v>1445</v>
      </c>
      <c r="E70" s="2" t="s">
        <v>3517</v>
      </c>
      <c r="F70" s="6" t="s">
        <v>33</v>
      </c>
      <c r="G70" s="6" t="s">
        <v>4679</v>
      </c>
      <c r="H70" s="6" t="s">
        <v>4680</v>
      </c>
      <c r="I70" s="2" t="s">
        <v>3518</v>
      </c>
      <c r="J70" s="9" t="s">
        <v>3519</v>
      </c>
      <c r="K70" s="6" t="s">
        <v>85</v>
      </c>
    </row>
    <row r="71" customFormat="false" ht="15" hidden="false" customHeight="false" outlineLevel="0" collapsed="false">
      <c r="A71" s="6" t="s">
        <v>130</v>
      </c>
      <c r="B71" s="7" t="s">
        <v>2988</v>
      </c>
      <c r="C71" s="6" t="s">
        <v>1215</v>
      </c>
      <c r="D71" s="6" t="s">
        <v>1445</v>
      </c>
      <c r="E71" s="2" t="s">
        <v>4763</v>
      </c>
      <c r="F71" s="6" t="s">
        <v>33</v>
      </c>
      <c r="G71" s="6" t="s">
        <v>4679</v>
      </c>
      <c r="H71" s="6" t="s">
        <v>4680</v>
      </c>
      <c r="I71" s="2" t="s">
        <v>2992</v>
      </c>
      <c r="J71" s="9" t="s">
        <v>2994</v>
      </c>
      <c r="K71" s="6" t="s">
        <v>85</v>
      </c>
    </row>
    <row r="72" customFormat="false" ht="15" hidden="false" customHeight="false" outlineLevel="0" collapsed="false">
      <c r="A72" s="6" t="s">
        <v>178</v>
      </c>
      <c r="B72" s="7" t="s">
        <v>173</v>
      </c>
      <c r="C72" s="6" t="s">
        <v>153</v>
      </c>
      <c r="D72" s="6" t="s">
        <v>77</v>
      </c>
      <c r="E72" s="2" t="s">
        <v>1624</v>
      </c>
      <c r="F72" s="6" t="s">
        <v>33</v>
      </c>
      <c r="G72" s="6" t="s">
        <v>4679</v>
      </c>
      <c r="H72" s="6" t="s">
        <v>4680</v>
      </c>
      <c r="I72" s="2" t="s">
        <v>177</v>
      </c>
      <c r="J72" s="9" t="s">
        <v>180</v>
      </c>
      <c r="K72" s="6" t="s">
        <v>85</v>
      </c>
    </row>
    <row r="73" customFormat="false" ht="15" hidden="false" customHeight="false" outlineLevel="0" collapsed="false">
      <c r="A73" s="6" t="s">
        <v>178</v>
      </c>
      <c r="B73" s="7" t="s">
        <v>4655</v>
      </c>
      <c r="C73" s="6" t="s">
        <v>182</v>
      </c>
      <c r="D73" s="6" t="s">
        <v>287</v>
      </c>
      <c r="E73" s="2" t="s">
        <v>4764</v>
      </c>
      <c r="F73" s="6" t="s">
        <v>4765</v>
      </c>
      <c r="G73" s="6" t="s">
        <v>4726</v>
      </c>
      <c r="H73" s="6" t="s">
        <v>4697</v>
      </c>
      <c r="I73" s="2" t="s">
        <v>4766</v>
      </c>
      <c r="J73" s="9" t="s">
        <v>4665</v>
      </c>
      <c r="K73" s="6" t="s">
        <v>85</v>
      </c>
    </row>
    <row r="74" customFormat="false" ht="15" hidden="false" customHeight="false" outlineLevel="0" collapsed="false">
      <c r="A74" s="6" t="s">
        <v>178</v>
      </c>
      <c r="B74" s="7" t="s">
        <v>1643</v>
      </c>
      <c r="C74" s="6" t="s">
        <v>1644</v>
      </c>
      <c r="D74" s="6" t="s">
        <v>287</v>
      </c>
      <c r="E74" s="2" t="s">
        <v>4767</v>
      </c>
      <c r="F74" s="6" t="s">
        <v>4765</v>
      </c>
      <c r="G74" s="6" t="s">
        <v>4726</v>
      </c>
      <c r="H74" s="6" t="s">
        <v>4697</v>
      </c>
      <c r="I74" s="2" t="s">
        <v>4768</v>
      </c>
      <c r="J74" s="9" t="s">
        <v>1651</v>
      </c>
      <c r="K74" s="6" t="s">
        <v>85</v>
      </c>
    </row>
    <row r="75" customFormat="false" ht="46.25" hidden="false" customHeight="false" outlineLevel="0" collapsed="false">
      <c r="A75" s="6" t="s">
        <v>178</v>
      </c>
      <c r="B75" s="7" t="s">
        <v>4655</v>
      </c>
      <c r="C75" s="6" t="s">
        <v>182</v>
      </c>
      <c r="D75" s="6" t="s">
        <v>287</v>
      </c>
      <c r="E75" s="2" t="s">
        <v>4769</v>
      </c>
      <c r="F75" s="6" t="s">
        <v>4770</v>
      </c>
      <c r="G75" s="6" t="s">
        <v>4675</v>
      </c>
      <c r="H75" s="6" t="s">
        <v>4697</v>
      </c>
      <c r="I75" s="2" t="s">
        <v>4664</v>
      </c>
      <c r="J75" s="9" t="s">
        <v>4665</v>
      </c>
      <c r="K75" s="6" t="s">
        <v>85</v>
      </c>
    </row>
    <row r="76" customFormat="false" ht="15" hidden="false" customHeight="false" outlineLevel="0" collapsed="false">
      <c r="A76" s="6" t="s">
        <v>178</v>
      </c>
      <c r="B76" s="7" t="s">
        <v>3427</v>
      </c>
      <c r="C76" s="6" t="s">
        <v>1598</v>
      </c>
      <c r="D76" s="6" t="s">
        <v>287</v>
      </c>
      <c r="E76" s="2" t="s">
        <v>4771</v>
      </c>
      <c r="F76" s="6" t="s">
        <v>4752</v>
      </c>
      <c r="G76" s="6" t="s">
        <v>4675</v>
      </c>
      <c r="H76" s="6" t="s">
        <v>4676</v>
      </c>
      <c r="I76" s="2" t="s">
        <v>4772</v>
      </c>
      <c r="J76" s="9" t="s">
        <v>3431</v>
      </c>
      <c r="K76" s="6" t="s">
        <v>85</v>
      </c>
    </row>
    <row r="77" customFormat="false" ht="23.85" hidden="false" customHeight="false" outlineLevel="0" collapsed="false">
      <c r="A77" s="6" t="s">
        <v>178</v>
      </c>
      <c r="B77" s="7" t="s">
        <v>3441</v>
      </c>
      <c r="C77" s="6" t="s">
        <v>1583</v>
      </c>
      <c r="D77" s="6" t="s">
        <v>287</v>
      </c>
      <c r="E77" s="2" t="s">
        <v>4773</v>
      </c>
      <c r="F77" s="6" t="s">
        <v>4757</v>
      </c>
      <c r="G77" s="6" t="s">
        <v>4726</v>
      </c>
      <c r="H77" s="6" t="s">
        <v>4697</v>
      </c>
      <c r="I77" s="2" t="s">
        <v>4774</v>
      </c>
      <c r="J77" s="9" t="s">
        <v>3447</v>
      </c>
      <c r="K77" s="6" t="s">
        <v>85</v>
      </c>
    </row>
    <row r="78" customFormat="false" ht="23.85" hidden="false" customHeight="false" outlineLevel="0" collapsed="false">
      <c r="A78" s="6" t="s">
        <v>178</v>
      </c>
      <c r="B78" s="7" t="s">
        <v>1643</v>
      </c>
      <c r="C78" s="6" t="s">
        <v>1644</v>
      </c>
      <c r="D78" s="6" t="s">
        <v>287</v>
      </c>
      <c r="E78" s="2" t="s">
        <v>4775</v>
      </c>
      <c r="F78" s="6" t="s">
        <v>4776</v>
      </c>
      <c r="G78" s="6" t="s">
        <v>4675</v>
      </c>
      <c r="H78" s="6" t="s">
        <v>4697</v>
      </c>
      <c r="I78" s="2" t="s">
        <v>1649</v>
      </c>
      <c r="J78" s="9" t="s">
        <v>1651</v>
      </c>
      <c r="K78" s="6" t="s">
        <v>85</v>
      </c>
    </row>
    <row r="79" customFormat="false" ht="15" hidden="false" customHeight="false" outlineLevel="0" collapsed="false">
      <c r="A79" s="6" t="s">
        <v>178</v>
      </c>
      <c r="B79" s="7" t="s">
        <v>2512</v>
      </c>
      <c r="C79" s="6" t="s">
        <v>164</v>
      </c>
      <c r="D79" s="6" t="s">
        <v>287</v>
      </c>
      <c r="E79" s="2" t="s">
        <v>2515</v>
      </c>
      <c r="F79" s="6" t="s">
        <v>4777</v>
      </c>
      <c r="G79" s="6" t="s">
        <v>4675</v>
      </c>
      <c r="H79" s="6" t="s">
        <v>4682</v>
      </c>
      <c r="I79" s="2" t="s">
        <v>2516</v>
      </c>
      <c r="J79" s="9" t="s">
        <v>2517</v>
      </c>
      <c r="K79" s="6" t="s">
        <v>85</v>
      </c>
    </row>
    <row r="80" customFormat="false" ht="15" hidden="false" customHeight="false" outlineLevel="0" collapsed="false">
      <c r="A80" s="6" t="s">
        <v>178</v>
      </c>
      <c r="B80" s="7" t="s">
        <v>1623</v>
      </c>
      <c r="C80" s="6" t="s">
        <v>1583</v>
      </c>
      <c r="D80" s="6" t="s">
        <v>287</v>
      </c>
      <c r="E80" s="2" t="s">
        <v>1624</v>
      </c>
      <c r="F80" s="6" t="s">
        <v>33</v>
      </c>
      <c r="G80" s="6" t="s">
        <v>4679</v>
      </c>
      <c r="H80" s="6" t="s">
        <v>4680</v>
      </c>
      <c r="I80" s="2" t="s">
        <v>1625</v>
      </c>
      <c r="J80" s="9" t="s">
        <v>1626</v>
      </c>
      <c r="K80" s="6" t="s">
        <v>85</v>
      </c>
    </row>
    <row r="81" customFormat="false" ht="15" hidden="false" customHeight="false" outlineLevel="0" collapsed="false">
      <c r="A81" s="6" t="s">
        <v>178</v>
      </c>
      <c r="B81" s="7" t="s">
        <v>1732</v>
      </c>
      <c r="C81" s="6" t="s">
        <v>507</v>
      </c>
      <c r="D81" s="6" t="s">
        <v>287</v>
      </c>
      <c r="E81" s="2" t="s">
        <v>4778</v>
      </c>
      <c r="F81" s="6" t="s">
        <v>33</v>
      </c>
      <c r="G81" s="6" t="s">
        <v>4679</v>
      </c>
      <c r="H81" s="6" t="s">
        <v>4680</v>
      </c>
      <c r="I81" s="2" t="s">
        <v>1735</v>
      </c>
      <c r="J81" s="9" t="s">
        <v>1736</v>
      </c>
      <c r="K81" s="6" t="s">
        <v>85</v>
      </c>
    </row>
    <row r="82" customFormat="false" ht="15" hidden="false" customHeight="false" outlineLevel="0" collapsed="false">
      <c r="A82" s="6" t="s">
        <v>178</v>
      </c>
      <c r="B82" s="7" t="s">
        <v>696</v>
      </c>
      <c r="C82" s="6" t="s">
        <v>182</v>
      </c>
      <c r="D82" s="6" t="s">
        <v>287</v>
      </c>
      <c r="E82" s="2" t="s">
        <v>697</v>
      </c>
      <c r="F82" s="6" t="s">
        <v>33</v>
      </c>
      <c r="G82" s="6" t="s">
        <v>4679</v>
      </c>
      <c r="H82" s="6" t="s">
        <v>4680</v>
      </c>
      <c r="I82" s="2" t="s">
        <v>698</v>
      </c>
      <c r="J82" s="9" t="s">
        <v>699</v>
      </c>
      <c r="K82" s="6" t="s">
        <v>85</v>
      </c>
    </row>
    <row r="83" customFormat="false" ht="15" hidden="false" customHeight="false" outlineLevel="0" collapsed="false">
      <c r="A83" s="6" t="s">
        <v>178</v>
      </c>
      <c r="B83" s="7" t="s">
        <v>1142</v>
      </c>
      <c r="C83" s="6" t="s">
        <v>507</v>
      </c>
      <c r="D83" s="6" t="s">
        <v>287</v>
      </c>
      <c r="E83" s="2" t="s">
        <v>1143</v>
      </c>
      <c r="F83" s="6" t="s">
        <v>33</v>
      </c>
      <c r="G83" s="6" t="s">
        <v>4679</v>
      </c>
      <c r="H83" s="6" t="s">
        <v>4680</v>
      </c>
      <c r="I83" s="2" t="s">
        <v>1144</v>
      </c>
      <c r="J83" s="9" t="s">
        <v>1145</v>
      </c>
      <c r="K83" s="6" t="s">
        <v>85</v>
      </c>
    </row>
    <row r="84" customFormat="false" ht="15" hidden="false" customHeight="false" outlineLevel="0" collapsed="false">
      <c r="A84" s="6" t="s">
        <v>178</v>
      </c>
      <c r="B84" s="7" t="s">
        <v>3441</v>
      </c>
      <c r="C84" s="6" t="s">
        <v>1583</v>
      </c>
      <c r="D84" s="6" t="s">
        <v>287</v>
      </c>
      <c r="E84" s="2" t="s">
        <v>4779</v>
      </c>
      <c r="F84" s="6" t="s">
        <v>33</v>
      </c>
      <c r="G84" s="6" t="s">
        <v>4679</v>
      </c>
      <c r="H84" s="6" t="s">
        <v>4680</v>
      </c>
      <c r="I84" s="2" t="s">
        <v>4780</v>
      </c>
      <c r="J84" s="9" t="s">
        <v>3448</v>
      </c>
      <c r="K84" s="6" t="s">
        <v>85</v>
      </c>
    </row>
    <row r="85" customFormat="false" ht="15" hidden="false" customHeight="false" outlineLevel="0" collapsed="false">
      <c r="A85" s="6" t="s">
        <v>178</v>
      </c>
      <c r="B85" s="7" t="s">
        <v>1146</v>
      </c>
      <c r="C85" s="6" t="s">
        <v>507</v>
      </c>
      <c r="D85" s="6" t="s">
        <v>287</v>
      </c>
      <c r="E85" s="2" t="s">
        <v>4781</v>
      </c>
      <c r="F85" s="6" t="s">
        <v>33</v>
      </c>
      <c r="G85" s="6" t="s">
        <v>4679</v>
      </c>
      <c r="H85" s="6" t="s">
        <v>4680</v>
      </c>
      <c r="I85" s="2" t="s">
        <v>1149</v>
      </c>
      <c r="J85" s="9" t="s">
        <v>1150</v>
      </c>
      <c r="K85" s="6" t="s">
        <v>85</v>
      </c>
    </row>
    <row r="86" customFormat="false" ht="23.85" hidden="false" customHeight="false" outlineLevel="0" collapsed="false">
      <c r="A86" s="6" t="s">
        <v>178</v>
      </c>
      <c r="B86" s="7" t="s">
        <v>3894</v>
      </c>
      <c r="C86" s="6" t="s">
        <v>1127</v>
      </c>
      <c r="D86" s="6" t="s">
        <v>1445</v>
      </c>
      <c r="E86" s="2" t="s">
        <v>3898</v>
      </c>
      <c r="F86" s="6" t="s">
        <v>4782</v>
      </c>
      <c r="G86" s="6" t="s">
        <v>4675</v>
      </c>
      <c r="H86" s="6" t="s">
        <v>4680</v>
      </c>
      <c r="I86" s="2" t="s">
        <v>3899</v>
      </c>
      <c r="J86" s="9" t="s">
        <v>3900</v>
      </c>
      <c r="K86" s="6" t="s">
        <v>85</v>
      </c>
    </row>
    <row r="87" customFormat="false" ht="15" hidden="false" customHeight="false" outlineLevel="0" collapsed="false">
      <c r="A87" s="6" t="s">
        <v>178</v>
      </c>
      <c r="B87" s="7" t="s">
        <v>4232</v>
      </c>
      <c r="C87" s="6" t="s">
        <v>1215</v>
      </c>
      <c r="D87" s="6" t="s">
        <v>1445</v>
      </c>
      <c r="E87" s="2" t="s">
        <v>4783</v>
      </c>
      <c r="F87" s="6" t="s">
        <v>4725</v>
      </c>
      <c r="G87" s="6" t="s">
        <v>4675</v>
      </c>
      <c r="H87" s="6" t="s">
        <v>4697</v>
      </c>
      <c r="I87" s="2" t="s">
        <v>4784</v>
      </c>
      <c r="J87" s="9" t="s">
        <v>4785</v>
      </c>
      <c r="K87" s="6" t="s">
        <v>85</v>
      </c>
    </row>
    <row r="88" customFormat="false" ht="15" hidden="false" customHeight="false" outlineLevel="0" collapsed="false">
      <c r="A88" s="6" t="s">
        <v>178</v>
      </c>
      <c r="B88" s="7" t="s">
        <v>4599</v>
      </c>
      <c r="C88" s="6" t="s">
        <v>1215</v>
      </c>
      <c r="D88" s="6" t="s">
        <v>1445</v>
      </c>
      <c r="E88" s="2" t="s">
        <v>4786</v>
      </c>
      <c r="F88" s="6" t="s">
        <v>4787</v>
      </c>
      <c r="G88" s="6" t="s">
        <v>4675</v>
      </c>
      <c r="H88" s="6" t="s">
        <v>4684</v>
      </c>
      <c r="I88" s="2" t="s">
        <v>4602</v>
      </c>
      <c r="J88" s="9" t="s">
        <v>4603</v>
      </c>
      <c r="K88" s="6" t="s">
        <v>85</v>
      </c>
    </row>
    <row r="89" customFormat="false" ht="15" hidden="false" customHeight="false" outlineLevel="0" collapsed="false">
      <c r="A89" s="6" t="s">
        <v>178</v>
      </c>
      <c r="B89" s="7" t="s">
        <v>2628</v>
      </c>
      <c r="C89" s="6" t="s">
        <v>507</v>
      </c>
      <c r="D89" s="6" t="s">
        <v>1445</v>
      </c>
      <c r="E89" s="2" t="s">
        <v>1143</v>
      </c>
      <c r="F89" s="6" t="s">
        <v>33</v>
      </c>
      <c r="G89" s="6" t="s">
        <v>4679</v>
      </c>
      <c r="H89" s="6" t="s">
        <v>4680</v>
      </c>
      <c r="I89" s="2" t="s">
        <v>2630</v>
      </c>
      <c r="J89" s="9" t="s">
        <v>2631</v>
      </c>
      <c r="K89" s="6" t="s">
        <v>85</v>
      </c>
    </row>
    <row r="90" customFormat="false" ht="23.85" hidden="false" customHeight="false" outlineLevel="0" collapsed="false">
      <c r="A90" s="6" t="s">
        <v>308</v>
      </c>
      <c r="B90" s="7" t="s">
        <v>1040</v>
      </c>
      <c r="C90" s="6" t="s">
        <v>118</v>
      </c>
      <c r="D90" s="6" t="s">
        <v>77</v>
      </c>
      <c r="E90" s="2" t="s">
        <v>4788</v>
      </c>
      <c r="F90" s="6" t="s">
        <v>33</v>
      </c>
      <c r="G90" s="6" t="s">
        <v>4679</v>
      </c>
      <c r="H90" s="6" t="s">
        <v>4680</v>
      </c>
      <c r="I90" s="2" t="s">
        <v>4789</v>
      </c>
      <c r="J90" s="9" t="s">
        <v>1046</v>
      </c>
      <c r="K90" s="6" t="s">
        <v>85</v>
      </c>
    </row>
    <row r="91" customFormat="false" ht="15" hidden="false" customHeight="false" outlineLevel="0" collapsed="false">
      <c r="A91" s="6" t="s">
        <v>308</v>
      </c>
      <c r="B91" s="7" t="s">
        <v>3422</v>
      </c>
      <c r="C91" s="6" t="s">
        <v>1598</v>
      </c>
      <c r="D91" s="6" t="s">
        <v>287</v>
      </c>
      <c r="E91" s="2" t="s">
        <v>3424</v>
      </c>
      <c r="F91" s="6" t="s">
        <v>4765</v>
      </c>
      <c r="G91" s="6" t="s">
        <v>4790</v>
      </c>
      <c r="H91" s="6" t="s">
        <v>4697</v>
      </c>
      <c r="I91" s="2" t="s">
        <v>3425</v>
      </c>
      <c r="J91" s="9" t="s">
        <v>3426</v>
      </c>
      <c r="K91" s="6" t="s">
        <v>85</v>
      </c>
    </row>
    <row r="92" customFormat="false" ht="57.45" hidden="false" customHeight="false" outlineLevel="0" collapsed="false">
      <c r="A92" s="6" t="s">
        <v>308</v>
      </c>
      <c r="B92" s="7" t="s">
        <v>2474</v>
      </c>
      <c r="C92" s="6" t="s">
        <v>164</v>
      </c>
      <c r="D92" s="6" t="s">
        <v>287</v>
      </c>
      <c r="E92" s="2" t="s">
        <v>4791</v>
      </c>
      <c r="F92" s="6" t="s">
        <v>4752</v>
      </c>
      <c r="G92" s="6" t="s">
        <v>4675</v>
      </c>
      <c r="H92" s="6" t="s">
        <v>4680</v>
      </c>
      <c r="I92" s="2" t="s">
        <v>2479</v>
      </c>
      <c r="J92" s="9" t="s">
        <v>2480</v>
      </c>
      <c r="K92" s="6" t="s">
        <v>85</v>
      </c>
    </row>
    <row r="93" customFormat="false" ht="23.85" hidden="false" customHeight="false" outlineLevel="0" collapsed="false">
      <c r="A93" s="6" t="s">
        <v>308</v>
      </c>
      <c r="B93" s="7" t="s">
        <v>1643</v>
      </c>
      <c r="C93" s="6" t="s">
        <v>1644</v>
      </c>
      <c r="D93" s="6" t="s">
        <v>287</v>
      </c>
      <c r="E93" s="2" t="s">
        <v>4792</v>
      </c>
      <c r="F93" s="6" t="s">
        <v>4793</v>
      </c>
      <c r="G93" s="6" t="s">
        <v>4679</v>
      </c>
      <c r="H93" s="6" t="s">
        <v>4706</v>
      </c>
      <c r="I93" s="2" t="s">
        <v>4794</v>
      </c>
      <c r="J93" s="9" t="s">
        <v>4795</v>
      </c>
      <c r="K93" s="6" t="s">
        <v>106</v>
      </c>
    </row>
    <row r="94" customFormat="false" ht="15" hidden="false" customHeight="false" outlineLevel="0" collapsed="false">
      <c r="A94" s="6" t="s">
        <v>308</v>
      </c>
      <c r="B94" s="7" t="s">
        <v>1084</v>
      </c>
      <c r="C94" s="6" t="s">
        <v>1085</v>
      </c>
      <c r="D94" s="6" t="s">
        <v>287</v>
      </c>
      <c r="E94" s="2" t="s">
        <v>4796</v>
      </c>
      <c r="F94" s="6" t="s">
        <v>33</v>
      </c>
      <c r="G94" s="6" t="s">
        <v>4679</v>
      </c>
      <c r="H94" s="6" t="s">
        <v>4682</v>
      </c>
      <c r="I94" s="2" t="s">
        <v>1087</v>
      </c>
      <c r="J94" s="9" t="s">
        <v>1088</v>
      </c>
      <c r="K94" s="6" t="s">
        <v>85</v>
      </c>
    </row>
    <row r="95" customFormat="false" ht="23.85" hidden="false" customHeight="false" outlineLevel="0" collapsed="false">
      <c r="A95" s="6" t="s">
        <v>308</v>
      </c>
      <c r="B95" s="7" t="s">
        <v>1098</v>
      </c>
      <c r="C95" s="6" t="s">
        <v>507</v>
      </c>
      <c r="D95" s="6" t="s">
        <v>287</v>
      </c>
      <c r="E95" s="2" t="s">
        <v>4797</v>
      </c>
      <c r="F95" s="6" t="s">
        <v>33</v>
      </c>
      <c r="G95" s="6" t="s">
        <v>4718</v>
      </c>
      <c r="H95" s="6" t="s">
        <v>4684</v>
      </c>
      <c r="I95" s="2" t="s">
        <v>1102</v>
      </c>
      <c r="J95" s="9" t="s">
        <v>1104</v>
      </c>
      <c r="K95" s="6" t="s">
        <v>106</v>
      </c>
    </row>
    <row r="96" customFormat="false" ht="15" hidden="false" customHeight="false" outlineLevel="0" collapsed="false">
      <c r="A96" s="6" t="s">
        <v>308</v>
      </c>
      <c r="B96" s="7" t="s">
        <v>433</v>
      </c>
      <c r="C96" s="6" t="s">
        <v>118</v>
      </c>
      <c r="D96" s="6" t="s">
        <v>287</v>
      </c>
      <c r="E96" s="2" t="s">
        <v>434</v>
      </c>
      <c r="F96" s="6" t="s">
        <v>33</v>
      </c>
      <c r="G96" s="6" t="s">
        <v>4679</v>
      </c>
      <c r="H96" s="6" t="s">
        <v>4680</v>
      </c>
      <c r="I96" s="2" t="s">
        <v>435</v>
      </c>
      <c r="J96" s="9" t="s">
        <v>436</v>
      </c>
      <c r="K96" s="6" t="s">
        <v>85</v>
      </c>
    </row>
    <row r="97" customFormat="false" ht="23.85" hidden="false" customHeight="false" outlineLevel="0" collapsed="false">
      <c r="A97" s="6" t="s">
        <v>308</v>
      </c>
      <c r="B97" s="7" t="s">
        <v>1672</v>
      </c>
      <c r="C97" s="6" t="s">
        <v>1215</v>
      </c>
      <c r="D97" s="6" t="s">
        <v>287</v>
      </c>
      <c r="E97" s="2" t="s">
        <v>1676</v>
      </c>
      <c r="F97" s="6" t="s">
        <v>33</v>
      </c>
      <c r="G97" s="6" t="s">
        <v>4718</v>
      </c>
      <c r="H97" s="6" t="s">
        <v>4697</v>
      </c>
      <c r="I97" s="2" t="s">
        <v>1677</v>
      </c>
      <c r="J97" s="9" t="s">
        <v>1678</v>
      </c>
      <c r="K97" s="6" t="s">
        <v>85</v>
      </c>
    </row>
    <row r="98" customFormat="false" ht="23.85" hidden="false" customHeight="false" outlineLevel="0" collapsed="false">
      <c r="A98" s="6" t="s">
        <v>308</v>
      </c>
      <c r="B98" s="7" t="s">
        <v>3031</v>
      </c>
      <c r="C98" s="6" t="s">
        <v>1215</v>
      </c>
      <c r="D98" s="6" t="s">
        <v>1445</v>
      </c>
      <c r="E98" s="2" t="s">
        <v>3033</v>
      </c>
      <c r="F98" s="6" t="s">
        <v>4798</v>
      </c>
      <c r="G98" s="6" t="s">
        <v>4718</v>
      </c>
      <c r="H98" s="6" t="s">
        <v>4684</v>
      </c>
      <c r="I98" s="2" t="s">
        <v>3034</v>
      </c>
      <c r="J98" s="9" t="s">
        <v>3035</v>
      </c>
      <c r="K98" s="6" t="s">
        <v>85</v>
      </c>
    </row>
    <row r="99" customFormat="false" ht="23.85" hidden="false" customHeight="false" outlineLevel="0" collapsed="false">
      <c r="A99" s="6" t="s">
        <v>308</v>
      </c>
      <c r="B99" s="7" t="s">
        <v>3760</v>
      </c>
      <c r="C99" s="6" t="s">
        <v>182</v>
      </c>
      <c r="D99" s="6" t="s">
        <v>1445</v>
      </c>
      <c r="E99" s="2" t="s">
        <v>4799</v>
      </c>
      <c r="F99" s="6" t="s">
        <v>4798</v>
      </c>
      <c r="G99" s="6" t="s">
        <v>4679</v>
      </c>
      <c r="H99" s="6" t="s">
        <v>4680</v>
      </c>
      <c r="I99" s="2" t="s">
        <v>4800</v>
      </c>
      <c r="J99" s="9" t="s">
        <v>3766</v>
      </c>
      <c r="K99" s="6" t="s">
        <v>85</v>
      </c>
    </row>
    <row r="100" customFormat="false" ht="23.85" hidden="false" customHeight="false" outlineLevel="0" collapsed="false">
      <c r="A100" s="6" t="s">
        <v>308</v>
      </c>
      <c r="B100" s="7" t="s">
        <v>4593</v>
      </c>
      <c r="C100" s="6" t="s">
        <v>1598</v>
      </c>
      <c r="D100" s="6" t="s">
        <v>1445</v>
      </c>
      <c r="E100" s="2" t="s">
        <v>4596</v>
      </c>
      <c r="F100" s="6" t="s">
        <v>4765</v>
      </c>
      <c r="G100" s="6" t="s">
        <v>4675</v>
      </c>
      <c r="H100" s="6" t="s">
        <v>4697</v>
      </c>
      <c r="I100" s="2" t="s">
        <v>4597</v>
      </c>
      <c r="J100" s="9" t="s">
        <v>4598</v>
      </c>
      <c r="K100" s="6" t="s">
        <v>85</v>
      </c>
    </row>
    <row r="101" customFormat="false" ht="15" hidden="false" customHeight="false" outlineLevel="0" collapsed="false">
      <c r="A101" s="6" t="s">
        <v>308</v>
      </c>
      <c r="B101" s="7" t="s">
        <v>4206</v>
      </c>
      <c r="C101" s="6" t="s">
        <v>1598</v>
      </c>
      <c r="D101" s="6" t="s">
        <v>1445</v>
      </c>
      <c r="E101" s="2" t="s">
        <v>4801</v>
      </c>
      <c r="F101" s="6" t="s">
        <v>4722</v>
      </c>
      <c r="G101" s="6" t="s">
        <v>4675</v>
      </c>
      <c r="H101" s="6" t="s">
        <v>4680</v>
      </c>
      <c r="I101" s="2" t="s">
        <v>4802</v>
      </c>
      <c r="J101" s="9" t="s">
        <v>4212</v>
      </c>
      <c r="K101" s="6" t="s">
        <v>85</v>
      </c>
    </row>
    <row r="102" customFormat="false" ht="15" hidden="false" customHeight="false" outlineLevel="0" collapsed="false">
      <c r="A102" s="6" t="s">
        <v>308</v>
      </c>
      <c r="B102" s="7" t="s">
        <v>4459</v>
      </c>
      <c r="C102" s="6" t="s">
        <v>1583</v>
      </c>
      <c r="D102" s="6" t="s">
        <v>1445</v>
      </c>
      <c r="E102" s="2" t="s">
        <v>4462</v>
      </c>
      <c r="F102" s="6" t="s">
        <v>4754</v>
      </c>
      <c r="G102" s="6" t="s">
        <v>4675</v>
      </c>
      <c r="H102" s="6" t="s">
        <v>4706</v>
      </c>
      <c r="I102" s="2" t="s">
        <v>4463</v>
      </c>
      <c r="J102" s="9" t="s">
        <v>4464</v>
      </c>
      <c r="K102" s="6" t="s">
        <v>85</v>
      </c>
    </row>
    <row r="103" customFormat="false" ht="23.85" hidden="false" customHeight="false" outlineLevel="0" collapsed="false">
      <c r="A103" s="6" t="s">
        <v>308</v>
      </c>
      <c r="B103" s="7" t="s">
        <v>3760</v>
      </c>
      <c r="C103" s="6" t="s">
        <v>182</v>
      </c>
      <c r="D103" s="6" t="s">
        <v>1445</v>
      </c>
      <c r="E103" s="2" t="s">
        <v>4803</v>
      </c>
      <c r="F103" s="6" t="s">
        <v>4804</v>
      </c>
      <c r="G103" s="6" t="s">
        <v>4675</v>
      </c>
      <c r="H103" s="6" t="s">
        <v>4680</v>
      </c>
      <c r="I103" s="2" t="s">
        <v>3765</v>
      </c>
      <c r="J103" s="9" t="s">
        <v>3766</v>
      </c>
      <c r="K103" s="6" t="s">
        <v>85</v>
      </c>
    </row>
    <row r="104" customFormat="false" ht="15" hidden="false" customHeight="false" outlineLevel="0" collapsed="false">
      <c r="A104" s="6" t="s">
        <v>308</v>
      </c>
      <c r="B104" s="7" t="s">
        <v>2622</v>
      </c>
      <c r="C104" s="6" t="s">
        <v>507</v>
      </c>
      <c r="D104" s="6" t="s">
        <v>1445</v>
      </c>
      <c r="E104" s="2" t="s">
        <v>4805</v>
      </c>
      <c r="F104" s="6" t="s">
        <v>33</v>
      </c>
      <c r="G104" s="6" t="s">
        <v>4679</v>
      </c>
      <c r="H104" s="6" t="s">
        <v>4680</v>
      </c>
      <c r="I104" s="2" t="s">
        <v>2625</v>
      </c>
      <c r="J104" s="9" t="s">
        <v>2627</v>
      </c>
      <c r="K104" s="6" t="s">
        <v>85</v>
      </c>
    </row>
    <row r="105" customFormat="false" ht="23.85" hidden="false" customHeight="false" outlineLevel="0" collapsed="false">
      <c r="A105" s="6" t="s">
        <v>281</v>
      </c>
      <c r="B105" s="7" t="s">
        <v>277</v>
      </c>
      <c r="C105" s="6" t="s">
        <v>118</v>
      </c>
      <c r="D105" s="6" t="s">
        <v>77</v>
      </c>
      <c r="E105" s="2" t="s">
        <v>279</v>
      </c>
      <c r="F105" s="6" t="s">
        <v>4806</v>
      </c>
      <c r="G105" s="6" t="s">
        <v>4675</v>
      </c>
      <c r="H105" s="6" t="s">
        <v>4715</v>
      </c>
      <c r="I105" s="2" t="s">
        <v>280</v>
      </c>
      <c r="J105" s="9" t="s">
        <v>282</v>
      </c>
      <c r="K105" s="6" t="s">
        <v>85</v>
      </c>
    </row>
    <row r="106" customFormat="false" ht="23.85" hidden="false" customHeight="false" outlineLevel="0" collapsed="false">
      <c r="A106" s="6" t="s">
        <v>281</v>
      </c>
      <c r="B106" s="7" t="s">
        <v>2157</v>
      </c>
      <c r="C106" s="6" t="s">
        <v>239</v>
      </c>
      <c r="D106" s="6" t="s">
        <v>287</v>
      </c>
      <c r="E106" s="2" t="s">
        <v>2159</v>
      </c>
      <c r="F106" s="6" t="s">
        <v>4807</v>
      </c>
      <c r="G106" s="6" t="s">
        <v>4675</v>
      </c>
      <c r="H106" s="6" t="s">
        <v>4682</v>
      </c>
      <c r="I106" s="2" t="s">
        <v>2160</v>
      </c>
      <c r="J106" s="9" t="s">
        <v>2161</v>
      </c>
      <c r="K106" s="6" t="s">
        <v>85</v>
      </c>
    </row>
    <row r="107" customFormat="false" ht="15" hidden="false" customHeight="false" outlineLevel="0" collapsed="false">
      <c r="A107" s="6" t="s">
        <v>281</v>
      </c>
      <c r="B107" s="7" t="s">
        <v>2216</v>
      </c>
      <c r="C107" s="6" t="s">
        <v>239</v>
      </c>
      <c r="D107" s="6" t="s">
        <v>287</v>
      </c>
      <c r="E107" s="2" t="s">
        <v>2219</v>
      </c>
      <c r="F107" s="6" t="s">
        <v>4705</v>
      </c>
      <c r="G107" s="6" t="s">
        <v>4675</v>
      </c>
      <c r="H107" s="6" t="s">
        <v>4676</v>
      </c>
      <c r="I107" s="2" t="s">
        <v>2220</v>
      </c>
      <c r="J107" s="9" t="s">
        <v>2221</v>
      </c>
      <c r="K107" s="6" t="s">
        <v>85</v>
      </c>
    </row>
    <row r="108" customFormat="false" ht="15" hidden="false" customHeight="false" outlineLevel="0" collapsed="false">
      <c r="A108" s="6" t="s">
        <v>281</v>
      </c>
      <c r="B108" s="7" t="s">
        <v>1592</v>
      </c>
      <c r="C108" s="6" t="s">
        <v>1215</v>
      </c>
      <c r="D108" s="6" t="s">
        <v>287</v>
      </c>
      <c r="E108" s="2" t="s">
        <v>1594</v>
      </c>
      <c r="F108" s="6" t="s">
        <v>33</v>
      </c>
      <c r="G108" s="6" t="s">
        <v>4679</v>
      </c>
      <c r="H108" s="6" t="s">
        <v>4680</v>
      </c>
      <c r="I108" s="2" t="s">
        <v>1595</v>
      </c>
      <c r="J108" s="9" t="s">
        <v>1596</v>
      </c>
      <c r="K108" s="6" t="s">
        <v>85</v>
      </c>
    </row>
    <row r="109" customFormat="false" ht="23.85" hidden="false" customHeight="false" outlineLevel="0" collapsed="false">
      <c r="A109" s="6" t="s">
        <v>281</v>
      </c>
      <c r="B109" s="7" t="s">
        <v>4294</v>
      </c>
      <c r="C109" s="6" t="s">
        <v>1598</v>
      </c>
      <c r="D109" s="6" t="s">
        <v>1445</v>
      </c>
      <c r="E109" s="2" t="s">
        <v>4808</v>
      </c>
      <c r="F109" s="6" t="s">
        <v>4809</v>
      </c>
      <c r="G109" s="6" t="s">
        <v>4726</v>
      </c>
      <c r="H109" s="6" t="s">
        <v>4684</v>
      </c>
      <c r="I109" s="2" t="s">
        <v>4810</v>
      </c>
      <c r="J109" s="9" t="s">
        <v>4298</v>
      </c>
      <c r="K109" s="6" t="s">
        <v>85</v>
      </c>
    </row>
    <row r="110" customFormat="false" ht="15" hidden="false" customHeight="false" outlineLevel="0" collapsed="false">
      <c r="A110" s="6" t="s">
        <v>281</v>
      </c>
      <c r="B110" s="7" t="s">
        <v>4613</v>
      </c>
      <c r="C110" s="6" t="s">
        <v>2284</v>
      </c>
      <c r="D110" s="6" t="s">
        <v>1445</v>
      </c>
      <c r="E110" s="2" t="s">
        <v>4811</v>
      </c>
      <c r="F110" s="6" t="s">
        <v>4723</v>
      </c>
      <c r="G110" s="6" t="s">
        <v>4675</v>
      </c>
      <c r="H110" s="6" t="s">
        <v>4697</v>
      </c>
      <c r="I110" s="2" t="s">
        <v>4616</v>
      </c>
      <c r="J110" s="9" t="s">
        <v>4617</v>
      </c>
      <c r="K110" s="6" t="s">
        <v>85</v>
      </c>
    </row>
    <row r="111" customFormat="false" ht="15" hidden="false" customHeight="false" outlineLevel="0" collapsed="false">
      <c r="A111" s="6" t="s">
        <v>281</v>
      </c>
      <c r="B111" s="7" t="s">
        <v>4294</v>
      </c>
      <c r="C111" s="6" t="s">
        <v>1598</v>
      </c>
      <c r="D111" s="6" t="s">
        <v>1445</v>
      </c>
      <c r="E111" s="2" t="s">
        <v>4812</v>
      </c>
      <c r="F111" s="6" t="s">
        <v>4813</v>
      </c>
      <c r="G111" s="6" t="s">
        <v>4675</v>
      </c>
      <c r="H111" s="6" t="s">
        <v>4684</v>
      </c>
      <c r="I111" s="2" t="s">
        <v>4297</v>
      </c>
      <c r="J111" s="9" t="s">
        <v>4298</v>
      </c>
      <c r="K111" s="6" t="s">
        <v>85</v>
      </c>
    </row>
    <row r="112" customFormat="false" ht="15" hidden="false" customHeight="false" outlineLevel="0" collapsed="false">
      <c r="A112" s="6" t="s">
        <v>281</v>
      </c>
      <c r="B112" s="7" t="s">
        <v>3637</v>
      </c>
      <c r="C112" s="6" t="s">
        <v>153</v>
      </c>
      <c r="D112" s="6" t="s">
        <v>1445</v>
      </c>
      <c r="E112" s="2" t="s">
        <v>4814</v>
      </c>
      <c r="F112" s="6" t="s">
        <v>4815</v>
      </c>
      <c r="G112" s="6" t="s">
        <v>4675</v>
      </c>
      <c r="H112" s="6" t="s">
        <v>4680</v>
      </c>
      <c r="I112" s="2" t="s">
        <v>3641</v>
      </c>
      <c r="J112" s="9" t="s">
        <v>3642</v>
      </c>
      <c r="K112" s="6" t="s">
        <v>85</v>
      </c>
    </row>
    <row r="113" customFormat="false" ht="15" hidden="false" customHeight="false" outlineLevel="0" collapsed="false">
      <c r="A113" s="6" t="s">
        <v>461</v>
      </c>
      <c r="B113" s="7" t="s">
        <v>2421</v>
      </c>
      <c r="C113" s="6" t="s">
        <v>182</v>
      </c>
      <c r="D113" s="6" t="s">
        <v>287</v>
      </c>
      <c r="E113" s="2" t="s">
        <v>2423</v>
      </c>
      <c r="F113" s="6" t="s">
        <v>4816</v>
      </c>
      <c r="G113" s="6" t="s">
        <v>4675</v>
      </c>
      <c r="H113" s="6" t="s">
        <v>4684</v>
      </c>
      <c r="I113" s="2" t="s">
        <v>2424</v>
      </c>
      <c r="J113" s="9" t="s">
        <v>2425</v>
      </c>
      <c r="K113" s="6" t="s">
        <v>85</v>
      </c>
    </row>
    <row r="114" customFormat="false" ht="15" hidden="false" customHeight="false" outlineLevel="0" collapsed="false">
      <c r="A114" s="6" t="s">
        <v>461</v>
      </c>
      <c r="B114" s="7" t="s">
        <v>1597</v>
      </c>
      <c r="C114" s="6" t="s">
        <v>1598</v>
      </c>
      <c r="D114" s="6" t="s">
        <v>287</v>
      </c>
      <c r="E114" s="2" t="s">
        <v>1600</v>
      </c>
      <c r="F114" s="6" t="s">
        <v>33</v>
      </c>
      <c r="G114" s="6" t="s">
        <v>4679</v>
      </c>
      <c r="H114" s="6" t="s">
        <v>4680</v>
      </c>
      <c r="I114" s="2" t="s">
        <v>1601</v>
      </c>
      <c r="J114" s="9" t="s">
        <v>1602</v>
      </c>
      <c r="K114" s="6" t="s">
        <v>85</v>
      </c>
    </row>
    <row r="115" customFormat="false" ht="15" hidden="false" customHeight="false" outlineLevel="0" collapsed="false">
      <c r="A115" s="6" t="s">
        <v>461</v>
      </c>
      <c r="B115" s="7" t="s">
        <v>1313</v>
      </c>
      <c r="C115" s="6" t="s">
        <v>239</v>
      </c>
      <c r="D115" s="6" t="s">
        <v>287</v>
      </c>
      <c r="E115" s="2" t="s">
        <v>1315</v>
      </c>
      <c r="F115" s="6" t="s">
        <v>33</v>
      </c>
      <c r="G115" s="6" t="s">
        <v>4679</v>
      </c>
      <c r="H115" s="6" t="s">
        <v>4680</v>
      </c>
      <c r="I115" s="2" t="s">
        <v>1316</v>
      </c>
      <c r="J115" s="9" t="s">
        <v>1317</v>
      </c>
      <c r="K115" s="6" t="s">
        <v>85</v>
      </c>
    </row>
    <row r="116" customFormat="false" ht="23.85" hidden="false" customHeight="false" outlineLevel="0" collapsed="false">
      <c r="A116" s="6" t="s">
        <v>461</v>
      </c>
      <c r="B116" s="7" t="s">
        <v>3530</v>
      </c>
      <c r="C116" s="6" t="s">
        <v>1583</v>
      </c>
      <c r="D116" s="6" t="s">
        <v>1445</v>
      </c>
      <c r="E116" s="2" t="s">
        <v>3533</v>
      </c>
      <c r="F116" s="6" t="s">
        <v>4817</v>
      </c>
      <c r="G116" s="6" t="s">
        <v>4675</v>
      </c>
      <c r="H116" s="6" t="s">
        <v>4680</v>
      </c>
      <c r="I116" s="2" t="s">
        <v>3534</v>
      </c>
      <c r="J116" s="9" t="s">
        <v>3535</v>
      </c>
      <c r="K116" s="6" t="s">
        <v>85</v>
      </c>
    </row>
    <row r="117" customFormat="false" ht="15" hidden="false" customHeight="false" outlineLevel="0" collapsed="false">
      <c r="A117" s="6" t="s">
        <v>461</v>
      </c>
      <c r="B117" s="7" t="s">
        <v>3837</v>
      </c>
      <c r="C117" s="6" t="s">
        <v>1598</v>
      </c>
      <c r="D117" s="6" t="s">
        <v>1445</v>
      </c>
      <c r="E117" s="2" t="s">
        <v>4818</v>
      </c>
      <c r="F117" s="6" t="s">
        <v>33</v>
      </c>
      <c r="G117" s="6" t="s">
        <v>4679</v>
      </c>
      <c r="H117" s="6" t="s">
        <v>4680</v>
      </c>
      <c r="I117" s="2" t="s">
        <v>3840</v>
      </c>
      <c r="J117" s="9" t="s">
        <v>3841</v>
      </c>
      <c r="K117" s="6" t="s">
        <v>85</v>
      </c>
    </row>
    <row r="118" customFormat="false" ht="23.85" hidden="false" customHeight="false" outlineLevel="0" collapsed="false">
      <c r="A118" s="6" t="s">
        <v>123</v>
      </c>
      <c r="B118" s="7" t="s">
        <v>152</v>
      </c>
      <c r="C118" s="6" t="s">
        <v>153</v>
      </c>
      <c r="D118" s="6" t="s">
        <v>77</v>
      </c>
      <c r="E118" s="2" t="s">
        <v>4819</v>
      </c>
      <c r="F118" s="6" t="s">
        <v>4757</v>
      </c>
      <c r="G118" s="6" t="s">
        <v>4790</v>
      </c>
      <c r="H118" s="6" t="s">
        <v>4697</v>
      </c>
      <c r="I118" s="2" t="s">
        <v>4820</v>
      </c>
      <c r="J118" s="9" t="s">
        <v>161</v>
      </c>
      <c r="K118" s="6" t="s">
        <v>85</v>
      </c>
    </row>
    <row r="119" customFormat="false" ht="23.85" hidden="false" customHeight="false" outlineLevel="0" collapsed="false">
      <c r="A119" s="6" t="s">
        <v>123</v>
      </c>
      <c r="B119" s="7" t="s">
        <v>1609</v>
      </c>
      <c r="C119" s="6" t="s">
        <v>1583</v>
      </c>
      <c r="D119" s="6" t="s">
        <v>287</v>
      </c>
      <c r="E119" s="2" t="s">
        <v>1612</v>
      </c>
      <c r="F119" s="6" t="s">
        <v>33</v>
      </c>
      <c r="G119" s="6" t="s">
        <v>4679</v>
      </c>
      <c r="H119" s="6" t="s">
        <v>4680</v>
      </c>
      <c r="I119" s="2" t="s">
        <v>1613</v>
      </c>
      <c r="J119" s="9" t="s">
        <v>1614</v>
      </c>
      <c r="K119" s="6" t="s">
        <v>85</v>
      </c>
    </row>
    <row r="120" customFormat="false" ht="15" hidden="false" customHeight="false" outlineLevel="0" collapsed="false">
      <c r="A120" s="6" t="s">
        <v>123</v>
      </c>
      <c r="B120" s="7" t="s">
        <v>2999</v>
      </c>
      <c r="C120" s="6" t="s">
        <v>3000</v>
      </c>
      <c r="D120" s="6" t="s">
        <v>1445</v>
      </c>
      <c r="E120" s="2" t="s">
        <v>4821</v>
      </c>
      <c r="F120" s="6" t="s">
        <v>4696</v>
      </c>
      <c r="G120" s="6" t="s">
        <v>4726</v>
      </c>
      <c r="H120" s="6" t="s">
        <v>4697</v>
      </c>
      <c r="I120" s="2" t="s">
        <v>4822</v>
      </c>
      <c r="J120" s="9" t="s">
        <v>3007</v>
      </c>
      <c r="K120" s="6" t="s">
        <v>85</v>
      </c>
    </row>
    <row r="121" customFormat="false" ht="15" hidden="false" customHeight="false" outlineLevel="0" collapsed="false">
      <c r="A121" s="6" t="s">
        <v>123</v>
      </c>
      <c r="B121" s="7" t="s">
        <v>2999</v>
      </c>
      <c r="C121" s="6" t="s">
        <v>3000</v>
      </c>
      <c r="D121" s="6" t="s">
        <v>1445</v>
      </c>
      <c r="E121" s="2" t="s">
        <v>4823</v>
      </c>
      <c r="F121" s="6" t="s">
        <v>4770</v>
      </c>
      <c r="G121" s="6" t="s">
        <v>4675</v>
      </c>
      <c r="H121" s="6" t="s">
        <v>4697</v>
      </c>
      <c r="I121" s="2" t="s">
        <v>4824</v>
      </c>
      <c r="J121" s="9" t="s">
        <v>3007</v>
      </c>
      <c r="K121" s="6" t="s">
        <v>85</v>
      </c>
    </row>
    <row r="122" customFormat="false" ht="23.85" hidden="false" customHeight="false" outlineLevel="0" collapsed="false">
      <c r="A122" s="6" t="s">
        <v>123</v>
      </c>
      <c r="B122" s="7" t="s">
        <v>3875</v>
      </c>
      <c r="C122" s="6" t="s">
        <v>507</v>
      </c>
      <c r="D122" s="6" t="s">
        <v>1445</v>
      </c>
      <c r="E122" s="2" t="s">
        <v>4825</v>
      </c>
      <c r="F122" s="6" t="s">
        <v>4826</v>
      </c>
      <c r="G122" s="6" t="s">
        <v>4675</v>
      </c>
      <c r="H122" s="6" t="s">
        <v>4684</v>
      </c>
      <c r="I122" s="2" t="s">
        <v>4827</v>
      </c>
      <c r="J122" s="9" t="s">
        <v>3881</v>
      </c>
      <c r="K122" s="6" t="s">
        <v>85</v>
      </c>
    </row>
    <row r="123" customFormat="false" ht="23.85" hidden="false" customHeight="false" outlineLevel="0" collapsed="false">
      <c r="A123" s="6" t="s">
        <v>389</v>
      </c>
      <c r="B123" s="7" t="s">
        <v>1522</v>
      </c>
      <c r="C123" s="6" t="s">
        <v>153</v>
      </c>
      <c r="D123" s="6" t="s">
        <v>77</v>
      </c>
      <c r="E123" s="2" t="s">
        <v>4828</v>
      </c>
      <c r="F123" s="6" t="s">
        <v>4829</v>
      </c>
      <c r="G123" s="6" t="s">
        <v>4726</v>
      </c>
      <c r="H123" s="6" t="s">
        <v>4680</v>
      </c>
      <c r="I123" s="2" t="s">
        <v>4830</v>
      </c>
      <c r="J123" s="9" t="s">
        <v>1530</v>
      </c>
      <c r="K123" s="6" t="s">
        <v>98</v>
      </c>
    </row>
    <row r="124" customFormat="false" ht="23.85" hidden="false" customHeight="false" outlineLevel="0" collapsed="false">
      <c r="A124" s="6" t="s">
        <v>389</v>
      </c>
      <c r="B124" s="7" t="s">
        <v>3760</v>
      </c>
      <c r="C124" s="6" t="s">
        <v>182</v>
      </c>
      <c r="D124" s="6" t="s">
        <v>1445</v>
      </c>
      <c r="E124" s="2" t="s">
        <v>4831</v>
      </c>
      <c r="F124" s="6" t="s">
        <v>4832</v>
      </c>
      <c r="G124" s="6" t="s">
        <v>4726</v>
      </c>
      <c r="H124" s="6" t="s">
        <v>4680</v>
      </c>
      <c r="I124" s="2" t="s">
        <v>4833</v>
      </c>
      <c r="J124" s="9" t="s">
        <v>4834</v>
      </c>
      <c r="K124" s="6" t="s">
        <v>98</v>
      </c>
    </row>
    <row r="125" customFormat="false" ht="23.85" hidden="false" customHeight="false" outlineLevel="0" collapsed="false">
      <c r="A125" s="6" t="s">
        <v>504</v>
      </c>
      <c r="B125" s="7" t="s">
        <v>645</v>
      </c>
      <c r="C125" s="6" t="s">
        <v>164</v>
      </c>
      <c r="D125" s="6" t="s">
        <v>287</v>
      </c>
      <c r="E125" s="2" t="s">
        <v>4835</v>
      </c>
      <c r="F125" s="6" t="s">
        <v>33</v>
      </c>
      <c r="G125" s="6" t="s">
        <v>4718</v>
      </c>
      <c r="H125" s="6" t="s">
        <v>4684</v>
      </c>
      <c r="I125" s="2" t="s">
        <v>4836</v>
      </c>
      <c r="J125" s="9" t="s">
        <v>721</v>
      </c>
      <c r="K125" s="6" t="s">
        <v>98</v>
      </c>
    </row>
    <row r="126" customFormat="false" ht="23.85" hidden="false" customHeight="false" outlineLevel="0" collapsed="false">
      <c r="A126" s="6" t="s">
        <v>1431</v>
      </c>
      <c r="B126" s="7" t="s">
        <v>1120</v>
      </c>
      <c r="C126" s="6" t="s">
        <v>507</v>
      </c>
      <c r="D126" s="6" t="s">
        <v>287</v>
      </c>
      <c r="E126" s="2" t="s">
        <v>4837</v>
      </c>
      <c r="F126" s="6" t="s">
        <v>4765</v>
      </c>
      <c r="G126" s="6" t="s">
        <v>4718</v>
      </c>
      <c r="H126" s="6" t="s">
        <v>4697</v>
      </c>
      <c r="I126" s="2" t="s">
        <v>4838</v>
      </c>
      <c r="J126" s="9" t="s">
        <v>1124</v>
      </c>
      <c r="K126" s="6" t="s">
        <v>106</v>
      </c>
    </row>
  </sheetData>
  <autoFilter ref="A1:K126"/>
  <hyperlinks>
    <hyperlink ref="J2" r:id="rId1" display="https://www.afaqs.com/news/newbizwins/innocean-india-wins-digital-and-social-mandate-for-gianchand-single-malt-12539501"/>
    <hyperlink ref="J3" r:id="rId2" display="https://www.storyboard18.com/brand-makers/kunal-sharma-named-sazerac-india-managing-director-ws-l-110645.htm"/>
    <hyperlink ref="J4" r:id="rId3" display="https://www.manifest-media.in/marketing/240926/natural-diamond-council-relaunches-as-the-diamond-collective-with-new.html"/>
    <hyperlink ref="J5" r:id="rId4" display="https://www.campaignindia.in/article/pitch-update-coca-cola-mastercard-vinfast-sleepwell-and-more/42wq85ph1ex6qsf9ngpgb9ahxk"/>
    <hyperlink ref="J6" r:id="rId5" display="https://www.afaqs.com/news/newbizwins/pollinate-labs-wins-the-rebranding-mandate-for-4700bc-12506207"/>
    <hyperlink ref="J7" r:id="rId6" display="https://www.afaqs.com/people-spotting/partha-ghosh-exits-air-india-after-three-and-a-half-years-12558443"/>
    <hyperlink ref="J8" r:id="rId7" display="https://www.afaqs.com/corporate-communications-and-pr/arvind-appoints-swagat-lakku-as-head-of-corporate-communications-12588593"/>
    <hyperlink ref="J9" r:id="rId8" display="https://www.afaqs.com/people-spotting/arvind-smartspaces-appoints-ankit-dave-as-head-of-marketing-12583232"/>
    <hyperlink ref="J10" r:id="rId9" display="https://www.storyboard18.com/brand-makers/nothing-ceo-india-needs-engineering-not-just-manufacturing-ws-l-111110.htm"/>
    <hyperlink ref="J11" r:id="rId10" display="https://www.afaqs.com/people-spotting/dailyobjects-appoints-zeenah-vilcassim-as-global-chief-marketing-officer-12570725"/>
    <hyperlink ref="J12" r:id="rId11" display="https://www.afaqs.com/people-spotting/indigo-appoints-mayank-kumar-as-head-of-content-creative-marketing-12514196"/>
    <hyperlink ref="J13" r:id="rId12" display="https://www.manifest-media.in/marketing/240926/libas-expands-beyond-apparel-with-jewellery-launch.html"/>
    <hyperlink ref="J14" r:id="rId13" display="https://www.storyboard18.com/brand-makers/myntra-cmo-sunder-balasubramanian-exits-after-4-years-ws-l-111600.htm"/>
    <hyperlink ref="J15" r:id="rId14" display="https://www.afaqs.com/people-spotting/vineet-shah-joins-raymond-lifestyle-as-head-omnichannel-media-12573726"/>
    <hyperlink ref="J16" r:id="rId15" display="https://www.storyboard18.com/brand-makers/vijay-deverakonda-launches-skincare-brand-unhype-ws-l-110493.htm"/>
    <hyperlink ref="J17" r:id="rId16" display="https://www.manifest-media.in/marketing/280926/karun-arora-ends-five-year-stint-at-vivo.html"/>
    <hyperlink ref="J18" r:id="rId17" display="https://www.storyboard18.com/brand-makers/bharatpe-names-yugal-tiwari-chief-product-and-marketing-officer-ws-l-110693.htm"/>
    <hyperlink ref="J19" r:id="rId18" display="https://www.afaqs.com/people-spotting/glenmark-pharmaceuticals-appoints-priyanka-tewari-as-head-of-marketing-12490366"/>
    <hyperlink ref="J20" r:id="rId19" display="https://www.afaqs.com/people-spotting/maggis-category-marketing-head-kanika-juneja-steps-down-12551813"/>
    <hyperlink ref="J21" r:id="rId20" display="https://www.storyboard18.com/brand-makers/orient-electric-appoints-sandhya-biswas-as-chief-marketing-and-customer-experience-officer-110669.htm"/>
    <hyperlink ref="J22" r:id="rId21" display="https://www.afaqs.com/people-spotting/vishal-wadhwa-elevated-to-svp-brand-digital-marketing-at-sbi-card-12548569"/>
    <hyperlink ref="J23" r:id="rId22" display="https://www.afaqs.com/people-spotting/noopur-khandekar-joins-galeries-lafayette-india-as-brand-marketing-head-12391643"/>
    <hyperlink ref="J24" r:id="rId23" display="https://www.afaqs.com/people-spotting/itc-hotels-appoints-rajiv-singh-as-head-food-beverages-marketing-12250848"/>
    <hyperlink ref="J25" r:id="rId24" display="https://www.afaqs.com/news/newbizwins/wpp-media-wins-integrated-media-mandate-for-lt-foods-daawat-12391507"/>
    <hyperlink ref="J26" r:id="rId25" display="https://www.afaqs.com/news/newbizwins/a-simple-agency-bags-foxtales-ooh-mandate-featuring-shah-rukh-khan-12394815"/>
    <hyperlink ref="J27" r:id="rId26" display="https://www.afaqs.com/news/newbizwins/adlift-wins-ai-search-visibility-mandate-from-casagrand-for-tesseract-12255953"/>
    <hyperlink ref="J28" r:id="rId27" display="https://www.afaqs.com/news/newbizwins/apostrophe-ventures-wins-tilaknagar-industries-pr-mandate-12228000"/>
    <hyperlink ref="J29" r:id="rId28" display="https://www.afaqs.com/news/newbizwins/liqvd-asia-bags-social-media-and-orm-mandate-for-narayana-health-12226137"/>
    <hyperlink ref="J30" r:id="rId29" display="https://www.afaqs.com/news/newbizwins/maars-communicates-wins-strategic-communications-mandate-for-studio-blo-12256823"/>
    <hyperlink ref="J31" r:id="rId30" display="https://www.afaqs.com/news/newbizwins/punt-creative-wins-communication-mandate-for-pizzaexpress-india-12235291"/>
    <hyperlink ref="J32" r:id="rId31" display="https://www.afaqs.com/news/newbizwins/social-panga-wins-digital-mandate-for-devans-beer-gin-brands-12426681"/>
    <hyperlink ref="J33" r:id="rId32" display="https://www.afaqs.com/news/newbizwins/sw-network-bags-garden-varelis-performance-marketing-mandate-12425632"/>
    <hyperlink ref="J34" r:id="rId33" display="https://www.afaqs.com/people-spotting/hero-motocorp-appoints-anuj-dua-as-chief-business-officer-premium-segment-12227118"/>
    <hyperlink ref="J35" r:id="rId34" display="https://www.afaqs.com/people-spotting/jsw-mg-motor-india-appoints-parth-jindal-as-chairman-12458026"/>
    <hyperlink ref="J36" r:id="rId35" display="https://www.afaqs.com/people-spotting/oziva-appoints-abhishek-agrawal-as-chief-growth-officer-12443459"/>
    <hyperlink ref="J37" r:id="rId36" display="https://www.storyboard18.com/agency-news/philips-home-appliances-invites-creative-agencies-for-new-brand-mandates-107318.htm"/>
    <hyperlink ref="J38" r:id="rId37" display="https://www.afaqs.com/news/newbizwins/mccann-india-wins-3m-consumer-business-creative-mandate-12250026"/>
    <hyperlink ref="J39" r:id="rId38" display="https://www.afaqs.com/news/newbizwins/omnicom-medias-omd-india-wins-ventura-securities-integrated-media-mandate-12457523"/>
    <hyperlink ref="J40" r:id="rId39" display="https://www.storyboard18.com/agency-news/dentsu-wins-tvs-motor-media-mandate-ws-l-106734.htm"/>
    <hyperlink ref="J41" r:id="rId40" display="https://www.storyboard18.com/advertising/policybazaar-awards-rs-200-250-crore-media-mandate-to-havas-108043.htm"/>
    <hyperlink ref="J42" r:id="rId41" display="https://www.storyboard18.com/agency-news/dentsu-wins-tvs-motor-media-mandate-ws-l-106734.htm"/>
    <hyperlink ref="J43" r:id="rId42" display="https://www.afaqs.com/news/newbizwins/team-pumpkin-bags-social-media-mandate-for-lavie-sport-12256990"/>
    <hyperlink ref="J44" r:id="rId43" display="https://www.afaqs.com/people-spotting/sudhir-sitapati-quits-gcpl-as-md-and-ceo-aasif-malbari-named-successor-12250851"/>
    <hyperlink ref="J45" r:id="rId44" display="https://www.afaqs.com/people-spotting/mercedes-benz-india-elevates-nandita-godbole-as-head-of-marketing-12159853"/>
    <hyperlink ref="J46" r:id="rId45" display="https://www.afaqs.com/news/mktg/mercedes-benz-india-joins-indian-padel-tour-as-title-partner-12215772"/>
    <hyperlink ref="J47" r:id="rId46" display="https://www.storyboard18.com/brand-marketing/bbdo-india-wins-integrated-creative-mandate-for-lt-foods-daawat-in-india-105902.htm"/>
    <hyperlink ref="J48" r:id="rId47" display="https://www.afaqs.com/news/newbizwins/three-fourth-solutions-wins-marketing-mandate-for-chandrani-pearls-12204750"/>
    <hyperlink ref="J49" r:id="rId48" display="https://www.afaqs.com/people-spotting/bacardi-appoints-mahesh-kanchan-as-md-for-india-southeast-asia-12162120"/>
    <hyperlink ref="J50" r:id="rId49" display="https://www.afaqs.com/people-spotting/bira-91-founder-ankur-jain-steps-down-after-lender-settlement-12187504"/>
    <hyperlink ref="J51" r:id="rId50" display="https://www.afaqs.com/people-spotting/k-raheja-group-appoints-vijayta-nikhil-raheja-as-ceo-12208087"/>
    <hyperlink ref="J52" r:id="rId51" display="https://www.afaqs.com/people-spotting/sneha-kanukolanu-joins-mia-by-tanishq-as-marketing-lead-12158434"/>
    <hyperlink ref="J53" r:id="rId52" display="https://www.afaqs.com/people-spotting/raymond-realty-appoints-karishma-mehta-as-cluster-head-marketing-12204838"/>
    <hyperlink ref="J54" r:id="rId53" display="https://www.afaqs.com/news/brands/is-jsws-volkswagen-deal-the-start-of-a-new-homegrown-auto-giant-12189046"/>
    <hyperlink ref="J55" r:id="rId54" display="https://www.afaqs.com/people-spotting/virgio-appoints-hansa-nigam-as-chief-marketing-officer-12138383"/>
    <hyperlink ref="J56" r:id="rId55" display="https://www.afaqs.com/people-spotting/excitel-broadband-appoints-aditya-jain-as-chief-marketing-officer-12186970"/>
    <hyperlink ref="J57" r:id="rId56" display="https://www.storyboard18.com/agency-news/haier-india-media-mandate-under-review-ws-l-105850.htm"/>
    <hyperlink ref="J58" r:id="rId57" display="https://www.afaqs.com/people-spotting/yum-brands-appoints-rishab-mukherjee-as-cmo-for-kfc-south-asia-12141444"/>
    <hyperlink ref="J59" r:id="rId58" display="https://www.afaqs.com/people-spotting/mcdonalds-india-ws-names-mehak-jaini-as-head-of-marketing-12187427"/>
    <hyperlink ref="J60" r:id="rId59" display="https://www.afaqs.com/people-spotting/former-myntra-ceo-nandita-sinha-named-swiggy-instamart-ceo-12204634"/>
    <hyperlink ref="J61" r:id="rId60" display="https://www.afaqs.com/news/newbizwins/adglobal360-wins-radico-khaitans-digital-media-mandate-12017046"/>
    <hyperlink ref="J62" r:id="rId61" display="https://www.storyboard18.com/agency-news/22feet-wins-social-media-mandate-for-interio-by-godrej-100832.htm"/>
    <hyperlink ref="J63" r:id="rId62" display="https://www.afaqs.com/news/newbizwins/healthcare-global-enterprises-appoints-4am-worldwide-as-creative-brand-partner-12030869"/>
    <hyperlink ref="J64" r:id="rId63" display="https://www.afaqs.com/news/newbizwins/creativeland-asia-delhi-bags-del-monte-indias-creative-mandate-12116891"/>
    <hyperlink ref="J65" r:id="rId64" display="https://www.afaqs.com/people-spotting/neemans-appoints-akshit-dhingra-as-vp-brand-marketing-12030001"/>
    <hyperlink ref="J66" r:id="rId65" display="https://www.afaqs.com/people-spotting/tata-motors-appoints-ejaz-takey-as-head-of-suv-marketing-11999514"/>
    <hyperlink ref="J67" r:id="rId66" display="https://www.afaqs.com/news/newbizwins/omnicom-medias-lodestar-um-wins-amfis-integrated-media-mandate-12053173"/>
    <hyperlink ref="J68" r:id="rId67" display="https://www.afaqs.com/news/newbizwins/hiveminds-bags-integrated-digital-mandate-for-dr-reddys-laboratories-12040344"/>
    <hyperlink ref="J69" r:id="rId68" display="https://www.afaqs.com/news/newbizwins/kurlon-appoints-tonic-worldwide-as-digital-marketing-partner-12013101"/>
    <hyperlink ref="J70" r:id="rId69" display="https://www.afaqs.com/people-spotting/boat-names-vedansh-kumar-as-chief-marketing-officer-12003685"/>
    <hyperlink ref="J71" r:id="rId70" display="https://www.afaqs.com/people-spotting/dream11-cmo-vikrant-mudaliar-steps-down-12116888"/>
    <hyperlink ref="J72" r:id="rId71" display="https://www.afaqs.com/people-spotting/ducati-india-elevates-amit-chauhan-to-head-of-marketing-11805878"/>
    <hyperlink ref="J73" r:id="rId72" display="https://www.storyboard18.com/agency-news/loreal-india-appoints-publicis-media-as-integrated-media-agency-after-strategic-review-99678.htm"/>
    <hyperlink ref="J74" r:id="rId73" display="https://www.storyboard18.com/advertising/omnicom-media-bags-netflix-indias-mandate-signalling-strategic-reset-in-ott-marketing-97341.htm"/>
    <hyperlink ref="J75" r:id="rId74" display="https://www.storyboard18.com/agency-news/loreal-india-appoints-publicis-media-as-integrated-media-agency-after-strategic-review-99678.htm"/>
    <hyperlink ref="J76" r:id="rId75" display="https://www.afaqs.com/news/newbizwins/22feet-bags-digital-mandate-for-royal-canin-india-11874973"/>
    <hyperlink ref="J77" r:id="rId76" display="https://www.storyboard18.com/agency-news/exclusive-cheil-india-secures-samsungs-consolidated-above-the-line-media-account-following-high-stakes-pitch-99615.htm"/>
    <hyperlink ref="J78" r:id="rId77" display="https://www.storyboard18.com/advertising/omnicom-media-bags-netflix-indias-mandate-signalling-strategic-reset-in-ott-marketing-97341.htm"/>
    <hyperlink ref="J79" r:id="rId78" display="https://www.afaqs.com/news/newbizwins/modi-illva-appoints-the-reppro-as-strategic-communications-partner-11857700"/>
    <hyperlink ref="J80" r:id="rId79" display="https://www.afaqs.com/people-spotting/heads-up-for-tails-appoints-shrutie-kher-as-head-of-marketing-11876783"/>
    <hyperlink ref="J81" r:id="rId80" display="https://www.afaqs.com/people-spotting/deepesh-chhabra-joins-indusind-bank-as-head-of-marketing-and-partnerships-11786241"/>
    <hyperlink ref="J82" r:id="rId81" display="https://www.afaqs.com/people-spotting/lovechild-by-masaba-appoints-joel-thottan-as-marketing-lead-11834518"/>
    <hyperlink ref="J83" r:id="rId82" display="https://www.afaqs.com/people-spotting/razorpay-elevates-apuarv-sethi-to-cmo-11837471"/>
    <hyperlink ref="J84" r:id="rId83" display="https://www.afaqs.com/people-spotting/samsung-india-promotes-shirish-agarwal-as-head-of-marketing-for-mx-business-11846627"/>
    <hyperlink ref="J85" r:id="rId84" display="https://www.afaqs.com/people-spotting/shanu-singh-rejoins-standard-chartered-as-head-marketing-wrb-india-11805501"/>
    <hyperlink ref="J86" r:id="rId85" display="https://www.storyboard18.com/brand-marketing/exclusive-kinnect-wins-creative-mandate-for-burger-king-india-99209.htm"/>
    <hyperlink ref="J87" r:id="rId86" display="https://www.afaqs.com/news/newbizwins/jindal-stainless-appoints-madison-media-as-its-media-aor-11797436"/>
    <hyperlink ref="J88" r:id="rId87" display="https://www.afaqs.com/news/newbizwins/the-womb-wins-wonder-cements-creative-and-strategy-mandate-11878818"/>
    <hyperlink ref="J89" r:id="rId88" display="https://www.afaqs.com/people-spotting/ageas-federal-life-insurance-names-erum-kidwai-as-cmo-11876935"/>
    <hyperlink ref="J90" r:id="rId89" display="https://www.afaqs.com/people-spotting/rakesh-setia-joins-runwal-as-ceo-for-luxury-segment-after-7-year-stint-at-rustomjee-11742410"/>
    <hyperlink ref="J91" r:id="rId90" display="https://www.afaqs.com/news/newbizwins/red-bull-india-renews-media-mandate-with-wavemaker-11756549"/>
    <hyperlink ref="J92" r:id="rId91" display="https://www.storyboard18.com/advertising/jack-daniels-appoints-22feet-as-its-integrated-creative-agency-of-record-for-india-96423.htm"/>
    <hyperlink ref="J93" r:id="rId92" display="https://www.storyboard18.com/brand-marketing/exclusive-netflix-indias-influencer-mandate-under-review-96486.htm"/>
    <hyperlink ref="J94" r:id="rId93" display="https://www.afaqs.com/people-spotting/akasa-air-appoints-aditi-roy-as-head-of-corporate-communications-csr-11457862"/>
    <hyperlink ref="J95" r:id="rId94" display="https://bestmediainfo.com/mediainfo/mediainfo-marketing/dbs-initiates-creative-agency-review-across-six-asia-pacific-markets-including-india-11700883"/>
    <hyperlink ref="J96" r:id="rId95" display="https://www.afaqs.com/people-spotting/origen-realty-appoints-poulomi-ray-as-chief-marketing-officer-11737049"/>
    <hyperlink ref="J97" r:id="rId96" display="https://www.storyboard18.com/agency-news/exclusive-shaadi-coms-media-planning-mandate-up-for-review-96177.htm"/>
    <hyperlink ref="J98" r:id="rId97" display="https://www.storyboard18.com/brand-makers/exclusive-jsw-steels-creative-account-up-for-review-95404.htm"/>
    <hyperlink ref="J99" r:id="rId98" display="https://www.storyboard18.com/agency-news/santoor-appoints-tilt-brand-solutions-as-agency-on-record-95223.htm"/>
    <hyperlink ref="J100" r:id="rId99" display="https://www.afaqs.com/news/newbizwins/wipro-consumer-care-appoints-wavemaker-as-integrated-media-partner-11442219"/>
    <hyperlink ref="J101" r:id="rId100" display="https://www.afaqs.com/news/newbizwins/hell-energy-drink-names-dentsu-india-as-integrated-marketing-partner-11725549"/>
    <hyperlink ref="J102" r:id="rId101" display="https://www.afaqs.com/news/newbizwins/creativeland-asia-wins-social-media-mandate-for-realme-11458316"/>
    <hyperlink ref="J103" r:id="rId102" display="https://www.storyboard18.com/agency-news/santoor-appoints-tilt-brand-solutions-as-agency-on-record-95223.htm"/>
    <hyperlink ref="J104" r:id="rId103" display="https://www.afaqs.com/people-spotting/ashish-mishra-parts-ways-with-acko-after-nearly-six-years-as-cmo-11745894"/>
    <hyperlink ref="J105" r:id="rId104" display="https://www.afaqs.com/news/newbizwins/prohed-bags-performance-marketing-mandate-for-vianaar-11220895"/>
    <hyperlink ref="J106" r:id="rId105" display="https://www.afaqs.com/news/newbizwins/swiss-military-appoints-compass-communications-as-strategic-comms-partner-11224671"/>
    <hyperlink ref="J107" r:id="rId106" display="https://www.afaqs.com/news/newbizwins/liqvd-asia-bags-digital-communications-mandate-for-woodland-11187958"/>
    <hyperlink ref="J108" r:id="rId107" display="https://www.afaqs.com/people-spotting/faber-castell-india-appoints-sunaina-haldar-as-director-marketing-11223305"/>
    <hyperlink ref="J109" r:id="rId108" display="https://www.storyboard18.com/advertising/coca-colas-limca-shifts-creative-mandate-to-atom-network-93735.htm"/>
    <hyperlink ref="J110" r:id="rId109" display="https://www.afaqs.com/news/newbizwins/havas-media-network-bags-media-mandate-for-aakash-educational-services-11438357"/>
    <hyperlink ref="J111" r:id="rId110" display="https://www.storyboard18.com/advertising/coca-colas-limca-shifts-creative-mandate-to-atom-network-93735.htm"/>
    <hyperlink ref="J112" r:id="rId111" display="https://www.afaqs.com/news/newbizwins/infectious-advertising-to-handle-the-integrated-mandate-for-bkt-tyres-in-india-11169533"/>
    <hyperlink ref="J113" r:id="rId112" display="https://www.afaqs.com/news/newbizwins/enormous-wins-creative-mandate-for-bombay-shaving-company-11133665"/>
    <hyperlink ref="J114" r:id="rId113" display="https://www.afaqs.com/people-spotting/ferrero-elevates-maria-luciani-to-head-of-marketing-11124915"/>
    <hyperlink ref="J115" r:id="rId114" display="https://www.afaqs.com/people-spotting/forever-new-appoints-shifali-singh-as-country-director-india-11111573"/>
    <hyperlink ref="J116" r:id="rId115" display="https://www.storyboard18.com/agency-news/exclusive-bbh-india-wins-integrated-creative-media-mandate-for-cybersecurity-app-cybx-90514.htm"/>
    <hyperlink ref="J117" r:id="rId116" display="https://www.afaqs.com/people-spotting/dabur-names-herjit-s-bhalla-india-ceo-mohit-malhotra-global-ceo-11124785"/>
    <hyperlink ref="J118" r:id="rId117" display="https://www.storyboard18.com/agency-news/exclusive-bmw-india-appoints-vmls-contract-advertising-india-as-creative-agency-87842.htm"/>
    <hyperlink ref="J119" r:id="rId118" display="https://www.storyboard18.com/brand-marketing/exclusive-vinfast-backed-gsm-calls-creative-media-pitch-ahead-of-india-ride-hailing-launch-87951.htm"/>
    <hyperlink ref="J120" r:id="rId119" display="https://www.afaqs.com/news/newbizwins/publicis-starcom-wins-flipkart-groups-750-crore-media-mandate-replaces-essencemediacom-10981998"/>
    <hyperlink ref="J121" r:id="rId120" display="https://www.afaqs.com/news/newbizwins/publicis-starcom-wins-flipkart-groups-750-crore-media-mandate-replaces-essencemediacom-10981998"/>
    <hyperlink ref="J122" r:id="rId121" display="https://www.afaqs.com/news/newbizwins/concept-communications-wins-creative-mandate-for-amfis-mutual-funds-sahi-hai-campaign-11024109"/>
    <hyperlink ref="J123" r:id="rId122" display="https://www.storyboard18.com/advertising/wpp-finally-clinches-jaguar-land-rovers-global-mandate-86357.htm"/>
    <hyperlink ref="J124" r:id="rId123" display="https://www.storyboard18.com/agency-news/exclusive-ulka-mudra-find-new-home-in-bbdo-after-omnicom-ipg-merger-shake-up-85462.htm"/>
    <hyperlink ref="J125" r:id="rId124" display="https://www.medianews4u.com/pernod-ricard-india-appoints-debasree-dasgupta-as-cmo-and-global-business-development-head/"/>
    <hyperlink ref="J126" r:id="rId125" display="https://www.storyboard18.com/advertising/biz-breaks-major-account-moves-and-pitches-of-2024-51970.ht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2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2"/>
    <col collapsed="false" customWidth="true" hidden="false" outlineLevel="0" max="3" min="3" style="0" width="20"/>
    <col collapsed="false" customWidth="true" hidden="false" outlineLevel="0" max="4" min="4" style="0" width="11"/>
    <col collapsed="false" customWidth="true" hidden="false" outlineLevel="0" max="6" min="5" style="0" width="9"/>
    <col collapsed="false" customWidth="true" hidden="false" outlineLevel="0" max="7" min="7" style="0" width="80"/>
    <col collapsed="false" customWidth="true" hidden="false" outlineLevel="0" max="8" min="8" style="0" width="60"/>
    <col collapsed="false" customWidth="true" hidden="false" outlineLevel="0" max="10" min="9" style="0" width="34"/>
  </cols>
  <sheetData>
    <row r="1" customFormat="false" ht="30" hidden="false" customHeight="true" outlineLevel="0" collapsed="false">
      <c r="A1" s="5" t="s">
        <v>4839</v>
      </c>
      <c r="B1" s="5" t="s">
        <v>4840</v>
      </c>
      <c r="C1" s="5" t="s">
        <v>4841</v>
      </c>
      <c r="D1" s="5" t="s">
        <v>4842</v>
      </c>
      <c r="E1" s="5" t="s">
        <v>4843</v>
      </c>
      <c r="F1" s="5" t="s">
        <v>4844</v>
      </c>
      <c r="G1" s="5" t="s">
        <v>4845</v>
      </c>
      <c r="H1" s="5" t="s">
        <v>4846</v>
      </c>
      <c r="I1" s="5" t="s">
        <v>4726</v>
      </c>
      <c r="J1" s="5" t="s">
        <v>4847</v>
      </c>
    </row>
    <row r="2" customFormat="false" ht="57.45" hidden="false" customHeight="false" outlineLevel="0" collapsed="false">
      <c r="A2" s="7" t="s">
        <v>4798</v>
      </c>
      <c r="B2" s="6" t="s">
        <v>167</v>
      </c>
      <c r="C2" s="6" t="s">
        <v>4848</v>
      </c>
      <c r="D2" s="6" t="n">
        <f aca="false">COUNTIF('All relationships'!$A$2:$A$1227,A2)</f>
        <v>42</v>
      </c>
      <c r="E2" s="6" t="n">
        <f aca="false">COUNTIFS('All relationships'!$A$2:$A$1227,A2,'All relationships'!$H$2:$H$1227,"Luxury",'All relationships'!$K$2:$K$1227,"&lt;&gt;Recently lost")</f>
        <v>2</v>
      </c>
      <c r="F2" s="6" t="n">
        <f aca="false">COUNTIFS('All relationships'!$A$2:$A$1227,A2,'All relationships'!$H$2:$H$1227,"Premium",'All relationships'!$K$2:$K$1227,"&lt;&gt;Recently lost")</f>
        <v>12</v>
      </c>
      <c r="G2" s="2" t="s">
        <v>4849</v>
      </c>
      <c r="H2" s="2" t="s">
        <v>4850</v>
      </c>
      <c r="I2" s="2" t="s">
        <v>1157</v>
      </c>
      <c r="J2" s="2" t="s">
        <v>4851</v>
      </c>
    </row>
    <row r="3" customFormat="false" ht="46.25" hidden="false" customHeight="false" outlineLevel="0" collapsed="false">
      <c r="A3" s="7" t="s">
        <v>4809</v>
      </c>
      <c r="B3" s="6" t="s">
        <v>167</v>
      </c>
      <c r="C3" s="6" t="s">
        <v>4848</v>
      </c>
      <c r="D3" s="6" t="n">
        <f aca="false">COUNTIF('All relationships'!$A$2:$A$1227,A3)</f>
        <v>21</v>
      </c>
      <c r="E3" s="6" t="n">
        <f aca="false">COUNTIFS('All relationships'!$A$2:$A$1227,A3,'All relationships'!$H$2:$H$1227,"Luxury",'All relationships'!$K$2:$K$1227,"&lt;&gt;Recently lost")</f>
        <v>2</v>
      </c>
      <c r="F3" s="6" t="n">
        <f aca="false">COUNTIFS('All relationships'!$A$2:$A$1227,A3,'All relationships'!$H$2:$H$1227,"Premium",'All relationships'!$K$2:$K$1227,"&lt;&gt;Recently lost")</f>
        <v>7</v>
      </c>
      <c r="G3" s="2" t="s">
        <v>4852</v>
      </c>
      <c r="H3" s="2" t="s">
        <v>4853</v>
      </c>
      <c r="I3" s="2" t="s">
        <v>4294</v>
      </c>
      <c r="J3" s="2" t="s">
        <v>4854</v>
      </c>
    </row>
    <row r="4" customFormat="false" ht="68.65" hidden="false" customHeight="false" outlineLevel="0" collapsed="false">
      <c r="A4" s="7" t="s">
        <v>4855</v>
      </c>
      <c r="B4" s="6" t="s">
        <v>167</v>
      </c>
      <c r="C4" s="6" t="s">
        <v>4848</v>
      </c>
      <c r="D4" s="6" t="n">
        <f aca="false">COUNTIF('All relationships'!$A$2:$A$1227,A4)</f>
        <v>18</v>
      </c>
      <c r="E4" s="6" t="n">
        <f aca="false">COUNTIFS('All relationships'!$A$2:$A$1227,A4,'All relationships'!$H$2:$H$1227,"Luxury",'All relationships'!$K$2:$K$1227,"&lt;&gt;Recently lost")</f>
        <v>1</v>
      </c>
      <c r="F4" s="6" t="n">
        <f aca="false">COUNTIFS('All relationships'!$A$2:$A$1227,A4,'All relationships'!$H$2:$H$1227,"Premium",'All relationships'!$K$2:$K$1227,"&lt;&gt;Recently lost")</f>
        <v>11</v>
      </c>
      <c r="G4" s="2" t="s">
        <v>4856</v>
      </c>
      <c r="H4" s="2" t="s">
        <v>4857</v>
      </c>
      <c r="I4" s="2"/>
      <c r="J4" s="2" t="s">
        <v>4858</v>
      </c>
    </row>
    <row r="5" customFormat="false" ht="23.85" hidden="false" customHeight="false" outlineLevel="0" collapsed="false">
      <c r="A5" s="7" t="s">
        <v>4859</v>
      </c>
      <c r="B5" s="6" t="s">
        <v>167</v>
      </c>
      <c r="C5" s="6" t="s">
        <v>4848</v>
      </c>
      <c r="D5" s="6" t="n">
        <f aca="false">COUNTIF('All relationships'!$A$2:$A$1227,A5)</f>
        <v>7</v>
      </c>
      <c r="E5" s="6" t="n">
        <f aca="false">COUNTIFS('All relationships'!$A$2:$A$1227,A5,'All relationships'!$H$2:$H$1227,"Luxury",'All relationships'!$K$2:$K$1227,"&lt;&gt;Recently lost")</f>
        <v>1</v>
      </c>
      <c r="F5" s="6" t="n">
        <f aca="false">COUNTIFS('All relationships'!$A$2:$A$1227,A5,'All relationships'!$H$2:$H$1227,"Premium",'All relationships'!$K$2:$K$1227,"&lt;&gt;Recently lost")</f>
        <v>4</v>
      </c>
      <c r="G5" s="2" t="s">
        <v>4860</v>
      </c>
      <c r="H5" s="2" t="s">
        <v>4861</v>
      </c>
      <c r="I5" s="2"/>
      <c r="J5" s="2" t="s">
        <v>4862</v>
      </c>
    </row>
    <row r="6" customFormat="false" ht="15" hidden="false" customHeight="false" outlineLevel="0" collapsed="false">
      <c r="A6" s="7" t="s">
        <v>4765</v>
      </c>
      <c r="B6" s="6" t="s">
        <v>167</v>
      </c>
      <c r="C6" s="6" t="s">
        <v>4697</v>
      </c>
      <c r="D6" s="6" t="n">
        <f aca="false">COUNTIF('All relationships'!$A$2:$A$1227,A6)</f>
        <v>7</v>
      </c>
      <c r="E6" s="6" t="n">
        <f aca="false">COUNTIFS('All relationships'!$A$2:$A$1227,A6,'All relationships'!$H$2:$H$1227,"Luxury",'All relationships'!$K$2:$K$1227,"&lt;&gt;Recently lost")</f>
        <v>0</v>
      </c>
      <c r="F6" s="6" t="n">
        <f aca="false">COUNTIFS('All relationships'!$A$2:$A$1227,A6,'All relationships'!$H$2:$H$1227,"Premium",'All relationships'!$K$2:$K$1227,"&lt;&gt;Recently lost")</f>
        <v>4</v>
      </c>
      <c r="G6" s="2" t="s">
        <v>4863</v>
      </c>
      <c r="H6" s="2" t="s">
        <v>4593</v>
      </c>
      <c r="I6" s="2" t="s">
        <v>4864</v>
      </c>
      <c r="J6" s="2" t="s">
        <v>4865</v>
      </c>
    </row>
    <row r="7" customFormat="false" ht="15" hidden="false" customHeight="false" outlineLevel="0" collapsed="false">
      <c r="A7" s="7" t="s">
        <v>4866</v>
      </c>
      <c r="B7" s="6" t="s">
        <v>167</v>
      </c>
      <c r="C7" s="6" t="s">
        <v>4682</v>
      </c>
      <c r="D7" s="6" t="n">
        <f aca="false">COUNTIF('All relationships'!$A$2:$A$1227,A7)</f>
        <v>6</v>
      </c>
      <c r="E7" s="6" t="n">
        <f aca="false">COUNTIFS('All relationships'!$A$2:$A$1227,A7,'All relationships'!$H$2:$H$1227,"Luxury",'All relationships'!$K$2:$K$1227,"&lt;&gt;Recently lost")</f>
        <v>2</v>
      </c>
      <c r="F7" s="6" t="n">
        <f aca="false">COUNTIFS('All relationships'!$A$2:$A$1227,A7,'All relationships'!$H$2:$H$1227,"Premium",'All relationships'!$K$2:$K$1227,"&lt;&gt;Recently lost")</f>
        <v>3</v>
      </c>
      <c r="G7" s="2" t="s">
        <v>4867</v>
      </c>
      <c r="H7" s="2" t="s">
        <v>2693</v>
      </c>
      <c r="I7" s="2"/>
      <c r="J7" s="2" t="s">
        <v>4868</v>
      </c>
    </row>
    <row r="8" customFormat="false" ht="15" hidden="false" customHeight="false" outlineLevel="0" collapsed="false">
      <c r="A8" s="7" t="s">
        <v>4869</v>
      </c>
      <c r="B8" s="6" t="s">
        <v>167</v>
      </c>
      <c r="C8" s="6" t="s">
        <v>4870</v>
      </c>
      <c r="D8" s="6" t="n">
        <f aca="false">COUNTIF('All relationships'!$A$2:$A$1227,A8)</f>
        <v>4</v>
      </c>
      <c r="E8" s="6" t="n">
        <f aca="false">COUNTIFS('All relationships'!$A$2:$A$1227,A8,'All relationships'!$H$2:$H$1227,"Luxury",'All relationships'!$K$2:$K$1227,"&lt;&gt;Recently lost")</f>
        <v>0</v>
      </c>
      <c r="F8" s="6" t="n">
        <f aca="false">COUNTIFS('All relationships'!$A$2:$A$1227,A8,'All relationships'!$H$2:$H$1227,"Premium",'All relationships'!$K$2:$K$1227,"&lt;&gt;Recently lost")</f>
        <v>2</v>
      </c>
      <c r="G8" s="2" t="s">
        <v>4871</v>
      </c>
      <c r="H8" s="2" t="s">
        <v>4872</v>
      </c>
      <c r="I8" s="2"/>
      <c r="J8" s="2" t="s">
        <v>4873</v>
      </c>
    </row>
    <row r="9" customFormat="false" ht="15" hidden="false" customHeight="false" outlineLevel="0" collapsed="false">
      <c r="A9" s="7" t="s">
        <v>4874</v>
      </c>
      <c r="B9" s="6" t="s">
        <v>167</v>
      </c>
      <c r="C9" s="6" t="s">
        <v>4870</v>
      </c>
      <c r="D9" s="6" t="n">
        <f aca="false">COUNTIF('All relationships'!$A$2:$A$1227,A9)</f>
        <v>4</v>
      </c>
      <c r="E9" s="6" t="n">
        <f aca="false">COUNTIFS('All relationships'!$A$2:$A$1227,A9,'All relationships'!$H$2:$H$1227,"Luxury",'All relationships'!$K$2:$K$1227,"&lt;&gt;Recently lost")</f>
        <v>1</v>
      </c>
      <c r="F9" s="6" t="n">
        <f aca="false">COUNTIFS('All relationships'!$A$2:$A$1227,A9,'All relationships'!$H$2:$H$1227,"Premium",'All relationships'!$K$2:$K$1227,"&lt;&gt;Recently lost")</f>
        <v>3</v>
      </c>
      <c r="G9" s="2" t="s">
        <v>4875</v>
      </c>
      <c r="H9" s="2"/>
      <c r="I9" s="2"/>
      <c r="J9" s="2" t="s">
        <v>4876</v>
      </c>
    </row>
    <row r="10" customFormat="false" ht="23.85" hidden="false" customHeight="false" outlineLevel="0" collapsed="false">
      <c r="A10" s="7" t="s">
        <v>4696</v>
      </c>
      <c r="B10" s="6" t="s">
        <v>167</v>
      </c>
      <c r="C10" s="6" t="s">
        <v>4697</v>
      </c>
      <c r="D10" s="6" t="n">
        <f aca="false">COUNTIF('All relationships'!$A$2:$A$1227,A10)</f>
        <v>3</v>
      </c>
      <c r="E10" s="6" t="n">
        <f aca="false">COUNTIFS('All relationships'!$A$2:$A$1227,A10,'All relationships'!$H$2:$H$1227,"Luxury",'All relationships'!$K$2:$K$1227,"&lt;&gt;Recently lost")</f>
        <v>0</v>
      </c>
      <c r="F10" s="6" t="n">
        <f aca="false">COUNTIFS('All relationships'!$A$2:$A$1227,A10,'All relationships'!$H$2:$H$1227,"Premium",'All relationships'!$K$2:$K$1227,"&lt;&gt;Recently lost")</f>
        <v>2</v>
      </c>
      <c r="G10" s="2" t="s">
        <v>4877</v>
      </c>
      <c r="H10" s="2"/>
      <c r="I10" s="2" t="s">
        <v>2999</v>
      </c>
      <c r="J10" s="2" t="s">
        <v>4878</v>
      </c>
    </row>
    <row r="11" customFormat="false" ht="15" hidden="false" customHeight="false" outlineLevel="0" collapsed="false">
      <c r="A11" s="7" t="s">
        <v>4879</v>
      </c>
      <c r="B11" s="6" t="s">
        <v>167</v>
      </c>
      <c r="C11" s="6" t="s">
        <v>4870</v>
      </c>
      <c r="D11" s="6" t="n">
        <f aca="false">COUNTIF('All relationships'!$A$2:$A$1227,A11)</f>
        <v>1</v>
      </c>
      <c r="E11" s="6" t="n">
        <f aca="false">COUNTIFS('All relationships'!$A$2:$A$1227,A11,'All relationships'!$H$2:$H$1227,"Luxury",'All relationships'!$K$2:$K$1227,"&lt;&gt;Recently lost")</f>
        <v>0</v>
      </c>
      <c r="F11" s="6" t="n">
        <f aca="false">COUNTIFS('All relationships'!$A$2:$A$1227,A11,'All relationships'!$H$2:$H$1227,"Premium",'All relationships'!$K$2:$K$1227,"&lt;&gt;Recently lost")</f>
        <v>0</v>
      </c>
      <c r="G11" s="2"/>
      <c r="H11" s="2" t="s">
        <v>3077</v>
      </c>
      <c r="I11" s="2"/>
      <c r="J11" s="2" t="s">
        <v>4880</v>
      </c>
    </row>
    <row r="12" customFormat="false" ht="15" hidden="false" customHeight="false" outlineLevel="0" collapsed="false">
      <c r="A12" s="7" t="s">
        <v>4881</v>
      </c>
      <c r="B12" s="6" t="s">
        <v>167</v>
      </c>
      <c r="C12" s="6" t="s">
        <v>4848</v>
      </c>
      <c r="D12" s="6" t="n">
        <f aca="false">COUNTIF('All relationships'!$A$2:$A$1227,A12)</f>
        <v>1</v>
      </c>
      <c r="E12" s="6" t="n">
        <f aca="false">COUNTIFS('All relationships'!$A$2:$A$1227,A12,'All relationships'!$H$2:$H$1227,"Luxury",'All relationships'!$K$2:$K$1227,"&lt;&gt;Recently lost")</f>
        <v>1</v>
      </c>
      <c r="F12" s="6" t="n">
        <f aca="false">COUNTIFS('All relationships'!$A$2:$A$1227,A12,'All relationships'!$H$2:$H$1227,"Premium",'All relationships'!$K$2:$K$1227,"&lt;&gt;Recently lost")</f>
        <v>0</v>
      </c>
      <c r="G12" s="2" t="s">
        <v>4882</v>
      </c>
      <c r="H12" s="2"/>
      <c r="I12" s="2"/>
      <c r="J12" s="2"/>
    </row>
    <row r="13" customFormat="false" ht="15" hidden="false" customHeight="false" outlineLevel="0" collapsed="false">
      <c r="A13" s="7" t="s">
        <v>4883</v>
      </c>
      <c r="B13" s="6" t="s">
        <v>167</v>
      </c>
      <c r="C13" s="6" t="s">
        <v>4848</v>
      </c>
      <c r="D13" s="6" t="n">
        <f aca="false">COUNTIF('All relationships'!$A$2:$A$1227,A13)</f>
        <v>1</v>
      </c>
      <c r="E13" s="6" t="n">
        <f aca="false">COUNTIFS('All relationships'!$A$2:$A$1227,A13,'All relationships'!$H$2:$H$1227,"Luxury",'All relationships'!$K$2:$K$1227,"&lt;&gt;Recently lost")</f>
        <v>1</v>
      </c>
      <c r="F13" s="6" t="n">
        <f aca="false">COUNTIFS('All relationships'!$A$2:$A$1227,A13,'All relationships'!$H$2:$H$1227,"Premium",'All relationships'!$K$2:$K$1227,"&lt;&gt;Recently lost")</f>
        <v>0</v>
      </c>
      <c r="G13" s="2" t="s">
        <v>4884</v>
      </c>
      <c r="H13" s="2"/>
      <c r="I13" s="2"/>
      <c r="J13" s="2" t="s">
        <v>167</v>
      </c>
    </row>
    <row r="14" customFormat="false" ht="35.05" hidden="false" customHeight="false" outlineLevel="0" collapsed="false">
      <c r="A14" s="7" t="s">
        <v>4885</v>
      </c>
      <c r="B14" s="6" t="s">
        <v>652</v>
      </c>
      <c r="C14" s="6" t="s">
        <v>4848</v>
      </c>
      <c r="D14" s="6" t="n">
        <f aca="false">COUNTIF('All relationships'!$A$2:$A$1227,A14)</f>
        <v>30</v>
      </c>
      <c r="E14" s="6" t="n">
        <f aca="false">COUNTIFS('All relationships'!$A$2:$A$1227,A14,'All relationships'!$H$2:$H$1227,"Luxury",'All relationships'!$K$2:$K$1227,"&lt;&gt;Recently lost")</f>
        <v>0</v>
      </c>
      <c r="F14" s="6" t="n">
        <f aca="false">COUNTIFS('All relationships'!$A$2:$A$1227,A14,'All relationships'!$H$2:$H$1227,"Premium",'All relationships'!$K$2:$K$1227,"&lt;&gt;Recently lost")</f>
        <v>13</v>
      </c>
      <c r="G14" s="2" t="s">
        <v>4886</v>
      </c>
      <c r="H14" s="2" t="s">
        <v>4887</v>
      </c>
      <c r="I14" s="2" t="s">
        <v>2653</v>
      </c>
      <c r="J14" s="2" t="s">
        <v>4888</v>
      </c>
    </row>
    <row r="15" customFormat="false" ht="15" hidden="false" customHeight="false" outlineLevel="0" collapsed="false">
      <c r="A15" s="7" t="s">
        <v>4817</v>
      </c>
      <c r="B15" s="6" t="s">
        <v>652</v>
      </c>
      <c r="C15" s="6" t="s">
        <v>4848</v>
      </c>
      <c r="D15" s="6" t="n">
        <f aca="false">COUNTIF('All relationships'!$A$2:$A$1227,A15)</f>
        <v>14</v>
      </c>
      <c r="E15" s="6" t="n">
        <f aca="false">COUNTIFS('All relationships'!$A$2:$A$1227,A15,'All relationships'!$H$2:$H$1227,"Luxury",'All relationships'!$K$2:$K$1227,"&lt;&gt;Recently lost")</f>
        <v>1</v>
      </c>
      <c r="F15" s="6" t="n">
        <f aca="false">COUNTIFS('All relationships'!$A$2:$A$1227,A15,'All relationships'!$H$2:$H$1227,"Premium",'All relationships'!$K$2:$K$1227,"&lt;&gt;Recently lost")</f>
        <v>5</v>
      </c>
      <c r="G15" s="2" t="s">
        <v>4889</v>
      </c>
      <c r="H15" s="2" t="s">
        <v>4890</v>
      </c>
      <c r="I15" s="2"/>
      <c r="J15" s="2"/>
    </row>
    <row r="16" customFormat="false" ht="23.85" hidden="false" customHeight="false" outlineLevel="0" collapsed="false">
      <c r="A16" s="7" t="s">
        <v>4891</v>
      </c>
      <c r="B16" s="6" t="s">
        <v>652</v>
      </c>
      <c r="C16" s="6" t="s">
        <v>4848</v>
      </c>
      <c r="D16" s="6" t="n">
        <f aca="false">COUNTIF('All relationships'!$A$2:$A$1227,A16)</f>
        <v>14</v>
      </c>
      <c r="E16" s="6" t="n">
        <f aca="false">COUNTIFS('All relationships'!$A$2:$A$1227,A16,'All relationships'!$H$2:$H$1227,"Luxury",'All relationships'!$K$2:$K$1227,"&lt;&gt;Recently lost")</f>
        <v>1</v>
      </c>
      <c r="F16" s="6" t="n">
        <f aca="false">COUNTIFS('All relationships'!$A$2:$A$1227,A16,'All relationships'!$H$2:$H$1227,"Premium",'All relationships'!$K$2:$K$1227,"&lt;&gt;Recently lost")</f>
        <v>4</v>
      </c>
      <c r="G16" s="2" t="s">
        <v>4892</v>
      </c>
      <c r="H16" s="2" t="s">
        <v>4893</v>
      </c>
      <c r="I16" s="2" t="s">
        <v>4894</v>
      </c>
      <c r="J16" s="2"/>
    </row>
    <row r="17" customFormat="false" ht="15" hidden="false" customHeight="false" outlineLevel="0" collapsed="false">
      <c r="A17" s="7" t="s">
        <v>4895</v>
      </c>
      <c r="B17" s="6" t="s">
        <v>652</v>
      </c>
      <c r="C17" s="6" t="s">
        <v>4870</v>
      </c>
      <c r="D17" s="6" t="n">
        <f aca="false">COUNTIF('All relationships'!$A$2:$A$1227,A17)</f>
        <v>9</v>
      </c>
      <c r="E17" s="6" t="n">
        <f aca="false">COUNTIFS('All relationships'!$A$2:$A$1227,A17,'All relationships'!$H$2:$H$1227,"Luxury",'All relationships'!$K$2:$K$1227,"&lt;&gt;Recently lost")</f>
        <v>0</v>
      </c>
      <c r="F17" s="6" t="n">
        <f aca="false">COUNTIFS('All relationships'!$A$2:$A$1227,A17,'All relationships'!$H$2:$H$1227,"Premium",'All relationships'!$K$2:$K$1227,"&lt;&gt;Recently lost")</f>
        <v>5</v>
      </c>
      <c r="G17" s="2" t="s">
        <v>4896</v>
      </c>
      <c r="H17" s="2" t="s">
        <v>4897</v>
      </c>
      <c r="I17" s="2" t="s">
        <v>2742</v>
      </c>
      <c r="J17" s="2" t="s">
        <v>4898</v>
      </c>
    </row>
    <row r="18" customFormat="false" ht="15" hidden="false" customHeight="false" outlineLevel="0" collapsed="false">
      <c r="A18" s="7" t="s">
        <v>4899</v>
      </c>
      <c r="B18" s="6" t="s">
        <v>652</v>
      </c>
      <c r="C18" s="6" t="s">
        <v>4848</v>
      </c>
      <c r="D18" s="6" t="n">
        <f aca="false">COUNTIF('All relationships'!$A$2:$A$1227,A18)</f>
        <v>8</v>
      </c>
      <c r="E18" s="6" t="n">
        <f aca="false">COUNTIFS('All relationships'!$A$2:$A$1227,A18,'All relationships'!$H$2:$H$1227,"Luxury",'All relationships'!$K$2:$K$1227,"&lt;&gt;Recently lost")</f>
        <v>0</v>
      </c>
      <c r="F18" s="6" t="n">
        <f aca="false">COUNTIFS('All relationships'!$A$2:$A$1227,A18,'All relationships'!$H$2:$H$1227,"Premium",'All relationships'!$K$2:$K$1227,"&lt;&gt;Recently lost")</f>
        <v>1</v>
      </c>
      <c r="G18" s="2" t="s">
        <v>1114</v>
      </c>
      <c r="H18" s="2" t="s">
        <v>4900</v>
      </c>
      <c r="I18" s="2" t="s">
        <v>4901</v>
      </c>
      <c r="J18" s="2" t="s">
        <v>4902</v>
      </c>
    </row>
    <row r="19" customFormat="false" ht="15" hidden="false" customHeight="false" outlineLevel="0" collapsed="false">
      <c r="A19" s="7" t="s">
        <v>4903</v>
      </c>
      <c r="B19" s="6" t="s">
        <v>652</v>
      </c>
      <c r="C19" s="6" t="s">
        <v>4870</v>
      </c>
      <c r="D19" s="6" t="n">
        <f aca="false">COUNTIF('All relationships'!$A$2:$A$1227,A19)</f>
        <v>6</v>
      </c>
      <c r="E19" s="6" t="n">
        <f aca="false">COUNTIFS('All relationships'!$A$2:$A$1227,A19,'All relationships'!$H$2:$H$1227,"Luxury",'All relationships'!$K$2:$K$1227,"&lt;&gt;Recently lost")</f>
        <v>0</v>
      </c>
      <c r="F19" s="6" t="n">
        <f aca="false">COUNTIFS('All relationships'!$A$2:$A$1227,A19,'All relationships'!$H$2:$H$1227,"Premium",'All relationships'!$K$2:$K$1227,"&lt;&gt;Recently lost")</f>
        <v>1</v>
      </c>
      <c r="G19" s="2" t="s">
        <v>2832</v>
      </c>
      <c r="H19" s="2" t="s">
        <v>4904</v>
      </c>
      <c r="I19" s="2" t="s">
        <v>326</v>
      </c>
      <c r="J19" s="2" t="s">
        <v>4905</v>
      </c>
    </row>
    <row r="20" customFormat="false" ht="15" hidden="false" customHeight="false" outlineLevel="0" collapsed="false">
      <c r="A20" s="7" t="s">
        <v>4906</v>
      </c>
      <c r="B20" s="6" t="s">
        <v>652</v>
      </c>
      <c r="C20" s="6" t="s">
        <v>4848</v>
      </c>
      <c r="D20" s="6" t="n">
        <f aca="false">COUNTIF('All relationships'!$A$2:$A$1227,A20)</f>
        <v>2</v>
      </c>
      <c r="E20" s="6" t="n">
        <f aca="false">COUNTIFS('All relationships'!$A$2:$A$1227,A20,'All relationships'!$H$2:$H$1227,"Luxury",'All relationships'!$K$2:$K$1227,"&lt;&gt;Recently lost")</f>
        <v>0</v>
      </c>
      <c r="F20" s="6" t="n">
        <f aca="false">COUNTIFS('All relationships'!$A$2:$A$1227,A20,'All relationships'!$H$2:$H$1227,"Premium",'All relationships'!$K$2:$K$1227,"&lt;&gt;Recently lost")</f>
        <v>0</v>
      </c>
      <c r="G20" s="2"/>
      <c r="H20" s="2" t="s">
        <v>4907</v>
      </c>
      <c r="I20" s="2"/>
      <c r="J20" s="2"/>
    </row>
    <row r="21" customFormat="false" ht="15" hidden="false" customHeight="false" outlineLevel="0" collapsed="false">
      <c r="A21" s="7" t="s">
        <v>4770</v>
      </c>
      <c r="B21" s="6" t="s">
        <v>652</v>
      </c>
      <c r="C21" s="6" t="s">
        <v>4697</v>
      </c>
      <c r="D21" s="6" t="n">
        <f aca="false">COUNTIF('All relationships'!$A$2:$A$1227,A21)</f>
        <v>2</v>
      </c>
      <c r="E21" s="6" t="n">
        <f aca="false">COUNTIFS('All relationships'!$A$2:$A$1227,A21,'All relationships'!$H$2:$H$1227,"Luxury",'All relationships'!$K$2:$K$1227,"&lt;&gt;Recently lost")</f>
        <v>0</v>
      </c>
      <c r="F21" s="6" t="n">
        <f aca="false">COUNTIFS('All relationships'!$A$2:$A$1227,A21,'All relationships'!$H$2:$H$1227,"Premium",'All relationships'!$K$2:$K$1227,"&lt;&gt;Recently lost")</f>
        <v>1</v>
      </c>
      <c r="G21" s="2" t="s">
        <v>4655</v>
      </c>
      <c r="H21" s="2" t="s">
        <v>2999</v>
      </c>
      <c r="I21" s="2"/>
      <c r="J21" s="2" t="s">
        <v>4908</v>
      </c>
    </row>
    <row r="22" customFormat="false" ht="15" hidden="false" customHeight="false" outlineLevel="0" collapsed="false">
      <c r="A22" s="7" t="s">
        <v>4909</v>
      </c>
      <c r="B22" s="6" t="s">
        <v>652</v>
      </c>
      <c r="C22" s="6" t="s">
        <v>4848</v>
      </c>
      <c r="D22" s="6" t="n">
        <f aca="false">COUNTIF('All relationships'!$A$2:$A$1227,A22)</f>
        <v>1</v>
      </c>
      <c r="E22" s="6" t="n">
        <f aca="false">COUNTIFS('All relationships'!$A$2:$A$1227,A22,'All relationships'!$H$2:$H$1227,"Luxury",'All relationships'!$K$2:$K$1227,"&lt;&gt;Recently lost")</f>
        <v>1</v>
      </c>
      <c r="F22" s="6" t="n">
        <f aca="false">COUNTIFS('All relationships'!$A$2:$A$1227,A22,'All relationships'!$H$2:$H$1227,"Premium",'All relationships'!$K$2:$K$1227,"&lt;&gt;Recently lost")</f>
        <v>0</v>
      </c>
      <c r="G22" s="2" t="s">
        <v>4910</v>
      </c>
      <c r="H22" s="2"/>
      <c r="I22" s="2"/>
      <c r="J22" s="2"/>
    </row>
    <row r="23" customFormat="false" ht="15" hidden="false" customHeight="false" outlineLevel="0" collapsed="false">
      <c r="A23" s="7" t="s">
        <v>4911</v>
      </c>
      <c r="B23" s="6" t="s">
        <v>652</v>
      </c>
      <c r="C23" s="6" t="s">
        <v>4682</v>
      </c>
      <c r="D23" s="6" t="n">
        <f aca="false">COUNTIF('All relationships'!$A$2:$A$1227,A23)</f>
        <v>1</v>
      </c>
      <c r="E23" s="6" t="n">
        <f aca="false">COUNTIFS('All relationships'!$A$2:$A$1227,A23,'All relationships'!$H$2:$H$1227,"Luxury",'All relationships'!$K$2:$K$1227,"&lt;&gt;Recently lost")</f>
        <v>0</v>
      </c>
      <c r="F23" s="6" t="n">
        <f aca="false">COUNTIFS('All relationships'!$A$2:$A$1227,A23,'All relationships'!$H$2:$H$1227,"Premium",'All relationships'!$K$2:$K$1227,"&lt;&gt;Recently lost")</f>
        <v>0</v>
      </c>
      <c r="G23" s="2"/>
      <c r="H23" s="2" t="s">
        <v>4447</v>
      </c>
      <c r="I23" s="2"/>
      <c r="J23" s="2"/>
    </row>
    <row r="24" customFormat="false" ht="15" hidden="false" customHeight="false" outlineLevel="0" collapsed="false">
      <c r="A24" s="7" t="s">
        <v>4912</v>
      </c>
      <c r="B24" s="6" t="s">
        <v>652</v>
      </c>
      <c r="C24" s="6" t="s">
        <v>4848</v>
      </c>
      <c r="D24" s="6" t="n">
        <f aca="false">COUNTIF('All relationships'!$A$2:$A$1227,A24)</f>
        <v>1</v>
      </c>
      <c r="E24" s="6" t="n">
        <f aca="false">COUNTIFS('All relationships'!$A$2:$A$1227,A24,'All relationships'!$H$2:$H$1227,"Luxury",'All relationships'!$K$2:$K$1227,"&lt;&gt;Recently lost")</f>
        <v>0</v>
      </c>
      <c r="F24" s="6" t="n">
        <f aca="false">COUNTIFS('All relationships'!$A$2:$A$1227,A24,'All relationships'!$H$2:$H$1227,"Premium",'All relationships'!$K$2:$K$1227,"&lt;&gt;Recently lost")</f>
        <v>0</v>
      </c>
      <c r="G24" s="2"/>
      <c r="H24" s="2" t="s">
        <v>3715</v>
      </c>
      <c r="I24" s="2"/>
      <c r="J24" s="2" t="s">
        <v>4913</v>
      </c>
    </row>
    <row r="25" customFormat="false" ht="57.45" hidden="false" customHeight="false" outlineLevel="0" collapsed="false">
      <c r="A25" s="7" t="s">
        <v>4914</v>
      </c>
      <c r="B25" s="6" t="s">
        <v>102</v>
      </c>
      <c r="C25" s="6" t="s">
        <v>4848</v>
      </c>
      <c r="D25" s="6" t="n">
        <f aca="false">COUNTIF('All relationships'!$A$2:$A$1227,A25)</f>
        <v>64</v>
      </c>
      <c r="E25" s="6" t="n">
        <f aca="false">COUNTIFS('All relationships'!$A$2:$A$1227,A25,'All relationships'!$H$2:$H$1227,"Luxury",'All relationships'!$K$2:$K$1227,"&lt;&gt;Recently lost")</f>
        <v>2</v>
      </c>
      <c r="F25" s="6" t="n">
        <f aca="false">COUNTIFS('All relationships'!$A$2:$A$1227,A25,'All relationships'!$H$2:$H$1227,"Premium",'All relationships'!$K$2:$K$1227,"&lt;&gt;Recently lost")</f>
        <v>27</v>
      </c>
      <c r="G25" s="2" t="s">
        <v>4915</v>
      </c>
      <c r="H25" s="2" t="s">
        <v>4916</v>
      </c>
      <c r="I25" s="2" t="s">
        <v>4917</v>
      </c>
      <c r="J25" s="2" t="s">
        <v>4918</v>
      </c>
    </row>
    <row r="26" customFormat="false" ht="35.05" hidden="false" customHeight="false" outlineLevel="0" collapsed="false">
      <c r="A26" s="7" t="s">
        <v>4919</v>
      </c>
      <c r="B26" s="6" t="s">
        <v>102</v>
      </c>
      <c r="C26" s="6" t="s">
        <v>4848</v>
      </c>
      <c r="D26" s="6" t="n">
        <f aca="false">COUNTIF('All relationships'!$A$2:$A$1227,A26)</f>
        <v>35</v>
      </c>
      <c r="E26" s="6" t="n">
        <f aca="false">COUNTIFS('All relationships'!$A$2:$A$1227,A26,'All relationships'!$H$2:$H$1227,"Luxury",'All relationships'!$K$2:$K$1227,"&lt;&gt;Recently lost")</f>
        <v>0</v>
      </c>
      <c r="F26" s="6" t="n">
        <f aca="false">COUNTIFS('All relationships'!$A$2:$A$1227,A26,'All relationships'!$H$2:$H$1227,"Premium",'All relationships'!$K$2:$K$1227,"&lt;&gt;Recently lost")</f>
        <v>13</v>
      </c>
      <c r="G26" s="2" t="s">
        <v>4920</v>
      </c>
      <c r="H26" s="2" t="s">
        <v>4921</v>
      </c>
      <c r="I26" s="2" t="s">
        <v>4922</v>
      </c>
      <c r="J26" s="2" t="s">
        <v>4923</v>
      </c>
    </row>
    <row r="27" customFormat="false" ht="35.05" hidden="false" customHeight="false" outlineLevel="0" collapsed="false">
      <c r="A27" s="7" t="s">
        <v>4719</v>
      </c>
      <c r="B27" s="6" t="s">
        <v>102</v>
      </c>
      <c r="C27" s="6" t="s">
        <v>4848</v>
      </c>
      <c r="D27" s="6" t="n">
        <f aca="false">COUNTIF('All relationships'!$A$2:$A$1227,A27)</f>
        <v>29</v>
      </c>
      <c r="E27" s="6" t="n">
        <f aca="false">COUNTIFS('All relationships'!$A$2:$A$1227,A27,'All relationships'!$H$2:$H$1227,"Luxury",'All relationships'!$K$2:$K$1227,"&lt;&gt;Recently lost")</f>
        <v>1</v>
      </c>
      <c r="F27" s="6" t="n">
        <f aca="false">COUNTIFS('All relationships'!$A$2:$A$1227,A27,'All relationships'!$H$2:$H$1227,"Premium",'All relationships'!$K$2:$K$1227,"&lt;&gt;Recently lost")</f>
        <v>11</v>
      </c>
      <c r="G27" s="2" t="s">
        <v>4924</v>
      </c>
      <c r="H27" s="2" t="s">
        <v>4925</v>
      </c>
      <c r="I27" s="2" t="s">
        <v>4926</v>
      </c>
      <c r="J27" s="2" t="s">
        <v>4927</v>
      </c>
    </row>
    <row r="28" customFormat="false" ht="23.85" hidden="false" customHeight="false" outlineLevel="0" collapsed="false">
      <c r="A28" s="7" t="s">
        <v>4752</v>
      </c>
      <c r="B28" s="6" t="s">
        <v>102</v>
      </c>
      <c r="C28" s="6" t="s">
        <v>4870</v>
      </c>
      <c r="D28" s="6" t="n">
        <f aca="false">COUNTIF('All relationships'!$A$2:$A$1227,A28)</f>
        <v>21</v>
      </c>
      <c r="E28" s="6" t="n">
        <f aca="false">COUNTIFS('All relationships'!$A$2:$A$1227,A28,'All relationships'!$H$2:$H$1227,"Luxury",'All relationships'!$K$2:$K$1227,"&lt;&gt;Recently lost")</f>
        <v>0</v>
      </c>
      <c r="F28" s="6" t="n">
        <f aca="false">COUNTIFS('All relationships'!$A$2:$A$1227,A28,'All relationships'!$H$2:$H$1227,"Premium",'All relationships'!$K$2:$K$1227,"&lt;&gt;Recently lost")</f>
        <v>15</v>
      </c>
      <c r="G28" s="2" t="s">
        <v>4928</v>
      </c>
      <c r="H28" s="2" t="s">
        <v>4929</v>
      </c>
      <c r="I28" s="2"/>
      <c r="J28" s="2" t="s">
        <v>4930</v>
      </c>
    </row>
    <row r="29" customFormat="false" ht="23.85" hidden="false" customHeight="false" outlineLevel="0" collapsed="false">
      <c r="A29" s="7" t="s">
        <v>4736</v>
      </c>
      <c r="B29" s="6" t="s">
        <v>102</v>
      </c>
      <c r="C29" s="6" t="s">
        <v>4848</v>
      </c>
      <c r="D29" s="6" t="n">
        <f aca="false">COUNTIF('All relationships'!$A$2:$A$1227,A29)</f>
        <v>18</v>
      </c>
      <c r="E29" s="6" t="n">
        <f aca="false">COUNTIFS('All relationships'!$A$2:$A$1227,A29,'All relationships'!$H$2:$H$1227,"Luxury",'All relationships'!$K$2:$K$1227,"&lt;&gt;Recently lost")</f>
        <v>2</v>
      </c>
      <c r="F29" s="6" t="n">
        <f aca="false">COUNTIFS('All relationships'!$A$2:$A$1227,A29,'All relationships'!$H$2:$H$1227,"Premium",'All relationships'!$K$2:$K$1227,"&lt;&gt;Recently lost")</f>
        <v>8</v>
      </c>
      <c r="G29" s="2" t="s">
        <v>4931</v>
      </c>
      <c r="H29" s="2" t="s">
        <v>4932</v>
      </c>
      <c r="I29" s="2" t="s">
        <v>2474</v>
      </c>
      <c r="J29" s="2" t="s">
        <v>4933</v>
      </c>
    </row>
    <row r="30" customFormat="false" ht="23.85" hidden="false" customHeight="false" outlineLevel="0" collapsed="false">
      <c r="A30" s="7" t="s">
        <v>4934</v>
      </c>
      <c r="B30" s="6" t="s">
        <v>102</v>
      </c>
      <c r="C30" s="6" t="s">
        <v>4848</v>
      </c>
      <c r="D30" s="6" t="n">
        <f aca="false">COUNTIF('All relationships'!$A$2:$A$1227,A30)</f>
        <v>13</v>
      </c>
      <c r="E30" s="6" t="n">
        <f aca="false">COUNTIFS('All relationships'!$A$2:$A$1227,A30,'All relationships'!$H$2:$H$1227,"Luxury",'All relationships'!$K$2:$K$1227,"&lt;&gt;Recently lost")</f>
        <v>0</v>
      </c>
      <c r="F30" s="6" t="n">
        <f aca="false">COUNTIFS('All relationships'!$A$2:$A$1227,A30,'All relationships'!$H$2:$H$1227,"Premium",'All relationships'!$K$2:$K$1227,"&lt;&gt;Recently lost")</f>
        <v>5</v>
      </c>
      <c r="G30" s="2" t="s">
        <v>4935</v>
      </c>
      <c r="H30" s="2" t="s">
        <v>4936</v>
      </c>
      <c r="I30" s="2"/>
      <c r="J30" s="2" t="s">
        <v>4937</v>
      </c>
    </row>
    <row r="31" customFormat="false" ht="15" hidden="false" customHeight="false" outlineLevel="0" collapsed="false">
      <c r="A31" s="7" t="s">
        <v>4782</v>
      </c>
      <c r="B31" s="6" t="s">
        <v>102</v>
      </c>
      <c r="C31" s="6" t="s">
        <v>4870</v>
      </c>
      <c r="D31" s="6" t="n">
        <f aca="false">COUNTIF('All relationships'!$A$2:$A$1227,A31)</f>
        <v>11</v>
      </c>
      <c r="E31" s="6" t="n">
        <f aca="false">COUNTIFS('All relationships'!$A$2:$A$1227,A31,'All relationships'!$H$2:$H$1227,"Luxury",'All relationships'!$K$2:$K$1227,"&lt;&gt;Recently lost")</f>
        <v>0</v>
      </c>
      <c r="F31" s="6" t="n">
        <f aca="false">COUNTIFS('All relationships'!$A$2:$A$1227,A31,'All relationships'!$H$2:$H$1227,"Premium",'All relationships'!$K$2:$K$1227,"&lt;&gt;Recently lost")</f>
        <v>5</v>
      </c>
      <c r="G31" s="2" t="s">
        <v>4938</v>
      </c>
      <c r="H31" s="2" t="s">
        <v>4939</v>
      </c>
      <c r="I31" s="2"/>
      <c r="J31" s="2" t="s">
        <v>4940</v>
      </c>
    </row>
    <row r="32" customFormat="false" ht="23.85" hidden="false" customHeight="false" outlineLevel="0" collapsed="false">
      <c r="A32" s="7" t="s">
        <v>4832</v>
      </c>
      <c r="B32" s="6" t="s">
        <v>102</v>
      </c>
      <c r="C32" s="6" t="s">
        <v>4848</v>
      </c>
      <c r="D32" s="6" t="n">
        <f aca="false">COUNTIF('All relationships'!$A$2:$A$1227,A32)</f>
        <v>10</v>
      </c>
      <c r="E32" s="6" t="n">
        <f aca="false">COUNTIFS('All relationships'!$A$2:$A$1227,A32,'All relationships'!$H$2:$H$1227,"Luxury",'All relationships'!$K$2:$K$1227,"&lt;&gt;Recently lost")</f>
        <v>0</v>
      </c>
      <c r="F32" s="6" t="n">
        <f aca="false">COUNTIFS('All relationships'!$A$2:$A$1227,A32,'All relationships'!$H$2:$H$1227,"Premium",'All relationships'!$K$2:$K$1227,"&lt;&gt;Recently lost")</f>
        <v>5</v>
      </c>
      <c r="G32" s="2" t="s">
        <v>4941</v>
      </c>
      <c r="H32" s="2" t="s">
        <v>4942</v>
      </c>
      <c r="I32" s="2" t="s">
        <v>3760</v>
      </c>
      <c r="J32" s="2" t="s">
        <v>4943</v>
      </c>
    </row>
    <row r="33" customFormat="false" ht="23.85" hidden="false" customHeight="false" outlineLevel="0" collapsed="false">
      <c r="A33" s="7" t="s">
        <v>4944</v>
      </c>
      <c r="B33" s="6" t="s">
        <v>102</v>
      </c>
      <c r="C33" s="6" t="s">
        <v>4682</v>
      </c>
      <c r="D33" s="6" t="n">
        <f aca="false">COUNTIF('All relationships'!$A$2:$A$1227,A33)</f>
        <v>9</v>
      </c>
      <c r="E33" s="6" t="n">
        <f aca="false">COUNTIFS('All relationships'!$A$2:$A$1227,A33,'All relationships'!$H$2:$H$1227,"Luxury",'All relationships'!$K$2:$K$1227,"&lt;&gt;Recently lost")</f>
        <v>1</v>
      </c>
      <c r="F33" s="6" t="n">
        <f aca="false">COUNTIFS('All relationships'!$A$2:$A$1227,A33,'All relationships'!$H$2:$H$1227,"Premium",'All relationships'!$K$2:$K$1227,"&lt;&gt;Recently lost")</f>
        <v>5</v>
      </c>
      <c r="G33" s="2" t="s">
        <v>4945</v>
      </c>
      <c r="H33" s="2" t="s">
        <v>4946</v>
      </c>
      <c r="I33" s="2"/>
      <c r="J33" s="2" t="s">
        <v>4947</v>
      </c>
    </row>
    <row r="34" customFormat="false" ht="15" hidden="false" customHeight="false" outlineLevel="0" collapsed="false">
      <c r="A34" s="7" t="s">
        <v>4948</v>
      </c>
      <c r="B34" s="6" t="s">
        <v>102</v>
      </c>
      <c r="C34" s="6" t="s">
        <v>4848</v>
      </c>
      <c r="D34" s="6" t="n">
        <f aca="false">COUNTIF('All relationships'!$A$2:$A$1227,A34)</f>
        <v>6</v>
      </c>
      <c r="E34" s="6" t="n">
        <f aca="false">COUNTIFS('All relationships'!$A$2:$A$1227,A34,'All relationships'!$H$2:$H$1227,"Luxury",'All relationships'!$K$2:$K$1227,"&lt;&gt;Recently lost")</f>
        <v>0</v>
      </c>
      <c r="F34" s="6" t="n">
        <f aca="false">COUNTIFS('All relationships'!$A$2:$A$1227,A34,'All relationships'!$H$2:$H$1227,"Premium",'All relationships'!$K$2:$K$1227,"&lt;&gt;Recently lost")</f>
        <v>3</v>
      </c>
      <c r="G34" s="2" t="s">
        <v>4949</v>
      </c>
      <c r="H34" s="2" t="s">
        <v>4950</v>
      </c>
      <c r="I34" s="2"/>
      <c r="J34" s="2" t="s">
        <v>4951</v>
      </c>
    </row>
    <row r="35" customFormat="false" ht="15" hidden="false" customHeight="false" outlineLevel="0" collapsed="false">
      <c r="A35" s="7" t="s">
        <v>4952</v>
      </c>
      <c r="B35" s="6" t="s">
        <v>102</v>
      </c>
      <c r="C35" s="6" t="s">
        <v>4870</v>
      </c>
      <c r="D35" s="6" t="n">
        <f aca="false">COUNTIF('All relationships'!$A$2:$A$1227,A35)</f>
        <v>6</v>
      </c>
      <c r="E35" s="6" t="n">
        <f aca="false">COUNTIFS('All relationships'!$A$2:$A$1227,A35,'All relationships'!$H$2:$H$1227,"Luxury",'All relationships'!$K$2:$K$1227,"&lt;&gt;Recently lost")</f>
        <v>1</v>
      </c>
      <c r="F35" s="6" t="n">
        <f aca="false">COUNTIFS('All relationships'!$A$2:$A$1227,A35,'All relationships'!$H$2:$H$1227,"Premium",'All relationships'!$K$2:$K$1227,"&lt;&gt;Recently lost")</f>
        <v>2</v>
      </c>
      <c r="G35" s="2" t="s">
        <v>4953</v>
      </c>
      <c r="H35" s="2" t="s">
        <v>4954</v>
      </c>
      <c r="I35" s="2"/>
      <c r="J35" s="2" t="s">
        <v>4955</v>
      </c>
    </row>
    <row r="36" customFormat="false" ht="15" hidden="false" customHeight="false" outlineLevel="0" collapsed="false">
      <c r="A36" s="7" t="s">
        <v>4720</v>
      </c>
      <c r="B36" s="6" t="s">
        <v>102</v>
      </c>
      <c r="C36" s="6" t="s">
        <v>4697</v>
      </c>
      <c r="D36" s="6" t="n">
        <f aca="false">COUNTIF('All relationships'!$A$2:$A$1227,A36)</f>
        <v>4</v>
      </c>
      <c r="E36" s="6" t="n">
        <f aca="false">COUNTIFS('All relationships'!$A$2:$A$1227,A36,'All relationships'!$H$2:$H$1227,"Luxury",'All relationships'!$K$2:$K$1227,"&lt;&gt;Recently lost")</f>
        <v>0</v>
      </c>
      <c r="F36" s="6" t="n">
        <f aca="false">COUNTIFS('All relationships'!$A$2:$A$1227,A36,'All relationships'!$H$2:$H$1227,"Premium",'All relationships'!$K$2:$K$1227,"&lt;&gt;Recently lost")</f>
        <v>3</v>
      </c>
      <c r="G36" s="2" t="s">
        <v>4956</v>
      </c>
      <c r="H36" s="2" t="s">
        <v>4019</v>
      </c>
      <c r="I36" s="2"/>
      <c r="J36" s="2"/>
    </row>
    <row r="37" customFormat="false" ht="15" hidden="false" customHeight="false" outlineLevel="0" collapsed="false">
      <c r="A37" s="7" t="s">
        <v>4957</v>
      </c>
      <c r="B37" s="6" t="s">
        <v>102</v>
      </c>
      <c r="C37" s="6" t="s">
        <v>4697</v>
      </c>
      <c r="D37" s="6" t="n">
        <f aca="false">COUNTIF('All relationships'!$A$2:$A$1227,A37)</f>
        <v>3</v>
      </c>
      <c r="E37" s="6" t="n">
        <f aca="false">COUNTIFS('All relationships'!$A$2:$A$1227,A37,'All relationships'!$H$2:$H$1227,"Luxury",'All relationships'!$K$2:$K$1227,"&lt;&gt;Recently lost")</f>
        <v>1</v>
      </c>
      <c r="F37" s="6" t="n">
        <f aca="false">COUNTIFS('All relationships'!$A$2:$A$1227,A37,'All relationships'!$H$2:$H$1227,"Premium",'All relationships'!$K$2:$K$1227,"&lt;&gt;Recently lost")</f>
        <v>1</v>
      </c>
      <c r="G37" s="2" t="s">
        <v>4958</v>
      </c>
      <c r="H37" s="2"/>
      <c r="I37" s="2" t="s">
        <v>1918</v>
      </c>
      <c r="J37" s="2" t="s">
        <v>4959</v>
      </c>
    </row>
    <row r="38" customFormat="false" ht="15" hidden="false" customHeight="false" outlineLevel="0" collapsed="false">
      <c r="A38" s="7" t="s">
        <v>4960</v>
      </c>
      <c r="B38" s="6" t="s">
        <v>102</v>
      </c>
      <c r="C38" s="6" t="s">
        <v>4682</v>
      </c>
      <c r="D38" s="6" t="n">
        <f aca="false">COUNTIF('All relationships'!$A$2:$A$1227,A38)</f>
        <v>3</v>
      </c>
      <c r="E38" s="6" t="n">
        <f aca="false">COUNTIFS('All relationships'!$A$2:$A$1227,A38,'All relationships'!$H$2:$H$1227,"Luxury",'All relationships'!$K$2:$K$1227,"&lt;&gt;Recently lost")</f>
        <v>0</v>
      </c>
      <c r="F38" s="6" t="n">
        <f aca="false">COUNTIFS('All relationships'!$A$2:$A$1227,A38,'All relationships'!$H$2:$H$1227,"Premium",'All relationships'!$K$2:$K$1227,"&lt;&gt;Recently lost")</f>
        <v>1</v>
      </c>
      <c r="G38" s="2" t="s">
        <v>878</v>
      </c>
      <c r="H38" s="2" t="s">
        <v>4961</v>
      </c>
      <c r="I38" s="2"/>
      <c r="J38" s="2"/>
    </row>
    <row r="39" customFormat="false" ht="15" hidden="false" customHeight="false" outlineLevel="0" collapsed="false">
      <c r="A39" s="7" t="s">
        <v>4757</v>
      </c>
      <c r="B39" s="6" t="s">
        <v>102</v>
      </c>
      <c r="C39" s="6" t="s">
        <v>4697</v>
      </c>
      <c r="D39" s="6" t="n">
        <f aca="false">COUNTIF('All relationships'!$A$2:$A$1227,A39)</f>
        <v>3</v>
      </c>
      <c r="E39" s="6" t="n">
        <f aca="false">COUNTIFS('All relationships'!$A$2:$A$1227,A39,'All relationships'!$H$2:$H$1227,"Luxury",'All relationships'!$K$2:$K$1227,"&lt;&gt;Recently lost")</f>
        <v>1</v>
      </c>
      <c r="F39" s="6" t="n">
        <f aca="false">COUNTIFS('All relationships'!$A$2:$A$1227,A39,'All relationships'!$H$2:$H$1227,"Premium",'All relationships'!$K$2:$K$1227,"&lt;&gt;Recently lost")</f>
        <v>0</v>
      </c>
      <c r="G39" s="2" t="s">
        <v>4962</v>
      </c>
      <c r="H39" s="2" t="s">
        <v>3875</v>
      </c>
      <c r="I39" s="2" t="s">
        <v>3441</v>
      </c>
      <c r="J39" s="2" t="s">
        <v>4963</v>
      </c>
    </row>
    <row r="40" customFormat="false" ht="23.85" hidden="false" customHeight="false" outlineLevel="0" collapsed="false">
      <c r="A40" s="7" t="s">
        <v>4776</v>
      </c>
      <c r="B40" s="6" t="s">
        <v>102</v>
      </c>
      <c r="C40" s="6" t="s">
        <v>4697</v>
      </c>
      <c r="D40" s="6" t="n">
        <f aca="false">COUNTIF('All relationships'!$A$2:$A$1227,A40)</f>
        <v>3</v>
      </c>
      <c r="E40" s="6" t="n">
        <f aca="false">COUNTIFS('All relationships'!$A$2:$A$1227,A40,'All relationships'!$H$2:$H$1227,"Luxury",'All relationships'!$K$2:$K$1227,"&lt;&gt;Recently lost")</f>
        <v>0</v>
      </c>
      <c r="F40" s="6" t="n">
        <f aca="false">COUNTIFS('All relationships'!$A$2:$A$1227,A40,'All relationships'!$H$2:$H$1227,"Premium",'All relationships'!$K$2:$K$1227,"&lt;&gt;Recently lost")</f>
        <v>2</v>
      </c>
      <c r="G40" s="2" t="s">
        <v>4964</v>
      </c>
      <c r="H40" s="2" t="s">
        <v>3099</v>
      </c>
      <c r="I40" s="2"/>
      <c r="J40" s="2" t="s">
        <v>4965</v>
      </c>
    </row>
    <row r="41" customFormat="false" ht="23.85" hidden="false" customHeight="false" outlineLevel="0" collapsed="false">
      <c r="A41" s="7" t="s">
        <v>4966</v>
      </c>
      <c r="B41" s="6" t="s">
        <v>102</v>
      </c>
      <c r="C41" s="6" t="s">
        <v>4848</v>
      </c>
      <c r="D41" s="6" t="n">
        <f aca="false">COUNTIF('All relationships'!$A$2:$A$1227,A41)</f>
        <v>2</v>
      </c>
      <c r="E41" s="6" t="n">
        <f aca="false">COUNTIFS('All relationships'!$A$2:$A$1227,A41,'All relationships'!$H$2:$H$1227,"Luxury",'All relationships'!$K$2:$K$1227,"&lt;&gt;Recently lost")</f>
        <v>0</v>
      </c>
      <c r="F41" s="6" t="n">
        <f aca="false">COUNTIFS('All relationships'!$A$2:$A$1227,A41,'All relationships'!$H$2:$H$1227,"Premium",'All relationships'!$K$2:$K$1227,"&lt;&gt;Recently lost")</f>
        <v>2</v>
      </c>
      <c r="G41" s="2" t="s">
        <v>764</v>
      </c>
      <c r="H41" s="2"/>
      <c r="I41" s="2"/>
      <c r="J41" s="2" t="s">
        <v>4967</v>
      </c>
    </row>
    <row r="42" customFormat="false" ht="15" hidden="false" customHeight="false" outlineLevel="0" collapsed="false">
      <c r="A42" s="7" t="s">
        <v>4968</v>
      </c>
      <c r="B42" s="6" t="s">
        <v>102</v>
      </c>
      <c r="C42" s="6" t="s">
        <v>4682</v>
      </c>
      <c r="D42" s="6" t="n">
        <f aca="false">COUNTIF('All relationships'!$A$2:$A$1227,A42)</f>
        <v>2</v>
      </c>
      <c r="E42" s="6" t="n">
        <f aca="false">COUNTIFS('All relationships'!$A$2:$A$1227,A42,'All relationships'!$H$2:$H$1227,"Luxury",'All relationships'!$K$2:$K$1227,"&lt;&gt;Recently lost")</f>
        <v>0</v>
      </c>
      <c r="F42" s="6" t="n">
        <f aca="false">COUNTIFS('All relationships'!$A$2:$A$1227,A42,'All relationships'!$H$2:$H$1227,"Premium",'All relationships'!$K$2:$K$1227,"&lt;&gt;Recently lost")</f>
        <v>1</v>
      </c>
      <c r="G42" s="2" t="s">
        <v>3805</v>
      </c>
      <c r="H42" s="2" t="s">
        <v>4299</v>
      </c>
      <c r="I42" s="2"/>
      <c r="J42" s="2"/>
    </row>
    <row r="43" customFormat="false" ht="15" hidden="false" customHeight="false" outlineLevel="0" collapsed="false">
      <c r="A43" s="7" t="s">
        <v>4969</v>
      </c>
      <c r="B43" s="6" t="s">
        <v>102</v>
      </c>
      <c r="C43" s="6" t="s">
        <v>4848</v>
      </c>
      <c r="D43" s="6" t="n">
        <f aca="false">COUNTIF('All relationships'!$A$2:$A$1227,A43)</f>
        <v>1</v>
      </c>
      <c r="E43" s="6" t="n">
        <f aca="false">COUNTIFS('All relationships'!$A$2:$A$1227,A43,'All relationships'!$H$2:$H$1227,"Luxury",'All relationships'!$K$2:$K$1227,"&lt;&gt;Recently lost")</f>
        <v>0</v>
      </c>
      <c r="F43" s="6" t="n">
        <f aca="false">COUNTIFS('All relationships'!$A$2:$A$1227,A43,'All relationships'!$H$2:$H$1227,"Premium",'All relationships'!$K$2:$K$1227,"&lt;&gt;Recently lost")</f>
        <v>1</v>
      </c>
      <c r="G43" s="2" t="s">
        <v>457</v>
      </c>
      <c r="H43" s="2"/>
      <c r="I43" s="2"/>
      <c r="J43" s="2" t="s">
        <v>4970</v>
      </c>
    </row>
    <row r="44" customFormat="false" ht="15" hidden="false" customHeight="false" outlineLevel="0" collapsed="false">
      <c r="A44" s="7" t="s">
        <v>4971</v>
      </c>
      <c r="B44" s="6" t="s">
        <v>102</v>
      </c>
      <c r="C44" s="6" t="s">
        <v>4848</v>
      </c>
      <c r="D44" s="6" t="n">
        <f aca="false">COUNTIF('All relationships'!$A$2:$A$1227,A44)</f>
        <v>1</v>
      </c>
      <c r="E44" s="6" t="n">
        <f aca="false">COUNTIFS('All relationships'!$A$2:$A$1227,A44,'All relationships'!$H$2:$H$1227,"Luxury",'All relationships'!$K$2:$K$1227,"&lt;&gt;Recently lost")</f>
        <v>0</v>
      </c>
      <c r="F44" s="6" t="n">
        <f aca="false">COUNTIFS('All relationships'!$A$2:$A$1227,A44,'All relationships'!$H$2:$H$1227,"Premium",'All relationships'!$K$2:$K$1227,"&lt;&gt;Recently lost")</f>
        <v>1</v>
      </c>
      <c r="G44" s="2" t="s">
        <v>2287</v>
      </c>
      <c r="H44" s="2"/>
      <c r="I44" s="2"/>
      <c r="J44" s="2"/>
    </row>
    <row r="45" customFormat="false" ht="35.05" hidden="false" customHeight="false" outlineLevel="0" collapsed="false">
      <c r="A45" s="7" t="s">
        <v>4722</v>
      </c>
      <c r="B45" s="6" t="s">
        <v>1539</v>
      </c>
      <c r="C45" s="6" t="s">
        <v>4848</v>
      </c>
      <c r="D45" s="6" t="n">
        <f aca="false">COUNTIF('All relationships'!$A$2:$A$1227,A45)</f>
        <v>20</v>
      </c>
      <c r="E45" s="6" t="n">
        <f aca="false">COUNTIFS('All relationships'!$A$2:$A$1227,A45,'All relationships'!$H$2:$H$1227,"Luxury",'All relationships'!$K$2:$K$1227,"&lt;&gt;Recently lost")</f>
        <v>1</v>
      </c>
      <c r="F45" s="6" t="n">
        <f aca="false">COUNTIFS('All relationships'!$A$2:$A$1227,A45,'All relationships'!$H$2:$H$1227,"Premium",'All relationships'!$K$2:$K$1227,"&lt;&gt;Recently lost")</f>
        <v>8</v>
      </c>
      <c r="G45" s="2" t="s">
        <v>4972</v>
      </c>
      <c r="H45" s="2" t="s">
        <v>4973</v>
      </c>
      <c r="I45" s="2"/>
      <c r="J45" s="2" t="s">
        <v>4974</v>
      </c>
    </row>
    <row r="46" customFormat="false" ht="23.85" hidden="false" customHeight="false" outlineLevel="0" collapsed="false">
      <c r="A46" s="7" t="s">
        <v>4975</v>
      </c>
      <c r="B46" s="6" t="s">
        <v>1539</v>
      </c>
      <c r="C46" s="6" t="s">
        <v>4848</v>
      </c>
      <c r="D46" s="6" t="n">
        <f aca="false">COUNTIF('All relationships'!$A$2:$A$1227,A46)</f>
        <v>16</v>
      </c>
      <c r="E46" s="6" t="n">
        <f aca="false">COUNTIFS('All relationships'!$A$2:$A$1227,A46,'All relationships'!$H$2:$H$1227,"Luxury",'All relationships'!$K$2:$K$1227,"&lt;&gt;Recently lost")</f>
        <v>1</v>
      </c>
      <c r="F46" s="6" t="n">
        <f aca="false">COUNTIFS('All relationships'!$A$2:$A$1227,A46,'All relationships'!$H$2:$H$1227,"Premium",'All relationships'!$K$2:$K$1227,"&lt;&gt;Recently lost")</f>
        <v>7</v>
      </c>
      <c r="G46" s="2" t="s">
        <v>4976</v>
      </c>
      <c r="H46" s="2" t="s">
        <v>4977</v>
      </c>
      <c r="I46" s="2"/>
      <c r="J46" s="2" t="s">
        <v>4978</v>
      </c>
    </row>
    <row r="47" customFormat="false" ht="15" hidden="false" customHeight="false" outlineLevel="0" collapsed="false">
      <c r="A47" s="7" t="s">
        <v>4979</v>
      </c>
      <c r="B47" s="6" t="s">
        <v>1539</v>
      </c>
      <c r="C47" s="6" t="s">
        <v>4870</v>
      </c>
      <c r="D47" s="6" t="n">
        <f aca="false">COUNTIF('All relationships'!$A$2:$A$1227,A47)</f>
        <v>8</v>
      </c>
      <c r="E47" s="6" t="n">
        <f aca="false">COUNTIFS('All relationships'!$A$2:$A$1227,A47,'All relationships'!$H$2:$H$1227,"Luxury",'All relationships'!$K$2:$K$1227,"&lt;&gt;Recently lost")</f>
        <v>1</v>
      </c>
      <c r="F47" s="6" t="n">
        <f aca="false">COUNTIFS('All relationships'!$A$2:$A$1227,A47,'All relationships'!$H$2:$H$1227,"Premium",'All relationships'!$K$2:$K$1227,"&lt;&gt;Recently lost")</f>
        <v>3</v>
      </c>
      <c r="G47" s="2" t="s">
        <v>4980</v>
      </c>
      <c r="H47" s="2" t="s">
        <v>4981</v>
      </c>
      <c r="I47" s="2"/>
      <c r="J47" s="2"/>
    </row>
    <row r="48" customFormat="false" ht="15" hidden="false" customHeight="false" outlineLevel="0" collapsed="false">
      <c r="A48" s="7" t="s">
        <v>4982</v>
      </c>
      <c r="B48" s="6" t="s">
        <v>1539</v>
      </c>
      <c r="C48" s="6" t="s">
        <v>4682</v>
      </c>
      <c r="D48" s="6" t="n">
        <f aca="false">COUNTIF('All relationships'!$A$2:$A$1227,A48)</f>
        <v>2</v>
      </c>
      <c r="E48" s="6" t="n">
        <f aca="false">COUNTIFS('All relationships'!$A$2:$A$1227,A48,'All relationships'!$H$2:$H$1227,"Luxury",'All relationships'!$K$2:$K$1227,"&lt;&gt;Recently lost")</f>
        <v>0</v>
      </c>
      <c r="F48" s="6" t="n">
        <f aca="false">COUNTIFS('All relationships'!$A$2:$A$1227,A48,'All relationships'!$H$2:$H$1227,"Premium",'All relationships'!$K$2:$K$1227,"&lt;&gt;Recently lost")</f>
        <v>0</v>
      </c>
      <c r="G48" s="2"/>
      <c r="H48" s="2" t="s">
        <v>4983</v>
      </c>
      <c r="I48" s="2"/>
      <c r="J48" s="2" t="s">
        <v>4984</v>
      </c>
    </row>
    <row r="49" customFormat="false" ht="15" hidden="false" customHeight="false" outlineLevel="0" collapsed="false">
      <c r="A49" s="7" t="s">
        <v>4985</v>
      </c>
      <c r="B49" s="6" t="s">
        <v>1539</v>
      </c>
      <c r="C49" s="6" t="s">
        <v>4732</v>
      </c>
      <c r="D49" s="6" t="n">
        <f aca="false">COUNTIF('All relationships'!$A$2:$A$1227,A49)</f>
        <v>1</v>
      </c>
      <c r="E49" s="6" t="n">
        <f aca="false">COUNTIFS('All relationships'!$A$2:$A$1227,A49,'All relationships'!$H$2:$H$1227,"Luxury",'All relationships'!$K$2:$K$1227,"&lt;&gt;Recently lost")</f>
        <v>0</v>
      </c>
      <c r="F49" s="6" t="n">
        <f aca="false">COUNTIFS('All relationships'!$A$2:$A$1227,A49,'All relationships'!$H$2:$H$1227,"Premium",'All relationships'!$K$2:$K$1227,"&lt;&gt;Recently lost")</f>
        <v>0</v>
      </c>
      <c r="G49" s="2"/>
      <c r="H49" s="2" t="s">
        <v>2632</v>
      </c>
      <c r="I49" s="2"/>
      <c r="J49" s="2"/>
    </row>
    <row r="50" customFormat="false" ht="23.85" hidden="false" customHeight="false" outlineLevel="0" collapsed="false">
      <c r="A50" s="7" t="s">
        <v>4986</v>
      </c>
      <c r="B50" s="6" t="s">
        <v>1175</v>
      </c>
      <c r="C50" s="6" t="s">
        <v>4848</v>
      </c>
      <c r="D50" s="6" t="n">
        <f aca="false">COUNTIF('All relationships'!$A$2:$A$1227,A50)</f>
        <v>15</v>
      </c>
      <c r="E50" s="6" t="n">
        <f aca="false">COUNTIFS('All relationships'!$A$2:$A$1227,A50,'All relationships'!$H$2:$H$1227,"Luxury",'All relationships'!$K$2:$K$1227,"&lt;&gt;Recently lost")</f>
        <v>0</v>
      </c>
      <c r="F50" s="6" t="n">
        <f aca="false">COUNTIFS('All relationships'!$A$2:$A$1227,A50,'All relationships'!$H$2:$H$1227,"Premium",'All relationships'!$K$2:$K$1227,"&lt;&gt;Recently lost")</f>
        <v>1</v>
      </c>
      <c r="G50" s="2" t="s">
        <v>3354</v>
      </c>
      <c r="H50" s="2" t="s">
        <v>4987</v>
      </c>
      <c r="I50" s="2"/>
      <c r="J50" s="2" t="s">
        <v>4988</v>
      </c>
    </row>
    <row r="51" customFormat="false" ht="15" hidden="false" customHeight="false" outlineLevel="0" collapsed="false">
      <c r="A51" s="7" t="s">
        <v>4989</v>
      </c>
      <c r="B51" s="6" t="s">
        <v>1175</v>
      </c>
      <c r="C51" s="6" t="s">
        <v>4682</v>
      </c>
      <c r="D51" s="6" t="n">
        <f aca="false">COUNTIF('All relationships'!$A$2:$A$1227,A51)</f>
        <v>4</v>
      </c>
      <c r="E51" s="6" t="n">
        <f aca="false">COUNTIFS('All relationships'!$A$2:$A$1227,A51,'All relationships'!$H$2:$H$1227,"Luxury",'All relationships'!$K$2:$K$1227,"&lt;&gt;Recently lost")</f>
        <v>1</v>
      </c>
      <c r="F51" s="6" t="n">
        <f aca="false">COUNTIFS('All relationships'!$A$2:$A$1227,A51,'All relationships'!$H$2:$H$1227,"Premium",'All relationships'!$K$2:$K$1227,"&lt;&gt;Recently lost")</f>
        <v>3</v>
      </c>
      <c r="G51" s="2" t="s">
        <v>4990</v>
      </c>
      <c r="H51" s="2"/>
      <c r="I51" s="2"/>
      <c r="J51" s="2"/>
    </row>
    <row r="52" customFormat="false" ht="15" hidden="false" customHeight="false" outlineLevel="0" collapsed="false">
      <c r="A52" s="7" t="s">
        <v>4723</v>
      </c>
      <c r="B52" s="6" t="s">
        <v>1175</v>
      </c>
      <c r="C52" s="6" t="s">
        <v>4697</v>
      </c>
      <c r="D52" s="6" t="n">
        <f aca="false">COUNTIF('All relationships'!$A$2:$A$1227,A52)</f>
        <v>3</v>
      </c>
      <c r="E52" s="6" t="n">
        <f aca="false">COUNTIFS('All relationships'!$A$2:$A$1227,A52,'All relationships'!$H$2:$H$1227,"Luxury",'All relationships'!$K$2:$K$1227,"&lt;&gt;Recently lost")</f>
        <v>0</v>
      </c>
      <c r="F52" s="6" t="n">
        <f aca="false">COUNTIFS('All relationships'!$A$2:$A$1227,A52,'All relationships'!$H$2:$H$1227,"Premium",'All relationships'!$K$2:$K$1227,"&lt;&gt;Recently lost")</f>
        <v>1</v>
      </c>
      <c r="G52" s="2" t="s">
        <v>2046</v>
      </c>
      <c r="H52" s="2" t="s">
        <v>4991</v>
      </c>
      <c r="I52" s="2"/>
      <c r="J52" s="2" t="s">
        <v>4992</v>
      </c>
    </row>
    <row r="53" customFormat="false" ht="15" hidden="false" customHeight="false" outlineLevel="0" collapsed="false">
      <c r="A53" s="7" t="s">
        <v>4993</v>
      </c>
      <c r="B53" s="6" t="s">
        <v>1175</v>
      </c>
      <c r="C53" s="6" t="s">
        <v>4697</v>
      </c>
      <c r="D53" s="6" t="n">
        <f aca="false">COUNTIF('All relationships'!$A$2:$A$1227,A53)</f>
        <v>1</v>
      </c>
      <c r="E53" s="6" t="n">
        <f aca="false">COUNTIFS('All relationships'!$A$2:$A$1227,A53,'All relationships'!$H$2:$H$1227,"Luxury",'All relationships'!$K$2:$K$1227,"&lt;&gt;Recently lost")</f>
        <v>0</v>
      </c>
      <c r="F53" s="6" t="n">
        <f aca="false">COUNTIFS('All relationships'!$A$2:$A$1227,A53,'All relationships'!$H$2:$H$1227,"Premium",'All relationships'!$K$2:$K$1227,"&lt;&gt;Recently lost")</f>
        <v>1</v>
      </c>
      <c r="G53" s="2" t="s">
        <v>1951</v>
      </c>
      <c r="H53" s="2"/>
      <c r="I53" s="2"/>
      <c r="J53" s="2"/>
    </row>
    <row r="54" customFormat="false" ht="15" hidden="false" customHeight="false" outlineLevel="0" collapsed="false">
      <c r="A54" s="7" t="s">
        <v>4994</v>
      </c>
      <c r="B54" s="6" t="s">
        <v>374</v>
      </c>
      <c r="C54" s="6" t="s">
        <v>4870</v>
      </c>
      <c r="D54" s="6" t="n">
        <f aca="false">COUNTIF('All relationships'!$A$2:$A$1227,A54)</f>
        <v>8</v>
      </c>
      <c r="E54" s="6" t="n">
        <f aca="false">COUNTIFS('All relationships'!$A$2:$A$1227,A54,'All relationships'!$H$2:$H$1227,"Luxury",'All relationships'!$K$2:$K$1227,"&lt;&gt;Recently lost")</f>
        <v>1</v>
      </c>
      <c r="F54" s="6" t="n">
        <f aca="false">COUNTIFS('All relationships'!$A$2:$A$1227,A54,'All relationships'!$H$2:$H$1227,"Premium",'All relationships'!$K$2:$K$1227,"&lt;&gt;Recently lost")</f>
        <v>6</v>
      </c>
      <c r="G54" s="2" t="s">
        <v>4995</v>
      </c>
      <c r="H54" s="2" t="s">
        <v>3008</v>
      </c>
      <c r="I54" s="2"/>
      <c r="J54" s="2" t="s">
        <v>4996</v>
      </c>
    </row>
    <row r="55" customFormat="false" ht="15" hidden="false" customHeight="false" outlineLevel="0" collapsed="false">
      <c r="A55" s="7" t="s">
        <v>4997</v>
      </c>
      <c r="B55" s="6" t="s">
        <v>374</v>
      </c>
      <c r="C55" s="6" t="s">
        <v>4848</v>
      </c>
      <c r="D55" s="6" t="n">
        <f aca="false">COUNTIF('All relationships'!$A$2:$A$1227,A55)</f>
        <v>4</v>
      </c>
      <c r="E55" s="6" t="n">
        <f aca="false">COUNTIFS('All relationships'!$A$2:$A$1227,A55,'All relationships'!$H$2:$H$1227,"Luxury",'All relationships'!$K$2:$K$1227,"&lt;&gt;Recently lost")</f>
        <v>0</v>
      </c>
      <c r="F55" s="6" t="n">
        <f aca="false">COUNTIFS('All relationships'!$A$2:$A$1227,A55,'All relationships'!$H$2:$H$1227,"Premium",'All relationships'!$K$2:$K$1227,"&lt;&gt;Recently lost")</f>
        <v>2</v>
      </c>
      <c r="G55" s="2" t="s">
        <v>4998</v>
      </c>
      <c r="H55" s="2" t="s">
        <v>4999</v>
      </c>
      <c r="I55" s="2"/>
      <c r="J55" s="2" t="s">
        <v>5000</v>
      </c>
    </row>
    <row r="56" customFormat="false" ht="15" hidden="false" customHeight="false" outlineLevel="0" collapsed="false">
      <c r="A56" s="7" t="s">
        <v>5001</v>
      </c>
      <c r="B56" s="6" t="s">
        <v>374</v>
      </c>
      <c r="C56" s="6" t="s">
        <v>4870</v>
      </c>
      <c r="D56" s="6" t="n">
        <f aca="false">COUNTIF('All relationships'!$A$2:$A$1227,A56)</f>
        <v>4</v>
      </c>
      <c r="E56" s="6" t="n">
        <f aca="false">COUNTIFS('All relationships'!$A$2:$A$1227,A56,'All relationships'!$H$2:$H$1227,"Luxury",'All relationships'!$K$2:$K$1227,"&lt;&gt;Recently lost")</f>
        <v>0</v>
      </c>
      <c r="F56" s="6" t="n">
        <f aca="false">COUNTIFS('All relationships'!$A$2:$A$1227,A56,'All relationships'!$H$2:$H$1227,"Premium",'All relationships'!$K$2:$K$1227,"&lt;&gt;Recently lost")</f>
        <v>2</v>
      </c>
      <c r="G56" s="2" t="s">
        <v>5002</v>
      </c>
      <c r="H56" s="2" t="s">
        <v>5003</v>
      </c>
      <c r="I56" s="2"/>
      <c r="J56" s="2" t="s">
        <v>5004</v>
      </c>
    </row>
    <row r="57" customFormat="false" ht="15" hidden="false" customHeight="false" outlineLevel="0" collapsed="false">
      <c r="A57" s="7" t="s">
        <v>5005</v>
      </c>
      <c r="B57" s="6" t="s">
        <v>374</v>
      </c>
      <c r="C57" s="6" t="s">
        <v>4848</v>
      </c>
      <c r="D57" s="6" t="n">
        <f aca="false">COUNTIF('All relationships'!$A$2:$A$1227,A57)</f>
        <v>2</v>
      </c>
      <c r="E57" s="6" t="n">
        <f aca="false">COUNTIFS('All relationships'!$A$2:$A$1227,A57,'All relationships'!$H$2:$H$1227,"Luxury",'All relationships'!$K$2:$K$1227,"&lt;&gt;Recently lost")</f>
        <v>0</v>
      </c>
      <c r="F57" s="6" t="n">
        <f aca="false">COUNTIFS('All relationships'!$A$2:$A$1227,A57,'All relationships'!$H$2:$H$1227,"Premium",'All relationships'!$K$2:$K$1227,"&lt;&gt;Recently lost")</f>
        <v>2</v>
      </c>
      <c r="G57" s="2" t="s">
        <v>3441</v>
      </c>
      <c r="H57" s="2"/>
      <c r="I57" s="2"/>
      <c r="J57" s="2"/>
    </row>
    <row r="58" customFormat="false" ht="15" hidden="false" customHeight="false" outlineLevel="0" collapsed="false">
      <c r="A58" s="7" t="s">
        <v>4750</v>
      </c>
      <c r="B58" s="6" t="s">
        <v>206</v>
      </c>
      <c r="C58" s="6" t="s">
        <v>5006</v>
      </c>
      <c r="D58" s="6" t="n">
        <f aca="false">COUNTIF('All relationships'!$A$2:$A$1227,A58)</f>
        <v>6</v>
      </c>
      <c r="E58" s="6" t="n">
        <f aca="false">COUNTIFS('All relationships'!$A$2:$A$1227,A58,'All relationships'!$H$2:$H$1227,"Luxury",'All relationships'!$K$2:$K$1227,"&lt;&gt;Recently lost")</f>
        <v>4</v>
      </c>
      <c r="F58" s="6" t="n">
        <f aca="false">COUNTIFS('All relationships'!$A$2:$A$1227,A58,'All relationships'!$H$2:$H$1227,"Premium",'All relationships'!$K$2:$K$1227,"&lt;&gt;Recently lost")</f>
        <v>0</v>
      </c>
      <c r="G58" s="2" t="s">
        <v>5007</v>
      </c>
      <c r="H58" s="2" t="s">
        <v>5008</v>
      </c>
      <c r="I58" s="2"/>
      <c r="J58" s="2" t="s">
        <v>5009</v>
      </c>
    </row>
    <row r="59" customFormat="false" ht="23.85" hidden="false" customHeight="false" outlineLevel="0" collapsed="false">
      <c r="A59" s="7" t="s">
        <v>5010</v>
      </c>
      <c r="B59" s="6" t="s">
        <v>206</v>
      </c>
      <c r="C59" s="6" t="s">
        <v>4848</v>
      </c>
      <c r="D59" s="6" t="n">
        <f aca="false">COUNTIF('All relationships'!$A$2:$A$1227,A59)</f>
        <v>5</v>
      </c>
      <c r="E59" s="6" t="n">
        <f aca="false">COUNTIFS('All relationships'!$A$2:$A$1227,A59,'All relationships'!$H$2:$H$1227,"Luxury",'All relationships'!$K$2:$K$1227,"&lt;&gt;Recently lost")</f>
        <v>0</v>
      </c>
      <c r="F59" s="6" t="n">
        <f aca="false">COUNTIFS('All relationships'!$A$2:$A$1227,A59,'All relationships'!$H$2:$H$1227,"Premium",'All relationships'!$K$2:$K$1227,"&lt;&gt;Recently lost")</f>
        <v>1</v>
      </c>
      <c r="G59" s="2" t="s">
        <v>1849</v>
      </c>
      <c r="H59" s="2" t="s">
        <v>5011</v>
      </c>
      <c r="I59" s="2"/>
      <c r="J59" s="2" t="s">
        <v>5012</v>
      </c>
    </row>
    <row r="60" customFormat="false" ht="15" hidden="false" customHeight="false" outlineLevel="0" collapsed="false">
      <c r="A60" s="7" t="s">
        <v>5013</v>
      </c>
      <c r="B60" s="6" t="s">
        <v>206</v>
      </c>
      <c r="C60" s="6" t="s">
        <v>4732</v>
      </c>
      <c r="D60" s="6" t="n">
        <f aca="false">COUNTIF('All relationships'!$A$2:$A$1227,A60)</f>
        <v>4</v>
      </c>
      <c r="E60" s="6" t="n">
        <f aca="false">COUNTIFS('All relationships'!$A$2:$A$1227,A60,'All relationships'!$H$2:$H$1227,"Luxury",'All relationships'!$K$2:$K$1227,"&lt;&gt;Recently lost")</f>
        <v>3</v>
      </c>
      <c r="F60" s="6" t="n">
        <f aca="false">COUNTIFS('All relationships'!$A$2:$A$1227,A60,'All relationships'!$H$2:$H$1227,"Premium",'All relationships'!$K$2:$K$1227,"&lt;&gt;Recently lost")</f>
        <v>1</v>
      </c>
      <c r="G60" s="2" t="s">
        <v>5014</v>
      </c>
      <c r="H60" s="2"/>
      <c r="I60" s="2"/>
      <c r="J60" s="2"/>
    </row>
    <row r="61" customFormat="false" ht="23.85" hidden="false" customHeight="false" outlineLevel="0" collapsed="false">
      <c r="A61" s="7" t="s">
        <v>5015</v>
      </c>
      <c r="B61" s="6" t="s">
        <v>127</v>
      </c>
      <c r="C61" s="6" t="s">
        <v>5016</v>
      </c>
      <c r="D61" s="6" t="n">
        <f aca="false">COUNTIF('All relationships'!$A$2:$A$1227,A61)</f>
        <v>26</v>
      </c>
      <c r="E61" s="6" t="n">
        <f aca="false">COUNTIFS('All relationships'!$A$2:$A$1227,A61,'All relationships'!$H$2:$H$1227,"Luxury",'All relationships'!$K$2:$K$1227,"&lt;&gt;Recently lost")</f>
        <v>1</v>
      </c>
      <c r="F61" s="6" t="n">
        <f aca="false">COUNTIFS('All relationships'!$A$2:$A$1227,A61,'All relationships'!$H$2:$H$1227,"Premium",'All relationships'!$K$2:$K$1227,"&lt;&gt;Recently lost")</f>
        <v>15</v>
      </c>
      <c r="G61" s="2" t="s">
        <v>5017</v>
      </c>
      <c r="H61" s="2" t="s">
        <v>5018</v>
      </c>
      <c r="I61" s="2"/>
      <c r="J61" s="2"/>
    </row>
    <row r="62" customFormat="false" ht="46.25" hidden="false" customHeight="false" outlineLevel="0" collapsed="false">
      <c r="A62" s="7" t="s">
        <v>5019</v>
      </c>
      <c r="B62" s="6" t="s">
        <v>127</v>
      </c>
      <c r="C62" s="6" t="s">
        <v>5020</v>
      </c>
      <c r="D62" s="6" t="n">
        <f aca="false">COUNTIF('All relationships'!$A$2:$A$1227,A62)</f>
        <v>20</v>
      </c>
      <c r="E62" s="6" t="n">
        <f aca="false">COUNTIFS('All relationships'!$A$2:$A$1227,A62,'All relationships'!$H$2:$H$1227,"Luxury",'All relationships'!$K$2:$K$1227,"&lt;&gt;Recently lost")</f>
        <v>15</v>
      </c>
      <c r="F62" s="6" t="n">
        <f aca="false">COUNTIFS('All relationships'!$A$2:$A$1227,A62,'All relationships'!$H$2:$H$1227,"Premium",'All relationships'!$K$2:$K$1227,"&lt;&gt;Recently lost")</f>
        <v>5</v>
      </c>
      <c r="G62" s="2" t="s">
        <v>5021</v>
      </c>
      <c r="H62" s="2"/>
      <c r="I62" s="2"/>
      <c r="J62" s="2"/>
    </row>
    <row r="63" customFormat="false" ht="23.85" hidden="false" customHeight="false" outlineLevel="0" collapsed="false">
      <c r="A63" s="7" t="s">
        <v>4714</v>
      </c>
      <c r="B63" s="6" t="s">
        <v>127</v>
      </c>
      <c r="C63" s="6" t="s">
        <v>5006</v>
      </c>
      <c r="D63" s="6" t="n">
        <f aca="false">COUNTIF('All relationships'!$A$2:$A$1227,A63)</f>
        <v>18</v>
      </c>
      <c r="E63" s="6" t="n">
        <f aca="false">COUNTIFS('All relationships'!$A$2:$A$1227,A63,'All relationships'!$H$2:$H$1227,"Luxury",'All relationships'!$K$2:$K$1227,"&lt;&gt;Recently lost")</f>
        <v>2</v>
      </c>
      <c r="F63" s="6" t="n">
        <f aca="false">COUNTIFS('All relationships'!$A$2:$A$1227,A63,'All relationships'!$H$2:$H$1227,"Premium",'All relationships'!$K$2:$K$1227,"&lt;&gt;Recently lost")</f>
        <v>12</v>
      </c>
      <c r="G63" s="2" t="s">
        <v>5022</v>
      </c>
      <c r="H63" s="2" t="s">
        <v>5023</v>
      </c>
      <c r="I63" s="2"/>
      <c r="J63" s="2" t="s">
        <v>5024</v>
      </c>
    </row>
    <row r="64" customFormat="false" ht="23.85" hidden="false" customHeight="false" outlineLevel="0" collapsed="false">
      <c r="A64" s="7" t="s">
        <v>5025</v>
      </c>
      <c r="B64" s="6" t="s">
        <v>127</v>
      </c>
      <c r="C64" s="6" t="s">
        <v>5006</v>
      </c>
      <c r="D64" s="6" t="n">
        <f aca="false">COUNTIF('All relationships'!$A$2:$A$1227,A64)</f>
        <v>17</v>
      </c>
      <c r="E64" s="6" t="n">
        <f aca="false">COUNTIFS('All relationships'!$A$2:$A$1227,A64,'All relationships'!$H$2:$H$1227,"Luxury",'All relationships'!$K$2:$K$1227,"&lt;&gt;Recently lost")</f>
        <v>8</v>
      </c>
      <c r="F64" s="6" t="n">
        <f aca="false">COUNTIFS('All relationships'!$A$2:$A$1227,A64,'All relationships'!$H$2:$H$1227,"Premium",'All relationships'!$K$2:$K$1227,"&lt;&gt;Recently lost")</f>
        <v>6</v>
      </c>
      <c r="G64" s="2" t="s">
        <v>5026</v>
      </c>
      <c r="H64" s="2" t="s">
        <v>5027</v>
      </c>
      <c r="I64" s="2"/>
      <c r="J64" s="2"/>
    </row>
    <row r="65" customFormat="false" ht="23.85" hidden="false" customHeight="false" outlineLevel="0" collapsed="false">
      <c r="A65" s="7" t="s">
        <v>4787</v>
      </c>
      <c r="B65" s="6" t="s">
        <v>127</v>
      </c>
      <c r="C65" s="6" t="s">
        <v>5016</v>
      </c>
      <c r="D65" s="6" t="n">
        <f aca="false">COUNTIF('All relationships'!$A$2:$A$1227,A65)</f>
        <v>17</v>
      </c>
      <c r="E65" s="6" t="n">
        <f aca="false">COUNTIFS('All relationships'!$A$2:$A$1227,A65,'All relationships'!$H$2:$H$1227,"Luxury",'All relationships'!$K$2:$K$1227,"&lt;&gt;Recently lost")</f>
        <v>0</v>
      </c>
      <c r="F65" s="6" t="n">
        <f aca="false">COUNTIFS('All relationships'!$A$2:$A$1227,A65,'All relationships'!$H$2:$H$1227,"Premium",'All relationships'!$K$2:$K$1227,"&lt;&gt;Recently lost")</f>
        <v>5</v>
      </c>
      <c r="G65" s="2" t="s">
        <v>5028</v>
      </c>
      <c r="H65" s="2" t="s">
        <v>5029</v>
      </c>
      <c r="I65" s="2"/>
      <c r="J65" s="2"/>
    </row>
    <row r="66" customFormat="false" ht="23.85" hidden="false" customHeight="false" outlineLevel="0" collapsed="false">
      <c r="A66" s="7" t="s">
        <v>5030</v>
      </c>
      <c r="B66" s="6" t="s">
        <v>127</v>
      </c>
      <c r="C66" s="6" t="s">
        <v>5006</v>
      </c>
      <c r="D66" s="6" t="n">
        <f aca="false">COUNTIF('All relationships'!$A$2:$A$1227,A66)</f>
        <v>15</v>
      </c>
      <c r="E66" s="6" t="n">
        <f aca="false">COUNTIFS('All relationships'!$A$2:$A$1227,A66,'All relationships'!$H$2:$H$1227,"Luxury",'All relationships'!$K$2:$K$1227,"&lt;&gt;Recently lost")</f>
        <v>1</v>
      </c>
      <c r="F66" s="6" t="n">
        <f aca="false">COUNTIFS('All relationships'!$A$2:$A$1227,A66,'All relationships'!$H$2:$H$1227,"Premium",'All relationships'!$K$2:$K$1227,"&lt;&gt;Recently lost")</f>
        <v>8</v>
      </c>
      <c r="G66" s="2" t="s">
        <v>5031</v>
      </c>
      <c r="H66" s="2" t="s">
        <v>5032</v>
      </c>
      <c r="I66" s="2"/>
      <c r="J66" s="2"/>
    </row>
    <row r="67" customFormat="false" ht="23.85" hidden="false" customHeight="false" outlineLevel="0" collapsed="false">
      <c r="A67" s="7" t="s">
        <v>5033</v>
      </c>
      <c r="B67" s="6" t="s">
        <v>127</v>
      </c>
      <c r="C67" s="6" t="s">
        <v>5016</v>
      </c>
      <c r="D67" s="6" t="n">
        <f aca="false">COUNTIF('All relationships'!$A$2:$A$1227,A67)</f>
        <v>14</v>
      </c>
      <c r="E67" s="6" t="n">
        <f aca="false">COUNTIFS('All relationships'!$A$2:$A$1227,A67,'All relationships'!$H$2:$H$1227,"Luxury",'All relationships'!$K$2:$K$1227,"&lt;&gt;Recently lost")</f>
        <v>1</v>
      </c>
      <c r="F67" s="6" t="n">
        <f aca="false">COUNTIFS('All relationships'!$A$2:$A$1227,A67,'All relationships'!$H$2:$H$1227,"Premium",'All relationships'!$K$2:$K$1227,"&lt;&gt;Recently lost")</f>
        <v>4</v>
      </c>
      <c r="G67" s="2" t="s">
        <v>5034</v>
      </c>
      <c r="H67" s="2" t="s">
        <v>5035</v>
      </c>
      <c r="I67" s="2"/>
      <c r="J67" s="2"/>
    </row>
    <row r="68" customFormat="false" ht="23.85" hidden="false" customHeight="false" outlineLevel="0" collapsed="false">
      <c r="A68" s="7" t="s">
        <v>4762</v>
      </c>
      <c r="B68" s="6" t="s">
        <v>127</v>
      </c>
      <c r="C68" s="6" t="s">
        <v>5006</v>
      </c>
      <c r="D68" s="6" t="n">
        <f aca="false">COUNTIF('All relationships'!$A$2:$A$1227,A68)</f>
        <v>14</v>
      </c>
      <c r="E68" s="6" t="n">
        <f aca="false">COUNTIFS('All relationships'!$A$2:$A$1227,A68,'All relationships'!$H$2:$H$1227,"Luxury",'All relationships'!$K$2:$K$1227,"&lt;&gt;Recently lost")</f>
        <v>1</v>
      </c>
      <c r="F68" s="6" t="n">
        <f aca="false">COUNTIFS('All relationships'!$A$2:$A$1227,A68,'All relationships'!$H$2:$H$1227,"Premium",'All relationships'!$K$2:$K$1227,"&lt;&gt;Recently lost")</f>
        <v>6</v>
      </c>
      <c r="G68" s="2" t="s">
        <v>5036</v>
      </c>
      <c r="H68" s="2" t="s">
        <v>5037</v>
      </c>
      <c r="I68" s="2"/>
      <c r="J68" s="2"/>
    </row>
    <row r="69" customFormat="false" ht="15" hidden="false" customHeight="false" outlineLevel="0" collapsed="false">
      <c r="A69" s="7" t="s">
        <v>5038</v>
      </c>
      <c r="B69" s="6" t="s">
        <v>127</v>
      </c>
      <c r="C69" s="6" t="s">
        <v>5016</v>
      </c>
      <c r="D69" s="6" t="n">
        <f aca="false">COUNTIF('All relationships'!$A$2:$A$1227,A69)</f>
        <v>13</v>
      </c>
      <c r="E69" s="6" t="n">
        <f aca="false">COUNTIFS('All relationships'!$A$2:$A$1227,A69,'All relationships'!$H$2:$H$1227,"Luxury",'All relationships'!$K$2:$K$1227,"&lt;&gt;Recently lost")</f>
        <v>2</v>
      </c>
      <c r="F69" s="6" t="n">
        <f aca="false">COUNTIFS('All relationships'!$A$2:$A$1227,A69,'All relationships'!$H$2:$H$1227,"Premium",'All relationships'!$K$2:$K$1227,"&lt;&gt;Recently lost")</f>
        <v>5</v>
      </c>
      <c r="G69" s="2" t="s">
        <v>5039</v>
      </c>
      <c r="H69" s="2" t="s">
        <v>5040</v>
      </c>
      <c r="I69" s="2"/>
      <c r="J69" s="2"/>
    </row>
    <row r="70" customFormat="false" ht="23.85" hidden="false" customHeight="false" outlineLevel="0" collapsed="false">
      <c r="A70" s="7" t="s">
        <v>5041</v>
      </c>
      <c r="B70" s="6" t="s">
        <v>127</v>
      </c>
      <c r="C70" s="6" t="s">
        <v>5016</v>
      </c>
      <c r="D70" s="6" t="n">
        <f aca="false">COUNTIF('All relationships'!$A$2:$A$1227,A70)</f>
        <v>13</v>
      </c>
      <c r="E70" s="6" t="n">
        <f aca="false">COUNTIFS('All relationships'!$A$2:$A$1227,A70,'All relationships'!$H$2:$H$1227,"Luxury",'All relationships'!$K$2:$K$1227,"&lt;&gt;Recently lost")</f>
        <v>0</v>
      </c>
      <c r="F70" s="6" t="n">
        <f aca="false">COUNTIFS('All relationships'!$A$2:$A$1227,A70,'All relationships'!$H$2:$H$1227,"Premium",'All relationships'!$K$2:$K$1227,"&lt;&gt;Recently lost")</f>
        <v>2</v>
      </c>
      <c r="G70" s="2" t="s">
        <v>5042</v>
      </c>
      <c r="H70" s="2" t="s">
        <v>5043</v>
      </c>
      <c r="I70" s="2"/>
      <c r="J70" s="2"/>
    </row>
    <row r="71" customFormat="false" ht="23.85" hidden="false" customHeight="false" outlineLevel="0" collapsed="false">
      <c r="A71" s="7" t="s">
        <v>4816</v>
      </c>
      <c r="B71" s="6" t="s">
        <v>127</v>
      </c>
      <c r="C71" s="6" t="s">
        <v>5016</v>
      </c>
      <c r="D71" s="6" t="n">
        <f aca="false">COUNTIF('All relationships'!$A$2:$A$1227,A71)</f>
        <v>12</v>
      </c>
      <c r="E71" s="6" t="n">
        <f aca="false">COUNTIFS('All relationships'!$A$2:$A$1227,A71,'All relationships'!$H$2:$H$1227,"Luxury",'All relationships'!$K$2:$K$1227,"&lt;&gt;Recently lost")</f>
        <v>0</v>
      </c>
      <c r="F71" s="6" t="n">
        <f aca="false">COUNTIFS('All relationships'!$A$2:$A$1227,A71,'All relationships'!$H$2:$H$1227,"Premium",'All relationships'!$K$2:$K$1227,"&lt;&gt;Recently lost")</f>
        <v>5</v>
      </c>
      <c r="G71" s="2" t="s">
        <v>5044</v>
      </c>
      <c r="H71" s="2" t="s">
        <v>5045</v>
      </c>
      <c r="I71" s="2"/>
      <c r="J71" s="2" t="s">
        <v>5046</v>
      </c>
    </row>
    <row r="72" customFormat="false" ht="23.85" hidden="false" customHeight="false" outlineLevel="0" collapsed="false">
      <c r="A72" s="7" t="s">
        <v>5047</v>
      </c>
      <c r="B72" s="6" t="s">
        <v>127</v>
      </c>
      <c r="C72" s="6" t="s">
        <v>5006</v>
      </c>
      <c r="D72" s="6" t="n">
        <f aca="false">COUNTIF('All relationships'!$A$2:$A$1227,A72)</f>
        <v>11</v>
      </c>
      <c r="E72" s="6" t="n">
        <f aca="false">COUNTIFS('All relationships'!$A$2:$A$1227,A72,'All relationships'!$H$2:$H$1227,"Luxury",'All relationships'!$K$2:$K$1227,"&lt;&gt;Recently lost")</f>
        <v>2</v>
      </c>
      <c r="F72" s="6" t="n">
        <f aca="false">COUNTIFS('All relationships'!$A$2:$A$1227,A72,'All relationships'!$H$2:$H$1227,"Premium",'All relationships'!$K$2:$K$1227,"&lt;&gt;Recently lost")</f>
        <v>7</v>
      </c>
      <c r="G72" s="2" t="s">
        <v>5048</v>
      </c>
      <c r="H72" s="2"/>
      <c r="I72" s="2" t="s">
        <v>5049</v>
      </c>
      <c r="J72" s="2"/>
    </row>
    <row r="73" customFormat="false" ht="15" hidden="false" customHeight="false" outlineLevel="0" collapsed="false">
      <c r="A73" s="7" t="s">
        <v>5050</v>
      </c>
      <c r="B73" s="6" t="s">
        <v>127</v>
      </c>
      <c r="C73" s="6" t="s">
        <v>5016</v>
      </c>
      <c r="D73" s="6" t="n">
        <f aca="false">COUNTIF('All relationships'!$A$2:$A$1227,A73)</f>
        <v>10</v>
      </c>
      <c r="E73" s="6" t="n">
        <f aca="false">COUNTIFS('All relationships'!$A$2:$A$1227,A73,'All relationships'!$H$2:$H$1227,"Luxury",'All relationships'!$K$2:$K$1227,"&lt;&gt;Recently lost")</f>
        <v>1</v>
      </c>
      <c r="F73" s="6" t="n">
        <f aca="false">COUNTIFS('All relationships'!$A$2:$A$1227,A73,'All relationships'!$H$2:$H$1227,"Premium",'All relationships'!$K$2:$K$1227,"&lt;&gt;Recently lost")</f>
        <v>2</v>
      </c>
      <c r="G73" s="2" t="s">
        <v>5051</v>
      </c>
      <c r="H73" s="2" t="s">
        <v>5052</v>
      </c>
      <c r="I73" s="2" t="s">
        <v>152</v>
      </c>
      <c r="J73" s="2"/>
    </row>
    <row r="74" customFormat="false" ht="15" hidden="false" customHeight="false" outlineLevel="0" collapsed="false">
      <c r="A74" s="7" t="s">
        <v>5053</v>
      </c>
      <c r="B74" s="6" t="s">
        <v>127</v>
      </c>
      <c r="C74" s="6" t="s">
        <v>5006</v>
      </c>
      <c r="D74" s="6" t="n">
        <f aca="false">COUNTIF('All relationships'!$A$2:$A$1227,A74)</f>
        <v>10</v>
      </c>
      <c r="E74" s="6" t="n">
        <f aca="false">COUNTIFS('All relationships'!$A$2:$A$1227,A74,'All relationships'!$H$2:$H$1227,"Luxury",'All relationships'!$K$2:$K$1227,"&lt;&gt;Recently lost")</f>
        <v>1</v>
      </c>
      <c r="F74" s="6" t="n">
        <f aca="false">COUNTIFS('All relationships'!$A$2:$A$1227,A74,'All relationships'!$H$2:$H$1227,"Premium",'All relationships'!$K$2:$K$1227,"&lt;&gt;Recently lost")</f>
        <v>4</v>
      </c>
      <c r="G74" s="2" t="s">
        <v>5054</v>
      </c>
      <c r="H74" s="2" t="s">
        <v>5055</v>
      </c>
      <c r="I74" s="2"/>
      <c r="J74" s="2"/>
    </row>
    <row r="75" customFormat="false" ht="15" hidden="false" customHeight="false" outlineLevel="0" collapsed="false">
      <c r="A75" s="7" t="s">
        <v>5056</v>
      </c>
      <c r="B75" s="6" t="s">
        <v>127</v>
      </c>
      <c r="C75" s="6" t="s">
        <v>5006</v>
      </c>
      <c r="D75" s="6" t="n">
        <f aca="false">COUNTIF('All relationships'!$A$2:$A$1227,A75)</f>
        <v>9</v>
      </c>
      <c r="E75" s="6" t="n">
        <f aca="false">COUNTIFS('All relationships'!$A$2:$A$1227,A75,'All relationships'!$H$2:$H$1227,"Luxury",'All relationships'!$K$2:$K$1227,"&lt;&gt;Recently lost")</f>
        <v>0</v>
      </c>
      <c r="F75" s="6" t="n">
        <f aca="false">COUNTIFS('All relationships'!$A$2:$A$1227,A75,'All relationships'!$H$2:$H$1227,"Premium",'All relationships'!$K$2:$K$1227,"&lt;&gt;Recently lost")</f>
        <v>3</v>
      </c>
      <c r="G75" s="2" t="s">
        <v>5057</v>
      </c>
      <c r="H75" s="2" t="s">
        <v>5058</v>
      </c>
      <c r="I75" s="2"/>
      <c r="J75" s="2"/>
    </row>
    <row r="76" customFormat="false" ht="15" hidden="false" customHeight="false" outlineLevel="0" collapsed="false">
      <c r="A76" s="7" t="s">
        <v>4712</v>
      </c>
      <c r="B76" s="6" t="s">
        <v>127</v>
      </c>
      <c r="C76" s="6" t="s">
        <v>5006</v>
      </c>
      <c r="D76" s="6" t="n">
        <f aca="false">COUNTIF('All relationships'!$A$2:$A$1227,A76)</f>
        <v>9</v>
      </c>
      <c r="E76" s="6" t="n">
        <f aca="false">COUNTIFS('All relationships'!$A$2:$A$1227,A76,'All relationships'!$H$2:$H$1227,"Luxury",'All relationships'!$K$2:$K$1227,"&lt;&gt;Recently lost")</f>
        <v>0</v>
      </c>
      <c r="F76" s="6" t="n">
        <f aca="false">COUNTIFS('All relationships'!$A$2:$A$1227,A76,'All relationships'!$H$2:$H$1227,"Premium",'All relationships'!$K$2:$K$1227,"&lt;&gt;Recently lost")</f>
        <v>5</v>
      </c>
      <c r="G76" s="2" t="s">
        <v>5059</v>
      </c>
      <c r="H76" s="2" t="s">
        <v>5060</v>
      </c>
      <c r="I76" s="2" t="s">
        <v>3507</v>
      </c>
      <c r="J76" s="2"/>
    </row>
    <row r="77" customFormat="false" ht="15" hidden="false" customHeight="false" outlineLevel="0" collapsed="false">
      <c r="A77" s="7" t="s">
        <v>4728</v>
      </c>
      <c r="B77" s="6" t="s">
        <v>127</v>
      </c>
      <c r="C77" s="6" t="s">
        <v>5006</v>
      </c>
      <c r="D77" s="6" t="n">
        <f aca="false">COUNTIF('All relationships'!$A$2:$A$1227,A77)</f>
        <v>8</v>
      </c>
      <c r="E77" s="6" t="n">
        <f aca="false">COUNTIFS('All relationships'!$A$2:$A$1227,A77,'All relationships'!$H$2:$H$1227,"Luxury",'All relationships'!$K$2:$K$1227,"&lt;&gt;Recently lost")</f>
        <v>0</v>
      </c>
      <c r="F77" s="6" t="n">
        <f aca="false">COUNTIFS('All relationships'!$A$2:$A$1227,A77,'All relationships'!$H$2:$H$1227,"Premium",'All relationships'!$K$2:$K$1227,"&lt;&gt;Recently lost")</f>
        <v>6</v>
      </c>
      <c r="G77" s="2" t="s">
        <v>5061</v>
      </c>
      <c r="H77" s="2" t="s">
        <v>5062</v>
      </c>
      <c r="I77" s="2"/>
      <c r="J77" s="2"/>
    </row>
    <row r="78" customFormat="false" ht="15" hidden="false" customHeight="false" outlineLevel="0" collapsed="false">
      <c r="A78" s="7" t="s">
        <v>4754</v>
      </c>
      <c r="B78" s="6" t="s">
        <v>127</v>
      </c>
      <c r="C78" s="6" t="s">
        <v>5016</v>
      </c>
      <c r="D78" s="6" t="n">
        <f aca="false">COUNTIF('All relationships'!$A$2:$A$1227,A78)</f>
        <v>7</v>
      </c>
      <c r="E78" s="6" t="n">
        <f aca="false">COUNTIFS('All relationships'!$A$2:$A$1227,A78,'All relationships'!$H$2:$H$1227,"Luxury",'All relationships'!$K$2:$K$1227,"&lt;&gt;Recently lost")</f>
        <v>0</v>
      </c>
      <c r="F78" s="6" t="n">
        <f aca="false">COUNTIFS('All relationships'!$A$2:$A$1227,A78,'All relationships'!$H$2:$H$1227,"Premium",'All relationships'!$K$2:$K$1227,"&lt;&gt;Recently lost")</f>
        <v>5</v>
      </c>
      <c r="G78" s="2" t="s">
        <v>5063</v>
      </c>
      <c r="H78" s="2" t="s">
        <v>5064</v>
      </c>
      <c r="I78" s="2"/>
      <c r="J78" s="2"/>
    </row>
    <row r="79" customFormat="false" ht="15" hidden="false" customHeight="false" outlineLevel="0" collapsed="false">
      <c r="A79" s="7" t="s">
        <v>5065</v>
      </c>
      <c r="B79" s="6" t="s">
        <v>127</v>
      </c>
      <c r="C79" s="6" t="s">
        <v>5006</v>
      </c>
      <c r="D79" s="6" t="n">
        <f aca="false">COUNTIF('All relationships'!$A$2:$A$1227,A79)</f>
        <v>7</v>
      </c>
      <c r="E79" s="6" t="n">
        <f aca="false">COUNTIFS('All relationships'!$A$2:$A$1227,A79,'All relationships'!$H$2:$H$1227,"Luxury",'All relationships'!$K$2:$K$1227,"&lt;&gt;Recently lost")</f>
        <v>1</v>
      </c>
      <c r="F79" s="6" t="n">
        <f aca="false">COUNTIFS('All relationships'!$A$2:$A$1227,A79,'All relationships'!$H$2:$H$1227,"Premium",'All relationships'!$K$2:$K$1227,"&lt;&gt;Recently lost")</f>
        <v>4</v>
      </c>
      <c r="G79" s="2" t="s">
        <v>5066</v>
      </c>
      <c r="H79" s="2" t="s">
        <v>5067</v>
      </c>
      <c r="I79" s="2"/>
      <c r="J79" s="2"/>
    </row>
    <row r="80" customFormat="false" ht="15" hidden="false" customHeight="false" outlineLevel="0" collapsed="false">
      <c r="A80" s="7" t="s">
        <v>5068</v>
      </c>
      <c r="B80" s="6" t="s">
        <v>127</v>
      </c>
      <c r="C80" s="6" t="s">
        <v>5016</v>
      </c>
      <c r="D80" s="6" t="n">
        <f aca="false">COUNTIF('All relationships'!$A$2:$A$1227,A80)</f>
        <v>7</v>
      </c>
      <c r="E80" s="6" t="n">
        <f aca="false">COUNTIFS('All relationships'!$A$2:$A$1227,A80,'All relationships'!$H$2:$H$1227,"Luxury",'All relationships'!$K$2:$K$1227,"&lt;&gt;Recently lost")</f>
        <v>0</v>
      </c>
      <c r="F80" s="6" t="n">
        <f aca="false">COUNTIFS('All relationships'!$A$2:$A$1227,A80,'All relationships'!$H$2:$H$1227,"Premium",'All relationships'!$K$2:$K$1227,"&lt;&gt;Recently lost")</f>
        <v>5</v>
      </c>
      <c r="G80" s="2" t="s">
        <v>5069</v>
      </c>
      <c r="H80" s="2" t="s">
        <v>5070</v>
      </c>
      <c r="I80" s="2"/>
      <c r="J80" s="2"/>
    </row>
    <row r="81" customFormat="false" ht="15" hidden="false" customHeight="false" outlineLevel="0" collapsed="false">
      <c r="A81" s="7" t="s">
        <v>4705</v>
      </c>
      <c r="B81" s="6" t="s">
        <v>127</v>
      </c>
      <c r="C81" s="6" t="s">
        <v>5006</v>
      </c>
      <c r="D81" s="6" t="n">
        <f aca="false">COUNTIF('All relationships'!$A$2:$A$1227,A81)</f>
        <v>6</v>
      </c>
      <c r="E81" s="6" t="n">
        <f aca="false">COUNTIFS('All relationships'!$A$2:$A$1227,A81,'All relationships'!$H$2:$H$1227,"Luxury",'All relationships'!$K$2:$K$1227,"&lt;&gt;Recently lost")</f>
        <v>0</v>
      </c>
      <c r="F81" s="6" t="n">
        <f aca="false">COUNTIFS('All relationships'!$A$2:$A$1227,A81,'All relationships'!$H$2:$H$1227,"Premium",'All relationships'!$K$2:$K$1227,"&lt;&gt;Recently lost")</f>
        <v>4</v>
      </c>
      <c r="G81" s="2" t="s">
        <v>5071</v>
      </c>
      <c r="H81" s="2" t="s">
        <v>5072</v>
      </c>
      <c r="I81" s="2"/>
      <c r="J81" s="2"/>
    </row>
    <row r="82" customFormat="false" ht="15" hidden="false" customHeight="false" outlineLevel="0" collapsed="false">
      <c r="A82" s="7" t="s">
        <v>4804</v>
      </c>
      <c r="B82" s="6" t="s">
        <v>127</v>
      </c>
      <c r="C82" s="6" t="s">
        <v>5016</v>
      </c>
      <c r="D82" s="6" t="n">
        <f aca="false">COUNTIF('All relationships'!$A$2:$A$1227,A82)</f>
        <v>6</v>
      </c>
      <c r="E82" s="6" t="n">
        <f aca="false">COUNTIFS('All relationships'!$A$2:$A$1227,A82,'All relationships'!$H$2:$H$1227,"Luxury",'All relationships'!$K$2:$K$1227,"&lt;&gt;Recently lost")</f>
        <v>0</v>
      </c>
      <c r="F82" s="6" t="n">
        <f aca="false">COUNTIFS('All relationships'!$A$2:$A$1227,A82,'All relationships'!$H$2:$H$1227,"Premium",'All relationships'!$K$2:$K$1227,"&lt;&gt;Recently lost")</f>
        <v>3</v>
      </c>
      <c r="G82" s="2" t="s">
        <v>5073</v>
      </c>
      <c r="H82" s="2" t="s">
        <v>5074</v>
      </c>
      <c r="I82" s="2"/>
      <c r="J82" s="2"/>
    </row>
    <row r="83" customFormat="false" ht="15" hidden="false" customHeight="false" outlineLevel="0" collapsed="false">
      <c r="A83" s="7" t="s">
        <v>5075</v>
      </c>
      <c r="B83" s="6" t="s">
        <v>127</v>
      </c>
      <c r="C83" s="6" t="s">
        <v>5016</v>
      </c>
      <c r="D83" s="6" t="n">
        <f aca="false">COUNTIF('All relationships'!$A$2:$A$1227,A83)</f>
        <v>5</v>
      </c>
      <c r="E83" s="6" t="n">
        <f aca="false">COUNTIFS('All relationships'!$A$2:$A$1227,A83,'All relationships'!$H$2:$H$1227,"Luxury",'All relationships'!$K$2:$K$1227,"&lt;&gt;Recently lost")</f>
        <v>0</v>
      </c>
      <c r="F83" s="6" t="n">
        <f aca="false">COUNTIFS('All relationships'!$A$2:$A$1227,A83,'All relationships'!$H$2:$H$1227,"Premium",'All relationships'!$K$2:$K$1227,"&lt;&gt;Recently lost")</f>
        <v>3</v>
      </c>
      <c r="G83" s="2" t="s">
        <v>5076</v>
      </c>
      <c r="H83" s="2" t="s">
        <v>5077</v>
      </c>
      <c r="I83" s="2"/>
      <c r="J83" s="2"/>
    </row>
    <row r="84" customFormat="false" ht="15" hidden="false" customHeight="false" outlineLevel="0" collapsed="false">
      <c r="A84" s="7" t="s">
        <v>5078</v>
      </c>
      <c r="B84" s="6" t="s">
        <v>127</v>
      </c>
      <c r="C84" s="6" t="s">
        <v>5006</v>
      </c>
      <c r="D84" s="6" t="n">
        <f aca="false">COUNTIF('All relationships'!$A$2:$A$1227,A84)</f>
        <v>5</v>
      </c>
      <c r="E84" s="6" t="n">
        <f aca="false">COUNTIFS('All relationships'!$A$2:$A$1227,A84,'All relationships'!$H$2:$H$1227,"Luxury",'All relationships'!$K$2:$K$1227,"&lt;&gt;Recently lost")</f>
        <v>0</v>
      </c>
      <c r="F84" s="6" t="n">
        <f aca="false">COUNTIFS('All relationships'!$A$2:$A$1227,A84,'All relationships'!$H$2:$H$1227,"Premium",'All relationships'!$K$2:$K$1227,"&lt;&gt;Recently lost")</f>
        <v>2</v>
      </c>
      <c r="G84" s="2" t="s">
        <v>5079</v>
      </c>
      <c r="H84" s="2" t="s">
        <v>5080</v>
      </c>
      <c r="I84" s="2"/>
      <c r="J84" s="2"/>
    </row>
    <row r="85" customFormat="false" ht="15" hidden="false" customHeight="false" outlineLevel="0" collapsed="false">
      <c r="A85" s="7" t="s">
        <v>5081</v>
      </c>
      <c r="B85" s="6" t="s">
        <v>127</v>
      </c>
      <c r="C85" s="6" t="s">
        <v>5016</v>
      </c>
      <c r="D85" s="6" t="n">
        <f aca="false">COUNTIF('All relationships'!$A$2:$A$1227,A85)</f>
        <v>4</v>
      </c>
      <c r="E85" s="6" t="n">
        <f aca="false">COUNTIFS('All relationships'!$A$2:$A$1227,A85,'All relationships'!$H$2:$H$1227,"Luxury",'All relationships'!$K$2:$K$1227,"&lt;&gt;Recently lost")</f>
        <v>1</v>
      </c>
      <c r="F85" s="6" t="n">
        <f aca="false">COUNTIFS('All relationships'!$A$2:$A$1227,A85,'All relationships'!$H$2:$H$1227,"Premium",'All relationships'!$K$2:$K$1227,"&lt;&gt;Recently lost")</f>
        <v>1</v>
      </c>
      <c r="G85" s="2" t="s">
        <v>5082</v>
      </c>
      <c r="H85" s="2" t="s">
        <v>3566</v>
      </c>
      <c r="I85" s="2" t="s">
        <v>2767</v>
      </c>
      <c r="J85" s="2"/>
    </row>
    <row r="86" customFormat="false" ht="15" hidden="false" customHeight="false" outlineLevel="0" collapsed="false">
      <c r="A86" s="7" t="s">
        <v>5083</v>
      </c>
      <c r="B86" s="6" t="s">
        <v>127</v>
      </c>
      <c r="C86" s="6" t="s">
        <v>4682</v>
      </c>
      <c r="D86" s="6" t="n">
        <f aca="false">COUNTIF('All relationships'!$A$2:$A$1227,A86)</f>
        <v>4</v>
      </c>
      <c r="E86" s="6" t="n">
        <f aca="false">COUNTIFS('All relationships'!$A$2:$A$1227,A86,'All relationships'!$H$2:$H$1227,"Luxury",'All relationships'!$K$2:$K$1227,"&lt;&gt;Recently lost")</f>
        <v>1</v>
      </c>
      <c r="F86" s="6" t="n">
        <f aca="false">COUNTIFS('All relationships'!$A$2:$A$1227,A86,'All relationships'!$H$2:$H$1227,"Premium",'All relationships'!$K$2:$K$1227,"&lt;&gt;Recently lost")</f>
        <v>3</v>
      </c>
      <c r="G86" s="2" t="s">
        <v>5084</v>
      </c>
      <c r="H86" s="2"/>
      <c r="I86" s="2"/>
      <c r="J86" s="2"/>
    </row>
    <row r="87" customFormat="false" ht="15" hidden="false" customHeight="false" outlineLevel="0" collapsed="false">
      <c r="A87" s="7" t="s">
        <v>5085</v>
      </c>
      <c r="B87" s="6" t="s">
        <v>127</v>
      </c>
      <c r="C87" s="6" t="s">
        <v>5016</v>
      </c>
      <c r="D87" s="6" t="n">
        <f aca="false">COUNTIF('All relationships'!$A$2:$A$1227,A87)</f>
        <v>4</v>
      </c>
      <c r="E87" s="6" t="n">
        <f aca="false">COUNTIFS('All relationships'!$A$2:$A$1227,A87,'All relationships'!$H$2:$H$1227,"Luxury",'All relationships'!$K$2:$K$1227,"&lt;&gt;Recently lost")</f>
        <v>0</v>
      </c>
      <c r="F87" s="6" t="n">
        <f aca="false">COUNTIFS('All relationships'!$A$2:$A$1227,A87,'All relationships'!$H$2:$H$1227,"Premium",'All relationships'!$K$2:$K$1227,"&lt;&gt;Recently lost")</f>
        <v>1</v>
      </c>
      <c r="G87" s="2" t="s">
        <v>1090</v>
      </c>
      <c r="H87" s="2" t="s">
        <v>5086</v>
      </c>
      <c r="I87" s="2"/>
      <c r="J87" s="2"/>
    </row>
    <row r="88" customFormat="false" ht="15" hidden="false" customHeight="false" outlineLevel="0" collapsed="false">
      <c r="A88" s="7" t="s">
        <v>5087</v>
      </c>
      <c r="B88" s="6" t="s">
        <v>127</v>
      </c>
      <c r="C88" s="6" t="s">
        <v>5006</v>
      </c>
      <c r="D88" s="6" t="n">
        <f aca="false">COUNTIF('All relationships'!$A$2:$A$1227,A88)</f>
        <v>4</v>
      </c>
      <c r="E88" s="6" t="n">
        <f aca="false">COUNTIFS('All relationships'!$A$2:$A$1227,A88,'All relationships'!$H$2:$H$1227,"Luxury",'All relationships'!$K$2:$K$1227,"&lt;&gt;Recently lost")</f>
        <v>0</v>
      </c>
      <c r="F88" s="6" t="n">
        <f aca="false">COUNTIFS('All relationships'!$A$2:$A$1227,A88,'All relationships'!$H$2:$H$1227,"Premium",'All relationships'!$K$2:$K$1227,"&lt;&gt;Recently lost")</f>
        <v>1</v>
      </c>
      <c r="G88" s="2" t="s">
        <v>414</v>
      </c>
      <c r="H88" s="2" t="s">
        <v>5088</v>
      </c>
      <c r="I88" s="2"/>
      <c r="J88" s="2"/>
    </row>
    <row r="89" customFormat="false" ht="23.85" hidden="false" customHeight="false" outlineLevel="0" collapsed="false">
      <c r="A89" s="7" t="s">
        <v>4725</v>
      </c>
      <c r="B89" s="6" t="s">
        <v>127</v>
      </c>
      <c r="C89" s="6" t="s">
        <v>4697</v>
      </c>
      <c r="D89" s="6" t="n">
        <f aca="false">COUNTIF('All relationships'!$A$2:$A$1227,A89)</f>
        <v>4</v>
      </c>
      <c r="E89" s="6" t="n">
        <f aca="false">COUNTIFS('All relationships'!$A$2:$A$1227,A89,'All relationships'!$H$2:$H$1227,"Luxury",'All relationships'!$K$2:$K$1227,"&lt;&gt;Recently lost")</f>
        <v>0</v>
      </c>
      <c r="F89" s="6" t="n">
        <f aca="false">COUNTIFS('All relationships'!$A$2:$A$1227,A89,'All relationships'!$H$2:$H$1227,"Premium",'All relationships'!$K$2:$K$1227,"&lt;&gt;Recently lost")</f>
        <v>2</v>
      </c>
      <c r="G89" s="2" t="s">
        <v>5089</v>
      </c>
      <c r="H89" s="2" t="s">
        <v>4232</v>
      </c>
      <c r="I89" s="2" t="s">
        <v>3132</v>
      </c>
      <c r="J89" s="2" t="s">
        <v>5090</v>
      </c>
    </row>
    <row r="90" customFormat="false" ht="15" hidden="false" customHeight="false" outlineLevel="0" collapsed="false">
      <c r="A90" s="7" t="s">
        <v>5091</v>
      </c>
      <c r="B90" s="6" t="s">
        <v>127</v>
      </c>
      <c r="C90" s="6" t="s">
        <v>5020</v>
      </c>
      <c r="D90" s="6" t="n">
        <f aca="false">COUNTIF('All relationships'!$A$2:$A$1227,A90)</f>
        <v>4</v>
      </c>
      <c r="E90" s="6" t="n">
        <f aca="false">COUNTIFS('All relationships'!$A$2:$A$1227,A90,'All relationships'!$H$2:$H$1227,"Luxury",'All relationships'!$K$2:$K$1227,"&lt;&gt;Recently lost")</f>
        <v>3</v>
      </c>
      <c r="F90" s="6" t="n">
        <f aca="false">COUNTIFS('All relationships'!$A$2:$A$1227,A90,'All relationships'!$H$2:$H$1227,"Premium",'All relationships'!$K$2:$K$1227,"&lt;&gt;Recently lost")</f>
        <v>1</v>
      </c>
      <c r="G90" s="2" t="s">
        <v>5092</v>
      </c>
      <c r="H90" s="2"/>
      <c r="I90" s="2"/>
      <c r="J90" s="2"/>
    </row>
    <row r="91" customFormat="false" ht="15" hidden="false" customHeight="false" outlineLevel="0" collapsed="false">
      <c r="A91" s="7" t="s">
        <v>5093</v>
      </c>
      <c r="B91" s="6" t="s">
        <v>127</v>
      </c>
      <c r="C91" s="6" t="s">
        <v>5006</v>
      </c>
      <c r="D91" s="6" t="n">
        <f aca="false">COUNTIF('All relationships'!$A$2:$A$1227,A91)</f>
        <v>4</v>
      </c>
      <c r="E91" s="6" t="n">
        <f aca="false">COUNTIFS('All relationships'!$A$2:$A$1227,A91,'All relationships'!$H$2:$H$1227,"Luxury",'All relationships'!$K$2:$K$1227,"&lt;&gt;Recently lost")</f>
        <v>0</v>
      </c>
      <c r="F91" s="6" t="n">
        <f aca="false">COUNTIFS('All relationships'!$A$2:$A$1227,A91,'All relationships'!$H$2:$H$1227,"Premium",'All relationships'!$K$2:$K$1227,"&lt;&gt;Recently lost")</f>
        <v>4</v>
      </c>
      <c r="G91" s="2" t="s">
        <v>5094</v>
      </c>
      <c r="H91" s="2"/>
      <c r="I91" s="2"/>
      <c r="J91" s="2"/>
    </row>
    <row r="92" customFormat="false" ht="15" hidden="false" customHeight="false" outlineLevel="0" collapsed="false">
      <c r="A92" s="7" t="s">
        <v>5095</v>
      </c>
      <c r="B92" s="6" t="s">
        <v>127</v>
      </c>
      <c r="C92" s="6" t="s">
        <v>5016</v>
      </c>
      <c r="D92" s="6" t="n">
        <f aca="false">COUNTIF('All relationships'!$A$2:$A$1227,A92)</f>
        <v>4</v>
      </c>
      <c r="E92" s="6" t="n">
        <f aca="false">COUNTIFS('All relationships'!$A$2:$A$1227,A92,'All relationships'!$H$2:$H$1227,"Luxury",'All relationships'!$K$2:$K$1227,"&lt;&gt;Recently lost")</f>
        <v>0</v>
      </c>
      <c r="F92" s="6" t="n">
        <f aca="false">COUNTIFS('All relationships'!$A$2:$A$1227,A92,'All relationships'!$H$2:$H$1227,"Premium",'All relationships'!$K$2:$K$1227,"&lt;&gt;Recently lost")</f>
        <v>2</v>
      </c>
      <c r="G92" s="2" t="s">
        <v>5096</v>
      </c>
      <c r="H92" s="2" t="s">
        <v>5097</v>
      </c>
      <c r="I92" s="2"/>
      <c r="J92" s="2"/>
    </row>
    <row r="93" customFormat="false" ht="15" hidden="false" customHeight="false" outlineLevel="0" collapsed="false">
      <c r="A93" s="7" t="s">
        <v>5098</v>
      </c>
      <c r="B93" s="6" t="s">
        <v>127</v>
      </c>
      <c r="C93" s="6" t="s">
        <v>5006</v>
      </c>
      <c r="D93" s="6" t="n">
        <f aca="false">COUNTIF('All relationships'!$A$2:$A$1227,A93)</f>
        <v>4</v>
      </c>
      <c r="E93" s="6" t="n">
        <f aca="false">COUNTIFS('All relationships'!$A$2:$A$1227,A93,'All relationships'!$H$2:$H$1227,"Luxury",'All relationships'!$K$2:$K$1227,"&lt;&gt;Recently lost")</f>
        <v>0</v>
      </c>
      <c r="F93" s="6" t="n">
        <f aca="false">COUNTIFS('All relationships'!$A$2:$A$1227,A93,'All relationships'!$H$2:$H$1227,"Premium",'All relationships'!$K$2:$K$1227,"&lt;&gt;Recently lost")</f>
        <v>2</v>
      </c>
      <c r="G93" s="2" t="s">
        <v>5099</v>
      </c>
      <c r="H93" s="2" t="s">
        <v>5100</v>
      </c>
      <c r="I93" s="2"/>
      <c r="J93" s="2"/>
    </row>
    <row r="94" customFormat="false" ht="15" hidden="false" customHeight="false" outlineLevel="0" collapsed="false">
      <c r="A94" s="7" t="s">
        <v>5101</v>
      </c>
      <c r="B94" s="6" t="s">
        <v>127</v>
      </c>
      <c r="C94" s="6" t="s">
        <v>5006</v>
      </c>
      <c r="D94" s="6" t="n">
        <f aca="false">COUNTIF('All relationships'!$A$2:$A$1227,A94)</f>
        <v>4</v>
      </c>
      <c r="E94" s="6" t="n">
        <f aca="false">COUNTIFS('All relationships'!$A$2:$A$1227,A94,'All relationships'!$H$2:$H$1227,"Luxury",'All relationships'!$K$2:$K$1227,"&lt;&gt;Recently lost")</f>
        <v>0</v>
      </c>
      <c r="F94" s="6" t="n">
        <f aca="false">COUNTIFS('All relationships'!$A$2:$A$1227,A94,'All relationships'!$H$2:$H$1227,"Premium",'All relationships'!$K$2:$K$1227,"&lt;&gt;Recently lost")</f>
        <v>3</v>
      </c>
      <c r="G94" s="2" t="s">
        <v>5102</v>
      </c>
      <c r="H94" s="2" t="s">
        <v>3689</v>
      </c>
      <c r="I94" s="2"/>
      <c r="J94" s="2"/>
    </row>
    <row r="95" customFormat="false" ht="15" hidden="false" customHeight="false" outlineLevel="0" collapsed="false">
      <c r="A95" s="7" t="s">
        <v>5103</v>
      </c>
      <c r="B95" s="6" t="s">
        <v>127</v>
      </c>
      <c r="C95" s="6" t="s">
        <v>4682</v>
      </c>
      <c r="D95" s="6" t="n">
        <f aca="false">COUNTIF('All relationships'!$A$2:$A$1227,A95)</f>
        <v>3</v>
      </c>
      <c r="E95" s="6" t="n">
        <f aca="false">COUNTIFS('All relationships'!$A$2:$A$1227,A95,'All relationships'!$H$2:$H$1227,"Luxury",'All relationships'!$K$2:$K$1227,"&lt;&gt;Recently lost")</f>
        <v>1</v>
      </c>
      <c r="F95" s="6" t="n">
        <f aca="false">COUNTIFS('All relationships'!$A$2:$A$1227,A95,'All relationships'!$H$2:$H$1227,"Premium",'All relationships'!$K$2:$K$1227,"&lt;&gt;Recently lost")</f>
        <v>2</v>
      </c>
      <c r="G95" s="2" t="s">
        <v>5104</v>
      </c>
      <c r="H95" s="2"/>
      <c r="I95" s="2"/>
      <c r="J95" s="2" t="s">
        <v>5105</v>
      </c>
    </row>
    <row r="96" customFormat="false" ht="15" hidden="false" customHeight="false" outlineLevel="0" collapsed="false">
      <c r="A96" s="7" t="s">
        <v>4702</v>
      </c>
      <c r="B96" s="6" t="s">
        <v>127</v>
      </c>
      <c r="C96" s="6" t="s">
        <v>5006</v>
      </c>
      <c r="D96" s="6" t="n">
        <f aca="false">COUNTIF('All relationships'!$A$2:$A$1227,A96)</f>
        <v>3</v>
      </c>
      <c r="E96" s="6" t="n">
        <f aca="false">COUNTIFS('All relationships'!$A$2:$A$1227,A96,'All relationships'!$H$2:$H$1227,"Luxury",'All relationships'!$K$2:$K$1227,"&lt;&gt;Recently lost")</f>
        <v>0</v>
      </c>
      <c r="F96" s="6" t="n">
        <f aca="false">COUNTIFS('All relationships'!$A$2:$A$1227,A96,'All relationships'!$H$2:$H$1227,"Premium",'All relationships'!$K$2:$K$1227,"&lt;&gt;Recently lost")</f>
        <v>3</v>
      </c>
      <c r="G96" s="2" t="s">
        <v>5106</v>
      </c>
      <c r="H96" s="2"/>
      <c r="I96" s="2"/>
      <c r="J96" s="2" t="s">
        <v>5107</v>
      </c>
    </row>
    <row r="97" customFormat="false" ht="15" hidden="false" customHeight="false" outlineLevel="0" collapsed="false">
      <c r="A97" s="7" t="s">
        <v>5108</v>
      </c>
      <c r="B97" s="6" t="s">
        <v>127</v>
      </c>
      <c r="C97" s="6" t="s">
        <v>5016</v>
      </c>
      <c r="D97" s="6" t="n">
        <f aca="false">COUNTIF('All relationships'!$A$2:$A$1227,A97)</f>
        <v>3</v>
      </c>
      <c r="E97" s="6" t="n">
        <f aca="false">COUNTIFS('All relationships'!$A$2:$A$1227,A97,'All relationships'!$H$2:$H$1227,"Luxury",'All relationships'!$K$2:$K$1227,"&lt;&gt;Recently lost")</f>
        <v>0</v>
      </c>
      <c r="F97" s="6" t="n">
        <f aca="false">COUNTIFS('All relationships'!$A$2:$A$1227,A97,'All relationships'!$H$2:$H$1227,"Premium",'All relationships'!$K$2:$K$1227,"&lt;&gt;Recently lost")</f>
        <v>2</v>
      </c>
      <c r="G97" s="2" t="s">
        <v>5109</v>
      </c>
      <c r="H97" s="2" t="s">
        <v>4009</v>
      </c>
      <c r="I97" s="2"/>
      <c r="J97" s="2"/>
    </row>
    <row r="98" customFormat="false" ht="15" hidden="false" customHeight="false" outlineLevel="0" collapsed="false">
      <c r="A98" s="7" t="s">
        <v>5110</v>
      </c>
      <c r="B98" s="6" t="s">
        <v>127</v>
      </c>
      <c r="C98" s="6" t="s">
        <v>5006</v>
      </c>
      <c r="D98" s="6" t="n">
        <f aca="false">COUNTIF('All relationships'!$A$2:$A$1227,A98)</f>
        <v>3</v>
      </c>
      <c r="E98" s="6" t="n">
        <f aca="false">COUNTIFS('All relationships'!$A$2:$A$1227,A98,'All relationships'!$H$2:$H$1227,"Luxury",'All relationships'!$K$2:$K$1227,"&lt;&gt;Recently lost")</f>
        <v>0</v>
      </c>
      <c r="F98" s="6" t="n">
        <f aca="false">COUNTIFS('All relationships'!$A$2:$A$1227,A98,'All relationships'!$H$2:$H$1227,"Premium",'All relationships'!$K$2:$K$1227,"&lt;&gt;Recently lost")</f>
        <v>0</v>
      </c>
      <c r="G98" s="2"/>
      <c r="H98" s="2" t="s">
        <v>5111</v>
      </c>
      <c r="I98" s="2"/>
      <c r="J98" s="2"/>
    </row>
    <row r="99" customFormat="false" ht="15" hidden="false" customHeight="false" outlineLevel="0" collapsed="false">
      <c r="A99" s="7" t="s">
        <v>5112</v>
      </c>
      <c r="B99" s="6" t="s">
        <v>127</v>
      </c>
      <c r="C99" s="6" t="s">
        <v>4682</v>
      </c>
      <c r="D99" s="6" t="n">
        <f aca="false">COUNTIF('All relationships'!$A$2:$A$1227,A99)</f>
        <v>3</v>
      </c>
      <c r="E99" s="6" t="n">
        <f aca="false">COUNTIFS('All relationships'!$A$2:$A$1227,A99,'All relationships'!$H$2:$H$1227,"Luxury",'All relationships'!$K$2:$K$1227,"&lt;&gt;Recently lost")</f>
        <v>1</v>
      </c>
      <c r="F99" s="6" t="n">
        <f aca="false">COUNTIFS('All relationships'!$A$2:$A$1227,A99,'All relationships'!$H$2:$H$1227,"Premium",'All relationships'!$K$2:$K$1227,"&lt;&gt;Recently lost")</f>
        <v>2</v>
      </c>
      <c r="G99" s="2" t="s">
        <v>5113</v>
      </c>
      <c r="H99" s="2"/>
      <c r="I99" s="2"/>
      <c r="J99" s="2"/>
    </row>
    <row r="100" customFormat="false" ht="15" hidden="false" customHeight="false" outlineLevel="0" collapsed="false">
      <c r="A100" s="7" t="s">
        <v>5114</v>
      </c>
      <c r="B100" s="6" t="s">
        <v>127</v>
      </c>
      <c r="C100" s="6" t="s">
        <v>5006</v>
      </c>
      <c r="D100" s="6" t="n">
        <f aca="false">COUNTIF('All relationships'!$A$2:$A$1227,A100)</f>
        <v>3</v>
      </c>
      <c r="E100" s="6" t="n">
        <f aca="false">COUNTIFS('All relationships'!$A$2:$A$1227,A100,'All relationships'!$H$2:$H$1227,"Luxury",'All relationships'!$K$2:$K$1227,"&lt;&gt;Recently lost")</f>
        <v>0</v>
      </c>
      <c r="F100" s="6" t="n">
        <f aca="false">COUNTIFS('All relationships'!$A$2:$A$1227,A100,'All relationships'!$H$2:$H$1227,"Premium",'All relationships'!$K$2:$K$1227,"&lt;&gt;Recently lost")</f>
        <v>3</v>
      </c>
      <c r="G100" s="2" t="s">
        <v>5115</v>
      </c>
      <c r="H100" s="2"/>
      <c r="I100" s="2"/>
      <c r="J100" s="2" t="s">
        <v>5116</v>
      </c>
    </row>
    <row r="101" customFormat="false" ht="15" hidden="false" customHeight="false" outlineLevel="0" collapsed="false">
      <c r="A101" s="7" t="s">
        <v>5117</v>
      </c>
      <c r="B101" s="6" t="s">
        <v>127</v>
      </c>
      <c r="C101" s="6" t="s">
        <v>5016</v>
      </c>
      <c r="D101" s="6" t="n">
        <f aca="false">COUNTIF('All relationships'!$A$2:$A$1227,A101)</f>
        <v>3</v>
      </c>
      <c r="E101" s="6" t="n">
        <f aca="false">COUNTIFS('All relationships'!$A$2:$A$1227,A101,'All relationships'!$H$2:$H$1227,"Luxury",'All relationships'!$K$2:$K$1227,"&lt;&gt;Recently lost")</f>
        <v>1</v>
      </c>
      <c r="F101" s="6" t="n">
        <f aca="false">COUNTIFS('All relationships'!$A$2:$A$1227,A101,'All relationships'!$H$2:$H$1227,"Premium",'All relationships'!$K$2:$K$1227,"&lt;&gt;Recently lost")</f>
        <v>2</v>
      </c>
      <c r="G101" s="2" t="s">
        <v>5118</v>
      </c>
      <c r="H101" s="2"/>
      <c r="I101" s="2"/>
      <c r="J101" s="2" t="s">
        <v>5119</v>
      </c>
    </row>
    <row r="102" customFormat="false" ht="15" hidden="false" customHeight="false" outlineLevel="0" collapsed="false">
      <c r="A102" s="7" t="s">
        <v>5120</v>
      </c>
      <c r="B102" s="6" t="s">
        <v>127</v>
      </c>
      <c r="C102" s="6" t="s">
        <v>5006</v>
      </c>
      <c r="D102" s="6" t="n">
        <f aca="false">COUNTIF('All relationships'!$A$2:$A$1227,A102)</f>
        <v>3</v>
      </c>
      <c r="E102" s="6" t="n">
        <f aca="false">COUNTIFS('All relationships'!$A$2:$A$1227,A102,'All relationships'!$H$2:$H$1227,"Luxury",'All relationships'!$K$2:$K$1227,"&lt;&gt;Recently lost")</f>
        <v>1</v>
      </c>
      <c r="F102" s="6" t="n">
        <f aca="false">COUNTIFS('All relationships'!$A$2:$A$1227,A102,'All relationships'!$H$2:$H$1227,"Premium",'All relationships'!$K$2:$K$1227,"&lt;&gt;Recently lost")</f>
        <v>1</v>
      </c>
      <c r="G102" s="2" t="s">
        <v>5121</v>
      </c>
      <c r="H102" s="2" t="s">
        <v>4114</v>
      </c>
      <c r="I102" s="2"/>
      <c r="J102" s="2"/>
    </row>
    <row r="103" customFormat="false" ht="15" hidden="false" customHeight="false" outlineLevel="0" collapsed="false">
      <c r="A103" s="7" t="s">
        <v>4709</v>
      </c>
      <c r="B103" s="6" t="s">
        <v>127</v>
      </c>
      <c r="C103" s="6" t="s">
        <v>5016</v>
      </c>
      <c r="D103" s="6" t="n">
        <f aca="false">COUNTIF('All relationships'!$A$2:$A$1227,A103)</f>
        <v>3</v>
      </c>
      <c r="E103" s="6" t="n">
        <f aca="false">COUNTIFS('All relationships'!$A$2:$A$1227,A103,'All relationships'!$H$2:$H$1227,"Luxury",'All relationships'!$K$2:$K$1227,"&lt;&gt;Recently lost")</f>
        <v>0</v>
      </c>
      <c r="F103" s="6" t="n">
        <f aca="false">COUNTIFS('All relationships'!$A$2:$A$1227,A103,'All relationships'!$H$2:$H$1227,"Premium",'All relationships'!$K$2:$K$1227,"&lt;&gt;Recently lost")</f>
        <v>2</v>
      </c>
      <c r="G103" s="2" t="s">
        <v>2894</v>
      </c>
      <c r="H103" s="2" t="s">
        <v>4411</v>
      </c>
      <c r="I103" s="2"/>
      <c r="J103" s="2"/>
    </row>
    <row r="104" customFormat="false" ht="15" hidden="false" customHeight="false" outlineLevel="0" collapsed="false">
      <c r="A104" s="7" t="s">
        <v>5122</v>
      </c>
      <c r="B104" s="6" t="s">
        <v>127</v>
      </c>
      <c r="C104" s="6" t="s">
        <v>5016</v>
      </c>
      <c r="D104" s="6" t="n">
        <f aca="false">COUNTIF('All relationships'!$A$2:$A$1227,A104)</f>
        <v>3</v>
      </c>
      <c r="E104" s="6" t="n">
        <f aca="false">COUNTIFS('All relationships'!$A$2:$A$1227,A104,'All relationships'!$H$2:$H$1227,"Luxury",'All relationships'!$K$2:$K$1227,"&lt;&gt;Recently lost")</f>
        <v>0</v>
      </c>
      <c r="F104" s="6" t="n">
        <f aca="false">COUNTIFS('All relationships'!$A$2:$A$1227,A104,'All relationships'!$H$2:$H$1227,"Premium",'All relationships'!$K$2:$K$1227,"&lt;&gt;Recently lost")</f>
        <v>2</v>
      </c>
      <c r="G104" s="2" t="s">
        <v>5123</v>
      </c>
      <c r="H104" s="2" t="s">
        <v>4633</v>
      </c>
      <c r="I104" s="2"/>
      <c r="J104" s="2"/>
    </row>
    <row r="105" customFormat="false" ht="15" hidden="false" customHeight="false" outlineLevel="0" collapsed="false">
      <c r="A105" s="7" t="s">
        <v>5124</v>
      </c>
      <c r="B105" s="6" t="s">
        <v>127</v>
      </c>
      <c r="C105" s="6" t="s">
        <v>5006</v>
      </c>
      <c r="D105" s="6" t="n">
        <f aca="false">COUNTIF('All relationships'!$A$2:$A$1227,A105)</f>
        <v>3</v>
      </c>
      <c r="E105" s="6" t="n">
        <f aca="false">COUNTIFS('All relationships'!$A$2:$A$1227,A105,'All relationships'!$H$2:$H$1227,"Luxury",'All relationships'!$K$2:$K$1227,"&lt;&gt;Recently lost")</f>
        <v>0</v>
      </c>
      <c r="F105" s="6" t="n">
        <f aca="false">COUNTIFS('All relationships'!$A$2:$A$1227,A105,'All relationships'!$H$2:$H$1227,"Premium",'All relationships'!$K$2:$K$1227,"&lt;&gt;Recently lost")</f>
        <v>2</v>
      </c>
      <c r="G105" s="2" t="s">
        <v>5125</v>
      </c>
      <c r="H105" s="2" t="s">
        <v>4201</v>
      </c>
      <c r="I105" s="2"/>
      <c r="J105" s="2"/>
    </row>
    <row r="106" customFormat="false" ht="15" hidden="false" customHeight="false" outlineLevel="0" collapsed="false">
      <c r="A106" s="7" t="s">
        <v>5126</v>
      </c>
      <c r="B106" s="6" t="s">
        <v>127</v>
      </c>
      <c r="C106" s="6" t="s">
        <v>5016</v>
      </c>
      <c r="D106" s="6" t="n">
        <f aca="false">COUNTIF('All relationships'!$A$2:$A$1227,A106)</f>
        <v>3</v>
      </c>
      <c r="E106" s="6" t="n">
        <f aca="false">COUNTIFS('All relationships'!$A$2:$A$1227,A106,'All relationships'!$H$2:$H$1227,"Luxury",'All relationships'!$K$2:$K$1227,"&lt;&gt;Recently lost")</f>
        <v>1</v>
      </c>
      <c r="F106" s="6" t="n">
        <f aca="false">COUNTIFS('All relationships'!$A$2:$A$1227,A106,'All relationships'!$H$2:$H$1227,"Premium",'All relationships'!$K$2:$K$1227,"&lt;&gt;Recently lost")</f>
        <v>2</v>
      </c>
      <c r="G106" s="2" t="s">
        <v>5127</v>
      </c>
      <c r="H106" s="2"/>
      <c r="I106" s="2"/>
      <c r="J106" s="2" t="s">
        <v>5128</v>
      </c>
    </row>
    <row r="107" customFormat="false" ht="15" hidden="false" customHeight="false" outlineLevel="0" collapsed="false">
      <c r="A107" s="7" t="s">
        <v>5129</v>
      </c>
      <c r="B107" s="6" t="s">
        <v>127</v>
      </c>
      <c r="C107" s="6" t="s">
        <v>4682</v>
      </c>
      <c r="D107" s="6" t="n">
        <f aca="false">COUNTIF('All relationships'!$A$2:$A$1227,A107)</f>
        <v>2</v>
      </c>
      <c r="E107" s="6" t="n">
        <f aca="false">COUNTIFS('All relationships'!$A$2:$A$1227,A107,'All relationships'!$H$2:$H$1227,"Luxury",'All relationships'!$K$2:$K$1227,"&lt;&gt;Recently lost")</f>
        <v>0</v>
      </c>
      <c r="F107" s="6" t="n">
        <f aca="false">COUNTIFS('All relationships'!$A$2:$A$1227,A107,'All relationships'!$H$2:$H$1227,"Premium",'All relationships'!$K$2:$K$1227,"&lt;&gt;Recently lost")</f>
        <v>2</v>
      </c>
      <c r="G107" s="2" t="s">
        <v>5130</v>
      </c>
      <c r="H107" s="2"/>
      <c r="I107" s="2"/>
      <c r="J107" s="2" t="s">
        <v>5131</v>
      </c>
    </row>
    <row r="108" customFormat="false" ht="15" hidden="false" customHeight="false" outlineLevel="0" collapsed="false">
      <c r="A108" s="7" t="s">
        <v>4700</v>
      </c>
      <c r="B108" s="6" t="s">
        <v>127</v>
      </c>
      <c r="C108" s="6" t="s">
        <v>5016</v>
      </c>
      <c r="D108" s="6" t="n">
        <f aca="false">COUNTIF('All relationships'!$A$2:$A$1227,A108)</f>
        <v>2</v>
      </c>
      <c r="E108" s="6" t="n">
        <f aca="false">COUNTIFS('All relationships'!$A$2:$A$1227,A108,'All relationships'!$H$2:$H$1227,"Luxury",'All relationships'!$K$2:$K$1227,"&lt;&gt;Recently lost")</f>
        <v>0</v>
      </c>
      <c r="F108" s="6" t="n">
        <f aca="false">COUNTIFS('All relationships'!$A$2:$A$1227,A108,'All relationships'!$H$2:$H$1227,"Premium",'All relationships'!$K$2:$K$1227,"&lt;&gt;Recently lost")</f>
        <v>2</v>
      </c>
      <c r="G108" s="2" t="s">
        <v>2448</v>
      </c>
      <c r="H108" s="2"/>
      <c r="I108" s="2"/>
      <c r="J108" s="2" t="s">
        <v>5132</v>
      </c>
    </row>
    <row r="109" customFormat="false" ht="15" hidden="false" customHeight="false" outlineLevel="0" collapsed="false">
      <c r="A109" s="7" t="s">
        <v>5133</v>
      </c>
      <c r="B109" s="6" t="s">
        <v>127</v>
      </c>
      <c r="C109" s="6" t="s">
        <v>4682</v>
      </c>
      <c r="D109" s="6" t="n">
        <f aca="false">COUNTIF('All relationships'!$A$2:$A$1227,A109)</f>
        <v>2</v>
      </c>
      <c r="E109" s="6" t="n">
        <f aca="false">COUNTIFS('All relationships'!$A$2:$A$1227,A109,'All relationships'!$H$2:$H$1227,"Luxury",'All relationships'!$K$2:$K$1227,"&lt;&gt;Recently lost")</f>
        <v>1</v>
      </c>
      <c r="F109" s="6" t="n">
        <f aca="false">COUNTIFS('All relationships'!$A$2:$A$1227,A109,'All relationships'!$H$2:$H$1227,"Premium",'All relationships'!$K$2:$K$1227,"&lt;&gt;Recently lost")</f>
        <v>1</v>
      </c>
      <c r="G109" s="2" t="s">
        <v>5134</v>
      </c>
      <c r="H109" s="2"/>
      <c r="I109" s="2"/>
      <c r="J109" s="2"/>
    </row>
    <row r="110" customFormat="false" ht="15" hidden="false" customHeight="false" outlineLevel="0" collapsed="false">
      <c r="A110" s="7" t="s">
        <v>4703</v>
      </c>
      <c r="B110" s="6" t="s">
        <v>127</v>
      </c>
      <c r="C110" s="6" t="s">
        <v>4682</v>
      </c>
      <c r="D110" s="6" t="n">
        <f aca="false">COUNTIF('All relationships'!$A$2:$A$1227,A110)</f>
        <v>2</v>
      </c>
      <c r="E110" s="6" t="n">
        <f aca="false">COUNTIFS('All relationships'!$A$2:$A$1227,A110,'All relationships'!$H$2:$H$1227,"Luxury",'All relationships'!$K$2:$K$1227,"&lt;&gt;Recently lost")</f>
        <v>0</v>
      </c>
      <c r="F110" s="6" t="n">
        <f aca="false">COUNTIFS('All relationships'!$A$2:$A$1227,A110,'All relationships'!$H$2:$H$1227,"Premium",'All relationships'!$K$2:$K$1227,"&lt;&gt;Recently lost")</f>
        <v>1</v>
      </c>
      <c r="G110" s="2" t="s">
        <v>918</v>
      </c>
      <c r="H110" s="2" t="s">
        <v>3707</v>
      </c>
      <c r="I110" s="2"/>
      <c r="J110" s="2"/>
    </row>
    <row r="111" customFormat="false" ht="15" hidden="false" customHeight="false" outlineLevel="0" collapsed="false">
      <c r="A111" s="7" t="s">
        <v>5135</v>
      </c>
      <c r="B111" s="6" t="s">
        <v>127</v>
      </c>
      <c r="C111" s="6" t="s">
        <v>5006</v>
      </c>
      <c r="D111" s="6" t="n">
        <f aca="false">COUNTIF('All relationships'!$A$2:$A$1227,A111)</f>
        <v>2</v>
      </c>
      <c r="E111" s="6" t="n">
        <f aca="false">COUNTIFS('All relationships'!$A$2:$A$1227,A111,'All relationships'!$H$2:$H$1227,"Luxury",'All relationships'!$K$2:$K$1227,"&lt;&gt;Recently lost")</f>
        <v>0</v>
      </c>
      <c r="F111" s="6" t="n">
        <f aca="false">COUNTIFS('All relationships'!$A$2:$A$1227,A111,'All relationships'!$H$2:$H$1227,"Premium",'All relationships'!$K$2:$K$1227,"&lt;&gt;Recently lost")</f>
        <v>1</v>
      </c>
      <c r="G111" s="2" t="s">
        <v>771</v>
      </c>
      <c r="H111" s="2" t="s">
        <v>3083</v>
      </c>
      <c r="I111" s="2"/>
      <c r="J111" s="2"/>
    </row>
    <row r="112" customFormat="false" ht="15" hidden="false" customHeight="false" outlineLevel="0" collapsed="false">
      <c r="A112" s="7" t="s">
        <v>5136</v>
      </c>
      <c r="B112" s="6" t="s">
        <v>127</v>
      </c>
      <c r="C112" s="6" t="s">
        <v>5006</v>
      </c>
      <c r="D112" s="6" t="n">
        <f aca="false">COUNTIF('All relationships'!$A$2:$A$1227,A112)</f>
        <v>2</v>
      </c>
      <c r="E112" s="6" t="n">
        <f aca="false">COUNTIFS('All relationships'!$A$2:$A$1227,A112,'All relationships'!$H$2:$H$1227,"Luxury",'All relationships'!$K$2:$K$1227,"&lt;&gt;Recently lost")</f>
        <v>0</v>
      </c>
      <c r="F112" s="6" t="n">
        <f aca="false">COUNTIFS('All relationships'!$A$2:$A$1227,A112,'All relationships'!$H$2:$H$1227,"Premium",'All relationships'!$K$2:$K$1227,"&lt;&gt;Recently lost")</f>
        <v>2</v>
      </c>
      <c r="G112" s="2" t="s">
        <v>5137</v>
      </c>
      <c r="H112" s="2"/>
      <c r="I112" s="2"/>
      <c r="J112" s="2"/>
    </row>
    <row r="113" customFormat="false" ht="15" hidden="false" customHeight="false" outlineLevel="0" collapsed="false">
      <c r="A113" s="7" t="s">
        <v>5138</v>
      </c>
      <c r="B113" s="6" t="s">
        <v>127</v>
      </c>
      <c r="C113" s="6" t="s">
        <v>4682</v>
      </c>
      <c r="D113" s="6" t="n">
        <f aca="false">COUNTIF('All relationships'!$A$2:$A$1227,A113)</f>
        <v>2</v>
      </c>
      <c r="E113" s="6" t="n">
        <f aca="false">COUNTIFS('All relationships'!$A$2:$A$1227,A113,'All relationships'!$H$2:$H$1227,"Luxury",'All relationships'!$K$2:$K$1227,"&lt;&gt;Recently lost")</f>
        <v>0</v>
      </c>
      <c r="F113" s="6" t="n">
        <f aca="false">COUNTIFS('All relationships'!$A$2:$A$1227,A113,'All relationships'!$H$2:$H$1227,"Premium",'All relationships'!$K$2:$K$1227,"&lt;&gt;Recently lost")</f>
        <v>2</v>
      </c>
      <c r="G113" s="2" t="s">
        <v>5139</v>
      </c>
      <c r="H113" s="2"/>
      <c r="I113" s="2"/>
      <c r="J113" s="2"/>
    </row>
    <row r="114" customFormat="false" ht="15" hidden="false" customHeight="false" outlineLevel="0" collapsed="false">
      <c r="A114" s="7" t="s">
        <v>4826</v>
      </c>
      <c r="B114" s="6" t="s">
        <v>127</v>
      </c>
      <c r="C114" s="6" t="s">
        <v>4682</v>
      </c>
      <c r="D114" s="6" t="n">
        <f aca="false">COUNTIF('All relationships'!$A$2:$A$1227,A114)</f>
        <v>2</v>
      </c>
      <c r="E114" s="6" t="n">
        <f aca="false">COUNTIFS('All relationships'!$A$2:$A$1227,A114,'All relationships'!$H$2:$H$1227,"Luxury",'All relationships'!$K$2:$K$1227,"&lt;&gt;Recently lost")</f>
        <v>1</v>
      </c>
      <c r="F114" s="6" t="n">
        <f aca="false">COUNTIFS('All relationships'!$A$2:$A$1227,A114,'All relationships'!$H$2:$H$1227,"Premium",'All relationships'!$K$2:$K$1227,"&lt;&gt;Recently lost")</f>
        <v>0</v>
      </c>
      <c r="G114" s="2" t="s">
        <v>5140</v>
      </c>
      <c r="H114" s="2" t="s">
        <v>3875</v>
      </c>
      <c r="I114" s="2"/>
      <c r="J114" s="2" t="s">
        <v>5141</v>
      </c>
    </row>
    <row r="115" customFormat="false" ht="15" hidden="false" customHeight="false" outlineLevel="0" collapsed="false">
      <c r="A115" s="7" t="s">
        <v>5142</v>
      </c>
      <c r="B115" s="6" t="s">
        <v>127</v>
      </c>
      <c r="C115" s="6" t="s">
        <v>5016</v>
      </c>
      <c r="D115" s="6" t="n">
        <f aca="false">COUNTIF('All relationships'!$A$2:$A$1227,A115)</f>
        <v>2</v>
      </c>
      <c r="E115" s="6" t="n">
        <f aca="false">COUNTIFS('All relationships'!$A$2:$A$1227,A115,'All relationships'!$H$2:$H$1227,"Luxury",'All relationships'!$K$2:$K$1227,"&lt;&gt;Recently lost")</f>
        <v>0</v>
      </c>
      <c r="F115" s="6" t="n">
        <f aca="false">COUNTIFS('All relationships'!$A$2:$A$1227,A115,'All relationships'!$H$2:$H$1227,"Premium",'All relationships'!$K$2:$K$1227,"&lt;&gt;Recently lost")</f>
        <v>2</v>
      </c>
      <c r="G115" s="2" t="s">
        <v>5143</v>
      </c>
      <c r="H115" s="2"/>
      <c r="I115" s="2"/>
      <c r="J115" s="2"/>
    </row>
    <row r="116" customFormat="false" ht="15" hidden="false" customHeight="false" outlineLevel="0" collapsed="false">
      <c r="A116" s="7" t="s">
        <v>5144</v>
      </c>
      <c r="B116" s="6" t="s">
        <v>127</v>
      </c>
      <c r="C116" s="6" t="s">
        <v>4732</v>
      </c>
      <c r="D116" s="6" t="n">
        <f aca="false">COUNTIF('All relationships'!$A$2:$A$1227,A116)</f>
        <v>2</v>
      </c>
      <c r="E116" s="6" t="n">
        <f aca="false">COUNTIFS('All relationships'!$A$2:$A$1227,A116,'All relationships'!$H$2:$H$1227,"Luxury",'All relationships'!$K$2:$K$1227,"&lt;&gt;Recently lost")</f>
        <v>0</v>
      </c>
      <c r="F116" s="6" t="n">
        <f aca="false">COUNTIFS('All relationships'!$A$2:$A$1227,A116,'All relationships'!$H$2:$H$1227,"Premium",'All relationships'!$K$2:$K$1227,"&lt;&gt;Recently lost")</f>
        <v>1</v>
      </c>
      <c r="G116" s="2" t="s">
        <v>1350</v>
      </c>
      <c r="H116" s="2" t="s">
        <v>2700</v>
      </c>
      <c r="I116" s="2"/>
      <c r="J116" s="2"/>
    </row>
    <row r="117" customFormat="false" ht="15" hidden="false" customHeight="false" outlineLevel="0" collapsed="false">
      <c r="A117" s="7" t="s">
        <v>4760</v>
      </c>
      <c r="B117" s="6" t="s">
        <v>127</v>
      </c>
      <c r="C117" s="6" t="s">
        <v>5006</v>
      </c>
      <c r="D117" s="6" t="n">
        <f aca="false">COUNTIF('All relationships'!$A$2:$A$1227,A117)</f>
        <v>2</v>
      </c>
      <c r="E117" s="6" t="n">
        <f aca="false">COUNTIFS('All relationships'!$A$2:$A$1227,A117,'All relationships'!$H$2:$H$1227,"Luxury",'All relationships'!$K$2:$K$1227,"&lt;&gt;Recently lost")</f>
        <v>0</v>
      </c>
      <c r="F117" s="6" t="n">
        <f aca="false">COUNTIFS('All relationships'!$A$2:$A$1227,A117,'All relationships'!$H$2:$H$1227,"Premium",'All relationships'!$K$2:$K$1227,"&lt;&gt;Recently lost")</f>
        <v>1</v>
      </c>
      <c r="G117" s="2" t="s">
        <v>466</v>
      </c>
      <c r="H117" s="2" t="s">
        <v>3277</v>
      </c>
      <c r="I117" s="2"/>
      <c r="J117" s="2" t="s">
        <v>5145</v>
      </c>
    </row>
    <row r="118" customFormat="false" ht="15" hidden="false" customHeight="false" outlineLevel="0" collapsed="false">
      <c r="A118" s="7" t="s">
        <v>5146</v>
      </c>
      <c r="B118" s="6" t="s">
        <v>127</v>
      </c>
      <c r="C118" s="6" t="s">
        <v>5006</v>
      </c>
      <c r="D118" s="6" t="n">
        <f aca="false">COUNTIF('All relationships'!$A$2:$A$1227,A118)</f>
        <v>2</v>
      </c>
      <c r="E118" s="6" t="n">
        <f aca="false">COUNTIFS('All relationships'!$A$2:$A$1227,A118,'All relationships'!$H$2:$H$1227,"Luxury",'All relationships'!$K$2:$K$1227,"&lt;&gt;Recently lost")</f>
        <v>1</v>
      </c>
      <c r="F118" s="6" t="n">
        <f aca="false">COUNTIFS('All relationships'!$A$2:$A$1227,A118,'All relationships'!$H$2:$H$1227,"Premium",'All relationships'!$K$2:$K$1227,"&lt;&gt;Recently lost")</f>
        <v>1</v>
      </c>
      <c r="G118" s="2" t="s">
        <v>5147</v>
      </c>
      <c r="H118" s="2"/>
      <c r="I118" s="2"/>
      <c r="J118" s="2"/>
    </row>
    <row r="119" customFormat="false" ht="15" hidden="false" customHeight="false" outlineLevel="0" collapsed="false">
      <c r="A119" s="7" t="s">
        <v>5148</v>
      </c>
      <c r="B119" s="6" t="s">
        <v>127</v>
      </c>
      <c r="C119" s="6" t="s">
        <v>4682</v>
      </c>
      <c r="D119" s="6" t="n">
        <f aca="false">COUNTIF('All relationships'!$A$2:$A$1227,A119)</f>
        <v>2</v>
      </c>
      <c r="E119" s="6" t="n">
        <f aca="false">COUNTIFS('All relationships'!$A$2:$A$1227,A119,'All relationships'!$H$2:$H$1227,"Luxury",'All relationships'!$K$2:$K$1227,"&lt;&gt;Recently lost")</f>
        <v>0</v>
      </c>
      <c r="F119" s="6" t="n">
        <f aca="false">COUNTIFS('All relationships'!$A$2:$A$1227,A119,'All relationships'!$H$2:$H$1227,"Premium",'All relationships'!$K$2:$K$1227,"&lt;&gt;Recently lost")</f>
        <v>1</v>
      </c>
      <c r="G119" s="2" t="s">
        <v>2077</v>
      </c>
      <c r="H119" s="2" t="s">
        <v>3768</v>
      </c>
      <c r="I119" s="2"/>
      <c r="J119" s="2"/>
    </row>
    <row r="120" customFormat="false" ht="15" hidden="false" customHeight="false" outlineLevel="0" collapsed="false">
      <c r="A120" s="7" t="s">
        <v>4815</v>
      </c>
      <c r="B120" s="6" t="s">
        <v>127</v>
      </c>
      <c r="C120" s="6" t="s">
        <v>5016</v>
      </c>
      <c r="D120" s="6" t="n">
        <f aca="false">COUNTIF('All relationships'!$A$2:$A$1227,A120)</f>
        <v>2</v>
      </c>
      <c r="E120" s="6" t="n">
        <f aca="false">COUNTIFS('All relationships'!$A$2:$A$1227,A120,'All relationships'!$H$2:$H$1227,"Luxury",'All relationships'!$K$2:$K$1227,"&lt;&gt;Recently lost")</f>
        <v>0</v>
      </c>
      <c r="F120" s="6" t="n">
        <f aca="false">COUNTIFS('All relationships'!$A$2:$A$1227,A120,'All relationships'!$H$2:$H$1227,"Premium",'All relationships'!$K$2:$K$1227,"&lt;&gt;Recently lost")</f>
        <v>0</v>
      </c>
      <c r="G120" s="2"/>
      <c r="H120" s="2" t="s">
        <v>3637</v>
      </c>
      <c r="I120" s="2"/>
      <c r="J120" s="2"/>
    </row>
    <row r="121" customFormat="false" ht="15" hidden="false" customHeight="false" outlineLevel="0" collapsed="false">
      <c r="A121" s="7" t="s">
        <v>5149</v>
      </c>
      <c r="B121" s="6" t="s">
        <v>127</v>
      </c>
      <c r="C121" s="6" t="s">
        <v>4682</v>
      </c>
      <c r="D121" s="6" t="n">
        <f aca="false">COUNTIF('All relationships'!$A$2:$A$1227,A121)</f>
        <v>2</v>
      </c>
      <c r="E121" s="6" t="n">
        <f aca="false">COUNTIFS('All relationships'!$A$2:$A$1227,A121,'All relationships'!$H$2:$H$1227,"Luxury",'All relationships'!$K$2:$K$1227,"&lt;&gt;Recently lost")</f>
        <v>1</v>
      </c>
      <c r="F121" s="6" t="n">
        <f aca="false">COUNTIFS('All relationships'!$A$2:$A$1227,A121,'All relationships'!$H$2:$H$1227,"Premium",'All relationships'!$K$2:$K$1227,"&lt;&gt;Recently lost")</f>
        <v>0</v>
      </c>
      <c r="G121" s="2" t="s">
        <v>5150</v>
      </c>
      <c r="H121" s="2" t="s">
        <v>3975</v>
      </c>
      <c r="I121" s="2"/>
      <c r="J121" s="2"/>
    </row>
    <row r="122" customFormat="false" ht="15" hidden="false" customHeight="false" outlineLevel="0" collapsed="false">
      <c r="A122" s="7" t="s">
        <v>5151</v>
      </c>
      <c r="B122" s="6" t="s">
        <v>127</v>
      </c>
      <c r="C122" s="6" t="s">
        <v>5006</v>
      </c>
      <c r="D122" s="6" t="n">
        <f aca="false">COUNTIF('All relationships'!$A$2:$A$1227,A122)</f>
        <v>2</v>
      </c>
      <c r="E122" s="6" t="n">
        <f aca="false">COUNTIFS('All relationships'!$A$2:$A$1227,A122,'All relationships'!$H$2:$H$1227,"Luxury",'All relationships'!$K$2:$K$1227,"&lt;&gt;Recently lost")</f>
        <v>0</v>
      </c>
      <c r="F122" s="6" t="n">
        <f aca="false">COUNTIFS('All relationships'!$A$2:$A$1227,A122,'All relationships'!$H$2:$H$1227,"Premium",'All relationships'!$K$2:$K$1227,"&lt;&gt;Recently lost")</f>
        <v>0</v>
      </c>
      <c r="G122" s="2"/>
      <c r="H122" s="2" t="s">
        <v>5152</v>
      </c>
      <c r="I122" s="2"/>
      <c r="J122" s="2"/>
    </row>
    <row r="123" customFormat="false" ht="15" hidden="false" customHeight="false" outlineLevel="0" collapsed="false">
      <c r="A123" s="7" t="s">
        <v>5153</v>
      </c>
      <c r="B123" s="6" t="s">
        <v>127</v>
      </c>
      <c r="C123" s="6" t="s">
        <v>5006</v>
      </c>
      <c r="D123" s="6" t="n">
        <f aca="false">COUNTIF('All relationships'!$A$2:$A$1227,A123)</f>
        <v>2</v>
      </c>
      <c r="E123" s="6" t="n">
        <f aca="false">COUNTIFS('All relationships'!$A$2:$A$1227,A123,'All relationships'!$H$2:$H$1227,"Luxury",'All relationships'!$K$2:$K$1227,"&lt;&gt;Recently lost")</f>
        <v>1</v>
      </c>
      <c r="F123" s="6" t="n">
        <f aca="false">COUNTIFS('All relationships'!$A$2:$A$1227,A123,'All relationships'!$H$2:$H$1227,"Premium",'All relationships'!$K$2:$K$1227,"&lt;&gt;Recently lost")</f>
        <v>0</v>
      </c>
      <c r="G123" s="2" t="s">
        <v>5154</v>
      </c>
      <c r="H123" s="2" t="s">
        <v>4399</v>
      </c>
      <c r="I123" s="2"/>
      <c r="J123" s="2"/>
    </row>
    <row r="124" customFormat="false" ht="15" hidden="false" customHeight="false" outlineLevel="0" collapsed="false">
      <c r="A124" s="7" t="s">
        <v>5155</v>
      </c>
      <c r="B124" s="6" t="s">
        <v>127</v>
      </c>
      <c r="C124" s="6" t="s">
        <v>5016</v>
      </c>
      <c r="D124" s="6" t="n">
        <f aca="false">COUNTIF('All relationships'!$A$2:$A$1227,A124)</f>
        <v>2</v>
      </c>
      <c r="E124" s="6" t="n">
        <f aca="false">COUNTIFS('All relationships'!$A$2:$A$1227,A124,'All relationships'!$H$2:$H$1227,"Luxury",'All relationships'!$K$2:$K$1227,"&lt;&gt;Recently lost")</f>
        <v>0</v>
      </c>
      <c r="F124" s="6" t="n">
        <f aca="false">COUNTIFS('All relationships'!$A$2:$A$1227,A124,'All relationships'!$H$2:$H$1227,"Premium",'All relationships'!$K$2:$K$1227,"&lt;&gt;Recently lost")</f>
        <v>1</v>
      </c>
      <c r="G124" s="2" t="s">
        <v>1912</v>
      </c>
      <c r="H124" s="2" t="s">
        <v>2958</v>
      </c>
      <c r="I124" s="2"/>
      <c r="J124" s="2"/>
    </row>
    <row r="125" customFormat="false" ht="15" hidden="false" customHeight="false" outlineLevel="0" collapsed="false">
      <c r="A125" s="7" t="s">
        <v>5156</v>
      </c>
      <c r="B125" s="6" t="s">
        <v>127</v>
      </c>
      <c r="C125" s="6" t="s">
        <v>5016</v>
      </c>
      <c r="D125" s="6" t="n">
        <f aca="false">COUNTIF('All relationships'!$A$2:$A$1227,A125)</f>
        <v>2</v>
      </c>
      <c r="E125" s="6" t="n">
        <f aca="false">COUNTIFS('All relationships'!$A$2:$A$1227,A125,'All relationships'!$H$2:$H$1227,"Luxury",'All relationships'!$K$2:$K$1227,"&lt;&gt;Recently lost")</f>
        <v>0</v>
      </c>
      <c r="F125" s="6" t="n">
        <f aca="false">COUNTIFS('All relationships'!$A$2:$A$1227,A125,'All relationships'!$H$2:$H$1227,"Premium",'All relationships'!$K$2:$K$1227,"&lt;&gt;Recently lost")</f>
        <v>2</v>
      </c>
      <c r="G125" s="2" t="s">
        <v>5157</v>
      </c>
      <c r="H125" s="2"/>
      <c r="I125" s="2"/>
      <c r="J125" s="2"/>
    </row>
    <row r="126" customFormat="false" ht="15" hidden="false" customHeight="false" outlineLevel="0" collapsed="false">
      <c r="A126" s="7" t="s">
        <v>5158</v>
      </c>
      <c r="B126" s="6" t="s">
        <v>127</v>
      </c>
      <c r="C126" s="6" t="s">
        <v>5016</v>
      </c>
      <c r="D126" s="6" t="n">
        <f aca="false">COUNTIF('All relationships'!$A$2:$A$1227,A126)</f>
        <v>2</v>
      </c>
      <c r="E126" s="6" t="n">
        <f aca="false">COUNTIFS('All relationships'!$A$2:$A$1227,A126,'All relationships'!$H$2:$H$1227,"Luxury",'All relationships'!$K$2:$K$1227,"&lt;&gt;Recently lost")</f>
        <v>0</v>
      </c>
      <c r="F126" s="6" t="n">
        <f aca="false">COUNTIFS('All relationships'!$A$2:$A$1227,A126,'All relationships'!$H$2:$H$1227,"Premium",'All relationships'!$K$2:$K$1227,"&lt;&gt;Recently lost")</f>
        <v>0</v>
      </c>
      <c r="G126" s="2"/>
      <c r="H126" s="2" t="s">
        <v>5159</v>
      </c>
      <c r="I126" s="2"/>
      <c r="J126" s="2"/>
    </row>
    <row r="127" customFormat="false" ht="15" hidden="false" customHeight="false" outlineLevel="0" collapsed="false">
      <c r="A127" s="7" t="s">
        <v>5160</v>
      </c>
      <c r="B127" s="6" t="s">
        <v>127</v>
      </c>
      <c r="C127" s="6" t="s">
        <v>5006</v>
      </c>
      <c r="D127" s="6" t="n">
        <f aca="false">COUNTIF('All relationships'!$A$2:$A$1227,A127)</f>
        <v>2</v>
      </c>
      <c r="E127" s="6" t="n">
        <f aca="false">COUNTIFS('All relationships'!$A$2:$A$1227,A127,'All relationships'!$H$2:$H$1227,"Luxury",'All relationships'!$K$2:$K$1227,"&lt;&gt;Recently lost")</f>
        <v>0</v>
      </c>
      <c r="F127" s="6" t="n">
        <f aca="false">COUNTIFS('All relationships'!$A$2:$A$1227,A127,'All relationships'!$H$2:$H$1227,"Premium",'All relationships'!$K$2:$K$1227,"&lt;&gt;Recently lost")</f>
        <v>1</v>
      </c>
      <c r="G127" s="2" t="s">
        <v>1897</v>
      </c>
      <c r="H127" s="2" t="s">
        <v>1498</v>
      </c>
      <c r="I127" s="2"/>
      <c r="J127" s="2" t="s">
        <v>5161</v>
      </c>
    </row>
    <row r="128" customFormat="false" ht="15" hidden="false" customHeight="false" outlineLevel="0" collapsed="false">
      <c r="A128" s="7" t="s">
        <v>4753</v>
      </c>
      <c r="B128" s="6" t="s">
        <v>127</v>
      </c>
      <c r="C128" s="6" t="s">
        <v>5016</v>
      </c>
      <c r="D128" s="6" t="n">
        <f aca="false">COUNTIF('All relationships'!$A$2:$A$1227,A128)</f>
        <v>1</v>
      </c>
      <c r="E128" s="6" t="n">
        <f aca="false">COUNTIFS('All relationships'!$A$2:$A$1227,A128,'All relationships'!$H$2:$H$1227,"Luxury",'All relationships'!$K$2:$K$1227,"&lt;&gt;Recently lost")</f>
        <v>0</v>
      </c>
      <c r="F128" s="6" t="n">
        <f aca="false">COUNTIFS('All relationships'!$A$2:$A$1227,A128,'All relationships'!$H$2:$H$1227,"Premium",'All relationships'!$K$2:$K$1227,"&lt;&gt;Recently lost")</f>
        <v>1</v>
      </c>
      <c r="G128" s="2" t="s">
        <v>3321</v>
      </c>
      <c r="H128" s="2"/>
      <c r="I128" s="2"/>
      <c r="J128" s="2"/>
    </row>
    <row r="129" customFormat="false" ht="15" hidden="false" customHeight="false" outlineLevel="0" collapsed="false">
      <c r="A129" s="7" t="s">
        <v>5162</v>
      </c>
      <c r="B129" s="6" t="s">
        <v>127</v>
      </c>
      <c r="C129" s="6" t="s">
        <v>5016</v>
      </c>
      <c r="D129" s="6" t="n">
        <f aca="false">COUNTIF('All relationships'!$A$2:$A$1227,A129)</f>
        <v>1</v>
      </c>
      <c r="E129" s="6" t="n">
        <f aca="false">COUNTIFS('All relationships'!$A$2:$A$1227,A129,'All relationships'!$H$2:$H$1227,"Luxury",'All relationships'!$K$2:$K$1227,"&lt;&gt;Recently lost")</f>
        <v>0</v>
      </c>
      <c r="F129" s="6" t="n">
        <f aca="false">COUNTIFS('All relationships'!$A$2:$A$1227,A129,'All relationships'!$H$2:$H$1227,"Premium",'All relationships'!$K$2:$K$1227,"&lt;&gt;Recently lost")</f>
        <v>1</v>
      </c>
      <c r="G129" s="2" t="s">
        <v>2917</v>
      </c>
      <c r="H129" s="2"/>
      <c r="I129" s="2"/>
      <c r="J129" s="2"/>
    </row>
    <row r="130" customFormat="false" ht="15" hidden="false" customHeight="false" outlineLevel="0" collapsed="false">
      <c r="A130" s="7" t="s">
        <v>5163</v>
      </c>
      <c r="B130" s="6" t="s">
        <v>127</v>
      </c>
      <c r="C130" s="6" t="s">
        <v>4682</v>
      </c>
      <c r="D130" s="6" t="n">
        <f aca="false">COUNTIF('All relationships'!$A$2:$A$1227,A130)</f>
        <v>1</v>
      </c>
      <c r="E130" s="6" t="n">
        <f aca="false">COUNTIFS('All relationships'!$A$2:$A$1227,A130,'All relationships'!$H$2:$H$1227,"Luxury",'All relationships'!$K$2:$K$1227,"&lt;&gt;Recently lost")</f>
        <v>0</v>
      </c>
      <c r="F130" s="6" t="n">
        <f aca="false">COUNTIFS('All relationships'!$A$2:$A$1227,A130,'All relationships'!$H$2:$H$1227,"Premium",'All relationships'!$K$2:$K$1227,"&lt;&gt;Recently lost")</f>
        <v>1</v>
      </c>
      <c r="G130" s="2" t="s">
        <v>2135</v>
      </c>
      <c r="H130" s="2"/>
      <c r="I130" s="2"/>
      <c r="J130" s="2"/>
    </row>
    <row r="131" customFormat="false" ht="15" hidden="false" customHeight="false" outlineLevel="0" collapsed="false">
      <c r="A131" s="7" t="s">
        <v>5164</v>
      </c>
      <c r="B131" s="6" t="s">
        <v>127</v>
      </c>
      <c r="C131" s="6" t="s">
        <v>5016</v>
      </c>
      <c r="D131" s="6" t="n">
        <f aca="false">COUNTIF('All relationships'!$A$2:$A$1227,A131)</f>
        <v>1</v>
      </c>
      <c r="E131" s="6" t="n">
        <f aca="false">COUNTIFS('All relationships'!$A$2:$A$1227,A131,'All relationships'!$H$2:$H$1227,"Luxury",'All relationships'!$K$2:$K$1227,"&lt;&gt;Recently lost")</f>
        <v>1</v>
      </c>
      <c r="F131" s="6" t="n">
        <f aca="false">COUNTIFS('All relationships'!$A$2:$A$1227,A131,'All relationships'!$H$2:$H$1227,"Premium",'All relationships'!$K$2:$K$1227,"&lt;&gt;Recently lost")</f>
        <v>0</v>
      </c>
      <c r="G131" s="2" t="s">
        <v>5165</v>
      </c>
      <c r="H131" s="2"/>
      <c r="I131" s="2"/>
      <c r="J131" s="2"/>
    </row>
    <row r="132" customFormat="false" ht="15" hidden="false" customHeight="false" outlineLevel="0" collapsed="false">
      <c r="A132" s="7" t="s">
        <v>4813</v>
      </c>
      <c r="B132" s="6" t="s">
        <v>127</v>
      </c>
      <c r="C132" s="6" t="s">
        <v>5016</v>
      </c>
      <c r="D132" s="6" t="n">
        <f aca="false">COUNTIF('All relationships'!$A$2:$A$1227,A132)</f>
        <v>1</v>
      </c>
      <c r="E132" s="6" t="n">
        <f aca="false">COUNTIFS('All relationships'!$A$2:$A$1227,A132,'All relationships'!$H$2:$H$1227,"Luxury",'All relationships'!$K$2:$K$1227,"&lt;&gt;Recently lost")</f>
        <v>0</v>
      </c>
      <c r="F132" s="6" t="n">
        <f aca="false">COUNTIFS('All relationships'!$A$2:$A$1227,A132,'All relationships'!$H$2:$H$1227,"Premium",'All relationships'!$K$2:$K$1227,"&lt;&gt;Recently lost")</f>
        <v>0</v>
      </c>
      <c r="G132" s="2"/>
      <c r="H132" s="2" t="s">
        <v>4294</v>
      </c>
      <c r="I132" s="2"/>
      <c r="J132" s="2"/>
    </row>
    <row r="133" customFormat="false" ht="15" hidden="false" customHeight="false" outlineLevel="0" collapsed="false">
      <c r="A133" s="7" t="s">
        <v>5166</v>
      </c>
      <c r="B133" s="6" t="s">
        <v>127</v>
      </c>
      <c r="C133" s="6" t="s">
        <v>5006</v>
      </c>
      <c r="D133" s="6" t="n">
        <f aca="false">COUNTIF('All relationships'!$A$2:$A$1227,A133)</f>
        <v>1</v>
      </c>
      <c r="E133" s="6" t="n">
        <f aca="false">COUNTIFS('All relationships'!$A$2:$A$1227,A133,'All relationships'!$H$2:$H$1227,"Luxury",'All relationships'!$K$2:$K$1227,"&lt;&gt;Recently lost")</f>
        <v>1</v>
      </c>
      <c r="F133" s="6" t="n">
        <f aca="false">COUNTIFS('All relationships'!$A$2:$A$1227,A133,'All relationships'!$H$2:$H$1227,"Premium",'All relationships'!$K$2:$K$1227,"&lt;&gt;Recently lost")</f>
        <v>0</v>
      </c>
      <c r="G133" s="2" t="s">
        <v>5167</v>
      </c>
      <c r="H133" s="2"/>
      <c r="I133" s="2"/>
      <c r="J133" s="2"/>
    </row>
    <row r="134" customFormat="false" ht="15" hidden="false" customHeight="false" outlineLevel="0" collapsed="false">
      <c r="A134" s="7" t="s">
        <v>5168</v>
      </c>
      <c r="B134" s="6" t="s">
        <v>127</v>
      </c>
      <c r="C134" s="6" t="s">
        <v>5016</v>
      </c>
      <c r="D134" s="6" t="n">
        <f aca="false">COUNTIF('All relationships'!$A$2:$A$1227,A134)</f>
        <v>1</v>
      </c>
      <c r="E134" s="6" t="n">
        <f aca="false">COUNTIFS('All relationships'!$A$2:$A$1227,A134,'All relationships'!$H$2:$H$1227,"Luxury",'All relationships'!$K$2:$K$1227,"&lt;&gt;Recently lost")</f>
        <v>1</v>
      </c>
      <c r="F134" s="6" t="n">
        <f aca="false">COUNTIFS('All relationships'!$A$2:$A$1227,A134,'All relationships'!$H$2:$H$1227,"Premium",'All relationships'!$K$2:$K$1227,"&lt;&gt;Recently lost")</f>
        <v>0</v>
      </c>
      <c r="G134" s="2" t="s">
        <v>5169</v>
      </c>
      <c r="H134" s="2"/>
      <c r="I134" s="2"/>
      <c r="J134" s="2"/>
    </row>
    <row r="135" customFormat="false" ht="15" hidden="false" customHeight="false" outlineLevel="0" collapsed="false">
      <c r="A135" s="7" t="s">
        <v>5170</v>
      </c>
      <c r="B135" s="6" t="s">
        <v>127</v>
      </c>
      <c r="C135" s="6" t="s">
        <v>5006</v>
      </c>
      <c r="D135" s="6" t="n">
        <f aca="false">COUNTIF('All relationships'!$A$2:$A$1227,A135)</f>
        <v>1</v>
      </c>
      <c r="E135" s="6" t="n">
        <f aca="false">COUNTIFS('All relationships'!$A$2:$A$1227,A135,'All relationships'!$H$2:$H$1227,"Luxury",'All relationships'!$K$2:$K$1227,"&lt;&gt;Recently lost")</f>
        <v>1</v>
      </c>
      <c r="F135" s="6" t="n">
        <f aca="false">COUNTIFS('All relationships'!$A$2:$A$1227,A135,'All relationships'!$H$2:$H$1227,"Premium",'All relationships'!$K$2:$K$1227,"&lt;&gt;Recently lost")</f>
        <v>0</v>
      </c>
      <c r="G135" s="2" t="s">
        <v>5171</v>
      </c>
      <c r="H135" s="2"/>
      <c r="I135" s="2"/>
      <c r="J135" s="2"/>
    </row>
    <row r="136" customFormat="false" ht="15" hidden="false" customHeight="false" outlineLevel="0" collapsed="false">
      <c r="A136" s="7" t="s">
        <v>4681</v>
      </c>
      <c r="B136" s="6" t="s">
        <v>127</v>
      </c>
      <c r="C136" s="6" t="s">
        <v>4682</v>
      </c>
      <c r="D136" s="6" t="n">
        <f aca="false">COUNTIF('All relationships'!$A$2:$A$1227,A136)</f>
        <v>1</v>
      </c>
      <c r="E136" s="6" t="n">
        <f aca="false">COUNTIFS('All relationships'!$A$2:$A$1227,A136,'All relationships'!$H$2:$H$1227,"Luxury",'All relationships'!$K$2:$K$1227,"&lt;&gt;Recently lost")</f>
        <v>0</v>
      </c>
      <c r="F136" s="6" t="n">
        <f aca="false">COUNTIFS('All relationships'!$A$2:$A$1227,A136,'All relationships'!$H$2:$H$1227,"Premium",'All relationships'!$K$2:$K$1227,"&lt;&gt;Recently lost")</f>
        <v>1</v>
      </c>
      <c r="G136" s="2" t="s">
        <v>2606</v>
      </c>
      <c r="H136" s="2"/>
      <c r="I136" s="2"/>
      <c r="J136" s="2"/>
    </row>
    <row r="137" customFormat="false" ht="15" hidden="false" customHeight="false" outlineLevel="0" collapsed="false">
      <c r="A137" s="7" t="s">
        <v>5172</v>
      </c>
      <c r="B137" s="6" t="s">
        <v>127</v>
      </c>
      <c r="C137" s="6" t="s">
        <v>5016</v>
      </c>
      <c r="D137" s="6" t="n">
        <f aca="false">COUNTIF('All relationships'!$A$2:$A$1227,A137)</f>
        <v>1</v>
      </c>
      <c r="E137" s="6" t="n">
        <f aca="false">COUNTIFS('All relationships'!$A$2:$A$1227,A137,'All relationships'!$H$2:$H$1227,"Luxury",'All relationships'!$K$2:$K$1227,"&lt;&gt;Recently lost")</f>
        <v>0</v>
      </c>
      <c r="F137" s="6" t="n">
        <f aca="false">COUNTIFS('All relationships'!$A$2:$A$1227,A137,'All relationships'!$H$2:$H$1227,"Premium",'All relationships'!$K$2:$K$1227,"&lt;&gt;Recently lost")</f>
        <v>1</v>
      </c>
      <c r="G137" s="2" t="s">
        <v>1120</v>
      </c>
      <c r="H137" s="2"/>
      <c r="I137" s="2"/>
      <c r="J137" s="2"/>
    </row>
    <row r="138" customFormat="false" ht="15" hidden="false" customHeight="false" outlineLevel="0" collapsed="false">
      <c r="A138" s="7" t="s">
        <v>5173</v>
      </c>
      <c r="B138" s="6" t="s">
        <v>127</v>
      </c>
      <c r="C138" s="6" t="s">
        <v>5006</v>
      </c>
      <c r="D138" s="6" t="n">
        <f aca="false">COUNTIF('All relationships'!$A$2:$A$1227,A138)</f>
        <v>1</v>
      </c>
      <c r="E138" s="6" t="n">
        <f aca="false">COUNTIFS('All relationships'!$A$2:$A$1227,A138,'All relationships'!$H$2:$H$1227,"Luxury",'All relationships'!$K$2:$K$1227,"&lt;&gt;Recently lost")</f>
        <v>0</v>
      </c>
      <c r="F138" s="6" t="n">
        <f aca="false">COUNTIFS('All relationships'!$A$2:$A$1227,A138,'All relationships'!$H$2:$H$1227,"Premium",'All relationships'!$K$2:$K$1227,"&lt;&gt;Recently lost")</f>
        <v>0</v>
      </c>
      <c r="G138" s="2"/>
      <c r="H138" s="2" t="s">
        <v>3585</v>
      </c>
      <c r="I138" s="2"/>
      <c r="J138" s="2"/>
    </row>
    <row r="139" customFormat="false" ht="15" hidden="false" customHeight="false" outlineLevel="0" collapsed="false">
      <c r="A139" s="7" t="s">
        <v>4807</v>
      </c>
      <c r="B139" s="6" t="s">
        <v>127</v>
      </c>
      <c r="C139" s="6" t="s">
        <v>4682</v>
      </c>
      <c r="D139" s="6" t="n">
        <f aca="false">COUNTIF('All relationships'!$A$2:$A$1227,A139)</f>
        <v>1</v>
      </c>
      <c r="E139" s="6" t="n">
        <f aca="false">COUNTIFS('All relationships'!$A$2:$A$1227,A139,'All relationships'!$H$2:$H$1227,"Luxury",'All relationships'!$K$2:$K$1227,"&lt;&gt;Recently lost")</f>
        <v>0</v>
      </c>
      <c r="F139" s="6" t="n">
        <f aca="false">COUNTIFS('All relationships'!$A$2:$A$1227,A139,'All relationships'!$H$2:$H$1227,"Premium",'All relationships'!$K$2:$K$1227,"&lt;&gt;Recently lost")</f>
        <v>1</v>
      </c>
      <c r="G139" s="2" t="s">
        <v>2157</v>
      </c>
      <c r="H139" s="2"/>
      <c r="I139" s="2"/>
      <c r="J139" s="2"/>
    </row>
    <row r="140" customFormat="false" ht="15" hidden="false" customHeight="false" outlineLevel="0" collapsed="false">
      <c r="A140" s="7" t="s">
        <v>5174</v>
      </c>
      <c r="B140" s="6" t="s">
        <v>127</v>
      </c>
      <c r="C140" s="6" t="s">
        <v>5016</v>
      </c>
      <c r="D140" s="6" t="n">
        <f aca="false">COUNTIF('All relationships'!$A$2:$A$1227,A140)</f>
        <v>1</v>
      </c>
      <c r="E140" s="6" t="n">
        <f aca="false">COUNTIFS('All relationships'!$A$2:$A$1227,A140,'All relationships'!$H$2:$H$1227,"Luxury",'All relationships'!$K$2:$K$1227,"&lt;&gt;Recently lost")</f>
        <v>0</v>
      </c>
      <c r="F140" s="6" t="n">
        <f aca="false">COUNTIFS('All relationships'!$A$2:$A$1227,A140,'All relationships'!$H$2:$H$1227,"Premium",'All relationships'!$K$2:$K$1227,"&lt;&gt;Recently lost")</f>
        <v>0</v>
      </c>
      <c r="G140" s="2"/>
      <c r="H140" s="2" t="s">
        <v>4289</v>
      </c>
      <c r="I140" s="2"/>
      <c r="J140" s="2"/>
    </row>
    <row r="141" customFormat="false" ht="15" hidden="false" customHeight="false" outlineLevel="0" collapsed="false">
      <c r="A141" s="7" t="s">
        <v>5175</v>
      </c>
      <c r="B141" s="6" t="s">
        <v>127</v>
      </c>
      <c r="C141" s="6" t="s">
        <v>5006</v>
      </c>
      <c r="D141" s="6" t="n">
        <f aca="false">COUNTIF('All relationships'!$A$2:$A$1227,A141)</f>
        <v>1</v>
      </c>
      <c r="E141" s="6" t="n">
        <f aca="false">COUNTIFS('All relationships'!$A$2:$A$1227,A141,'All relationships'!$H$2:$H$1227,"Luxury",'All relationships'!$K$2:$K$1227,"&lt;&gt;Recently lost")</f>
        <v>0</v>
      </c>
      <c r="F141" s="6" t="n">
        <f aca="false">COUNTIFS('All relationships'!$A$2:$A$1227,A141,'All relationships'!$H$2:$H$1227,"Premium",'All relationships'!$K$2:$K$1227,"&lt;&gt;Recently lost")</f>
        <v>1</v>
      </c>
      <c r="G141" s="2" t="s">
        <v>2940</v>
      </c>
      <c r="H141" s="2"/>
      <c r="I141" s="2"/>
      <c r="J141" s="2"/>
    </row>
    <row r="142" customFormat="false" ht="15" hidden="false" customHeight="false" outlineLevel="0" collapsed="false">
      <c r="A142" s="7" t="s">
        <v>5176</v>
      </c>
      <c r="B142" s="6" t="s">
        <v>127</v>
      </c>
      <c r="C142" s="6" t="s">
        <v>5006</v>
      </c>
      <c r="D142" s="6" t="n">
        <f aca="false">COUNTIF('All relationships'!$A$2:$A$1227,A142)</f>
        <v>1</v>
      </c>
      <c r="E142" s="6" t="n">
        <f aca="false">COUNTIFS('All relationships'!$A$2:$A$1227,A142,'All relationships'!$H$2:$H$1227,"Luxury",'All relationships'!$K$2:$K$1227,"&lt;&gt;Recently lost")</f>
        <v>0</v>
      </c>
      <c r="F142" s="6" t="n">
        <f aca="false">COUNTIFS('All relationships'!$A$2:$A$1227,A142,'All relationships'!$H$2:$H$1227,"Premium",'All relationships'!$K$2:$K$1227,"&lt;&gt;Recently lost")</f>
        <v>1</v>
      </c>
      <c r="G142" s="2" t="s">
        <v>788</v>
      </c>
      <c r="H142" s="2"/>
      <c r="I142" s="2"/>
      <c r="J142" s="2"/>
    </row>
    <row r="143" customFormat="false" ht="15" hidden="false" customHeight="false" outlineLevel="0" collapsed="false">
      <c r="A143" s="7" t="s">
        <v>5177</v>
      </c>
      <c r="B143" s="6" t="s">
        <v>127</v>
      </c>
      <c r="C143" s="6" t="s">
        <v>5006</v>
      </c>
      <c r="D143" s="6" t="n">
        <f aca="false">COUNTIF('All relationships'!$A$2:$A$1227,A143)</f>
        <v>1</v>
      </c>
      <c r="E143" s="6" t="n">
        <f aca="false">COUNTIFS('All relationships'!$A$2:$A$1227,A143,'All relationships'!$H$2:$H$1227,"Luxury",'All relationships'!$K$2:$K$1227,"&lt;&gt;Recently lost")</f>
        <v>0</v>
      </c>
      <c r="F143" s="6" t="n">
        <f aca="false">COUNTIFS('All relationships'!$A$2:$A$1227,A143,'All relationships'!$H$2:$H$1227,"Premium",'All relationships'!$K$2:$K$1227,"&lt;&gt;Recently lost")</f>
        <v>1</v>
      </c>
      <c r="G143" s="2" t="s">
        <v>1433</v>
      </c>
      <c r="H143" s="2"/>
      <c r="I143" s="2"/>
      <c r="J143" s="2"/>
    </row>
    <row r="144" customFormat="false" ht="15" hidden="false" customHeight="false" outlineLevel="0" collapsed="false">
      <c r="A144" s="7" t="s">
        <v>5178</v>
      </c>
      <c r="B144" s="6" t="s">
        <v>127</v>
      </c>
      <c r="C144" s="6" t="s">
        <v>5016</v>
      </c>
      <c r="D144" s="6" t="n">
        <f aca="false">COUNTIF('All relationships'!$A$2:$A$1227,A144)</f>
        <v>1</v>
      </c>
      <c r="E144" s="6" t="n">
        <f aca="false">COUNTIFS('All relationships'!$A$2:$A$1227,A144,'All relationships'!$H$2:$H$1227,"Luxury",'All relationships'!$K$2:$K$1227,"&lt;&gt;Recently lost")</f>
        <v>1</v>
      </c>
      <c r="F144" s="6" t="n">
        <f aca="false">COUNTIFS('All relationships'!$A$2:$A$1227,A144,'All relationships'!$H$2:$H$1227,"Premium",'All relationships'!$K$2:$K$1227,"&lt;&gt;Recently lost")</f>
        <v>0</v>
      </c>
      <c r="G144" s="2" t="s">
        <v>5179</v>
      </c>
      <c r="H144" s="2"/>
      <c r="I144" s="2"/>
      <c r="J144" s="2"/>
    </row>
    <row r="145" customFormat="false" ht="15" hidden="false" customHeight="false" outlineLevel="0" collapsed="false">
      <c r="A145" s="7" t="s">
        <v>5180</v>
      </c>
      <c r="B145" s="6" t="s">
        <v>127</v>
      </c>
      <c r="C145" s="6" t="s">
        <v>5006</v>
      </c>
      <c r="D145" s="6" t="n">
        <f aca="false">COUNTIF('All relationships'!$A$2:$A$1227,A145)</f>
        <v>1</v>
      </c>
      <c r="E145" s="6" t="n">
        <f aca="false">COUNTIFS('All relationships'!$A$2:$A$1227,A145,'All relationships'!$H$2:$H$1227,"Luxury",'All relationships'!$K$2:$K$1227,"&lt;&gt;Recently lost")</f>
        <v>0</v>
      </c>
      <c r="F145" s="6" t="n">
        <f aca="false">COUNTIFS('All relationships'!$A$2:$A$1227,A145,'All relationships'!$H$2:$H$1227,"Premium",'All relationships'!$K$2:$K$1227,"&lt;&gt;Recently lost")</f>
        <v>1</v>
      </c>
      <c r="G145" s="2" t="s">
        <v>2497</v>
      </c>
      <c r="H145" s="2"/>
      <c r="I145" s="2"/>
      <c r="J145" s="2"/>
    </row>
    <row r="146" customFormat="false" ht="15" hidden="false" customHeight="false" outlineLevel="0" collapsed="false">
      <c r="A146" s="7" t="s">
        <v>5181</v>
      </c>
      <c r="B146" s="6" t="s">
        <v>127</v>
      </c>
      <c r="C146" s="6" t="s">
        <v>5006</v>
      </c>
      <c r="D146" s="6" t="n">
        <f aca="false">COUNTIF('All relationships'!$A$2:$A$1227,A146)</f>
        <v>1</v>
      </c>
      <c r="E146" s="6" t="n">
        <f aca="false">COUNTIFS('All relationships'!$A$2:$A$1227,A146,'All relationships'!$H$2:$H$1227,"Luxury",'All relationships'!$K$2:$K$1227,"&lt;&gt;Recently lost")</f>
        <v>1</v>
      </c>
      <c r="F146" s="6" t="n">
        <f aca="false">COUNTIFS('All relationships'!$A$2:$A$1227,A146,'All relationships'!$H$2:$H$1227,"Premium",'All relationships'!$K$2:$K$1227,"&lt;&gt;Recently lost")</f>
        <v>0</v>
      </c>
      <c r="G146" s="2" t="s">
        <v>5182</v>
      </c>
      <c r="H146" s="2"/>
      <c r="I146" s="2"/>
      <c r="J146" s="2"/>
    </row>
    <row r="147" customFormat="false" ht="15" hidden="false" customHeight="false" outlineLevel="0" collapsed="false">
      <c r="A147" s="7" t="s">
        <v>5183</v>
      </c>
      <c r="B147" s="6" t="s">
        <v>127</v>
      </c>
      <c r="C147" s="6" t="s">
        <v>5016</v>
      </c>
      <c r="D147" s="6" t="n">
        <f aca="false">COUNTIF('All relationships'!$A$2:$A$1227,A147)</f>
        <v>1</v>
      </c>
      <c r="E147" s="6" t="n">
        <f aca="false">COUNTIFS('All relationships'!$A$2:$A$1227,A147,'All relationships'!$H$2:$H$1227,"Luxury",'All relationships'!$K$2:$K$1227,"&lt;&gt;Recently lost")</f>
        <v>0</v>
      </c>
      <c r="F147" s="6" t="n">
        <f aca="false">COUNTIFS('All relationships'!$A$2:$A$1227,A147,'All relationships'!$H$2:$H$1227,"Premium",'All relationships'!$K$2:$K$1227,"&lt;&gt;Recently lost")</f>
        <v>1</v>
      </c>
      <c r="G147" s="2" t="s">
        <v>1385</v>
      </c>
      <c r="H147" s="2"/>
      <c r="I147" s="2"/>
      <c r="J147" s="2"/>
    </row>
    <row r="148" customFormat="false" ht="15" hidden="false" customHeight="false" outlineLevel="0" collapsed="false">
      <c r="A148" s="7" t="s">
        <v>5184</v>
      </c>
      <c r="B148" s="6" t="s">
        <v>127</v>
      </c>
      <c r="C148" s="6" t="s">
        <v>5006</v>
      </c>
      <c r="D148" s="6" t="n">
        <f aca="false">COUNTIF('All relationships'!$A$2:$A$1227,A148)</f>
        <v>1</v>
      </c>
      <c r="E148" s="6" t="n">
        <f aca="false">COUNTIFS('All relationships'!$A$2:$A$1227,A148,'All relationships'!$H$2:$H$1227,"Luxury",'All relationships'!$K$2:$K$1227,"&lt;&gt;Recently lost")</f>
        <v>0</v>
      </c>
      <c r="F148" s="6" t="n">
        <f aca="false">COUNTIFS('All relationships'!$A$2:$A$1227,A148,'All relationships'!$H$2:$H$1227,"Premium",'All relationships'!$K$2:$K$1227,"&lt;&gt;Recently lost")</f>
        <v>1</v>
      </c>
      <c r="G148" s="2" t="s">
        <v>1964</v>
      </c>
      <c r="H148" s="2"/>
      <c r="I148" s="2"/>
      <c r="J148" s="2"/>
    </row>
    <row r="149" customFormat="false" ht="15" hidden="false" customHeight="false" outlineLevel="0" collapsed="false">
      <c r="A149" s="7" t="s">
        <v>5185</v>
      </c>
      <c r="B149" s="6" t="s">
        <v>127</v>
      </c>
      <c r="C149" s="6" t="s">
        <v>5006</v>
      </c>
      <c r="D149" s="6" t="n">
        <f aca="false">COUNTIF('All relationships'!$A$2:$A$1227,A149)</f>
        <v>1</v>
      </c>
      <c r="E149" s="6" t="n">
        <f aca="false">COUNTIFS('All relationships'!$A$2:$A$1227,A149,'All relationships'!$H$2:$H$1227,"Luxury",'All relationships'!$K$2:$K$1227,"&lt;&gt;Recently lost")</f>
        <v>0</v>
      </c>
      <c r="F149" s="6" t="n">
        <f aca="false">COUNTIFS('All relationships'!$A$2:$A$1227,A149,'All relationships'!$H$2:$H$1227,"Premium",'All relationships'!$K$2:$K$1227,"&lt;&gt;Recently lost")</f>
        <v>1</v>
      </c>
      <c r="G149" s="2" t="s">
        <v>631</v>
      </c>
      <c r="H149" s="2"/>
      <c r="I149" s="2"/>
      <c r="J149" s="2"/>
    </row>
    <row r="150" customFormat="false" ht="15" hidden="false" customHeight="false" outlineLevel="0" collapsed="false">
      <c r="A150" s="7" t="s">
        <v>5186</v>
      </c>
      <c r="B150" s="6" t="s">
        <v>127</v>
      </c>
      <c r="C150" s="6" t="s">
        <v>5006</v>
      </c>
      <c r="D150" s="6" t="n">
        <f aca="false">COUNTIF('All relationships'!$A$2:$A$1227,A150)</f>
        <v>1</v>
      </c>
      <c r="E150" s="6" t="n">
        <f aca="false">COUNTIFS('All relationships'!$A$2:$A$1227,A150,'All relationships'!$H$2:$H$1227,"Luxury",'All relationships'!$K$2:$K$1227,"&lt;&gt;Recently lost")</f>
        <v>0</v>
      </c>
      <c r="F150" s="6" t="n">
        <f aca="false">COUNTIFS('All relationships'!$A$2:$A$1227,A150,'All relationships'!$H$2:$H$1227,"Premium",'All relationships'!$K$2:$K$1227,"&lt;&gt;Recently lost")</f>
        <v>1</v>
      </c>
      <c r="G150" s="2" t="s">
        <v>2116</v>
      </c>
      <c r="H150" s="2"/>
      <c r="I150" s="2"/>
      <c r="J150" s="2"/>
    </row>
    <row r="151" customFormat="false" ht="15" hidden="false" customHeight="false" outlineLevel="0" collapsed="false">
      <c r="A151" s="7" t="s">
        <v>5187</v>
      </c>
      <c r="B151" s="6" t="s">
        <v>127</v>
      </c>
      <c r="C151" s="6" t="s">
        <v>5006</v>
      </c>
      <c r="D151" s="6" t="n">
        <f aca="false">COUNTIF('All relationships'!$A$2:$A$1227,A151)</f>
        <v>1</v>
      </c>
      <c r="E151" s="6" t="n">
        <f aca="false">COUNTIFS('All relationships'!$A$2:$A$1227,A151,'All relationships'!$H$2:$H$1227,"Luxury",'All relationships'!$K$2:$K$1227,"&lt;&gt;Recently lost")</f>
        <v>0</v>
      </c>
      <c r="F151" s="6" t="n">
        <f aca="false">COUNTIFS('All relationships'!$A$2:$A$1227,A151,'All relationships'!$H$2:$H$1227,"Premium",'All relationships'!$K$2:$K$1227,"&lt;&gt;Recently lost")</f>
        <v>1</v>
      </c>
      <c r="G151" s="2" t="s">
        <v>1795</v>
      </c>
      <c r="H151" s="2"/>
      <c r="I151" s="2"/>
      <c r="J151" s="2"/>
    </row>
    <row r="152" customFormat="false" ht="15" hidden="false" customHeight="false" outlineLevel="0" collapsed="false">
      <c r="A152" s="7" t="s">
        <v>5188</v>
      </c>
      <c r="B152" s="6" t="s">
        <v>127</v>
      </c>
      <c r="C152" s="6" t="s">
        <v>5006</v>
      </c>
      <c r="D152" s="6" t="n">
        <f aca="false">COUNTIF('All relationships'!$A$2:$A$1227,A152)</f>
        <v>1</v>
      </c>
      <c r="E152" s="6" t="n">
        <f aca="false">COUNTIFS('All relationships'!$A$2:$A$1227,A152,'All relationships'!$H$2:$H$1227,"Luxury",'All relationships'!$K$2:$K$1227,"&lt;&gt;Recently lost")</f>
        <v>0</v>
      </c>
      <c r="F152" s="6" t="n">
        <f aca="false">COUNTIFS('All relationships'!$A$2:$A$1227,A152,'All relationships'!$H$2:$H$1227,"Premium",'All relationships'!$K$2:$K$1227,"&lt;&gt;Recently lost")</f>
        <v>0</v>
      </c>
      <c r="G152" s="2"/>
      <c r="H152" s="2" t="s">
        <v>2611</v>
      </c>
      <c r="I152" s="2"/>
      <c r="J152" s="2"/>
    </row>
    <row r="153" customFormat="false" ht="15" hidden="false" customHeight="false" outlineLevel="0" collapsed="false">
      <c r="A153" s="7" t="s">
        <v>5189</v>
      </c>
      <c r="B153" s="6" t="s">
        <v>127</v>
      </c>
      <c r="C153" s="6" t="s">
        <v>5006</v>
      </c>
      <c r="D153" s="6" t="n">
        <f aca="false">COUNTIF('All relationships'!$A$2:$A$1227,A153)</f>
        <v>1</v>
      </c>
      <c r="E153" s="6" t="n">
        <f aca="false">COUNTIFS('All relationships'!$A$2:$A$1227,A153,'All relationships'!$H$2:$H$1227,"Luxury",'All relationships'!$K$2:$K$1227,"&lt;&gt;Recently lost")</f>
        <v>0</v>
      </c>
      <c r="F153" s="6" t="n">
        <f aca="false">COUNTIFS('All relationships'!$A$2:$A$1227,A153,'All relationships'!$H$2:$H$1227,"Premium",'All relationships'!$K$2:$K$1227,"&lt;&gt;Recently lost")</f>
        <v>1</v>
      </c>
      <c r="G153" s="2" t="s">
        <v>2867</v>
      </c>
      <c r="H153" s="2"/>
      <c r="I153" s="2"/>
      <c r="J153" s="2"/>
    </row>
    <row r="154" customFormat="false" ht="15" hidden="false" customHeight="false" outlineLevel="0" collapsed="false">
      <c r="A154" s="7" t="s">
        <v>5190</v>
      </c>
      <c r="B154" s="6" t="s">
        <v>127</v>
      </c>
      <c r="C154" s="6" t="s">
        <v>5016</v>
      </c>
      <c r="D154" s="6" t="n">
        <f aca="false">COUNTIF('All relationships'!$A$2:$A$1227,A154)</f>
        <v>1</v>
      </c>
      <c r="E154" s="6" t="n">
        <f aca="false">COUNTIFS('All relationships'!$A$2:$A$1227,A154,'All relationships'!$H$2:$H$1227,"Luxury",'All relationships'!$K$2:$K$1227,"&lt;&gt;Recently lost")</f>
        <v>0</v>
      </c>
      <c r="F154" s="6" t="n">
        <f aca="false">COUNTIFS('All relationships'!$A$2:$A$1227,A154,'All relationships'!$H$2:$H$1227,"Premium",'All relationships'!$K$2:$K$1227,"&lt;&gt;Recently lost")</f>
        <v>1</v>
      </c>
      <c r="G154" s="2" t="s">
        <v>1643</v>
      </c>
      <c r="H154" s="2"/>
      <c r="I154" s="2"/>
      <c r="J154" s="2"/>
    </row>
    <row r="155" customFormat="false" ht="15" hidden="false" customHeight="false" outlineLevel="0" collapsed="false">
      <c r="A155" s="7" t="s">
        <v>4707</v>
      </c>
      <c r="B155" s="6" t="s">
        <v>127</v>
      </c>
      <c r="C155" s="6" t="s">
        <v>4682</v>
      </c>
      <c r="D155" s="6" t="n">
        <f aca="false">COUNTIF('All relationships'!$A$2:$A$1227,A155)</f>
        <v>1</v>
      </c>
      <c r="E155" s="6" t="n">
        <f aca="false">COUNTIFS('All relationships'!$A$2:$A$1227,A155,'All relationships'!$H$2:$H$1227,"Luxury",'All relationships'!$K$2:$K$1227,"&lt;&gt;Recently lost")</f>
        <v>0</v>
      </c>
      <c r="F155" s="6" t="n">
        <f aca="false">COUNTIFS('All relationships'!$A$2:$A$1227,A155,'All relationships'!$H$2:$H$1227,"Premium",'All relationships'!$K$2:$K$1227,"&lt;&gt;Recently lost")</f>
        <v>1</v>
      </c>
      <c r="G155" s="2" t="s">
        <v>2560</v>
      </c>
      <c r="H155" s="2"/>
      <c r="I155" s="2"/>
      <c r="J155" s="2"/>
    </row>
    <row r="156" customFormat="false" ht="15" hidden="false" customHeight="false" outlineLevel="0" collapsed="false">
      <c r="A156" s="7" t="s">
        <v>5191</v>
      </c>
      <c r="B156" s="6" t="s">
        <v>127</v>
      </c>
      <c r="C156" s="6" t="s">
        <v>5016</v>
      </c>
      <c r="D156" s="6" t="n">
        <f aca="false">COUNTIF('All relationships'!$A$2:$A$1227,A156)</f>
        <v>1</v>
      </c>
      <c r="E156" s="6" t="n">
        <f aca="false">COUNTIFS('All relationships'!$A$2:$A$1227,A156,'All relationships'!$H$2:$H$1227,"Luxury",'All relationships'!$K$2:$K$1227,"&lt;&gt;Recently lost")</f>
        <v>0</v>
      </c>
      <c r="F156" s="6" t="n">
        <f aca="false">COUNTIFS('All relationships'!$A$2:$A$1227,A156,'All relationships'!$H$2:$H$1227,"Premium",'All relationships'!$K$2:$K$1227,"&lt;&gt;Recently lost")</f>
        <v>1</v>
      </c>
      <c r="G156" s="2" t="s">
        <v>1927</v>
      </c>
      <c r="H156" s="2"/>
      <c r="I156" s="2"/>
      <c r="J156" s="2"/>
    </row>
    <row r="157" customFormat="false" ht="15" hidden="false" customHeight="false" outlineLevel="0" collapsed="false">
      <c r="A157" s="7" t="s">
        <v>5192</v>
      </c>
      <c r="B157" s="6" t="s">
        <v>127</v>
      </c>
      <c r="C157" s="6" t="s">
        <v>4682</v>
      </c>
      <c r="D157" s="6" t="n">
        <f aca="false">COUNTIF('All relationships'!$A$2:$A$1227,A157)</f>
        <v>1</v>
      </c>
      <c r="E157" s="6" t="n">
        <f aca="false">COUNTIFS('All relationships'!$A$2:$A$1227,A157,'All relationships'!$H$2:$H$1227,"Luxury",'All relationships'!$K$2:$K$1227,"&lt;&gt;Recently lost")</f>
        <v>0</v>
      </c>
      <c r="F157" s="6" t="n">
        <f aca="false">COUNTIFS('All relationships'!$A$2:$A$1227,A157,'All relationships'!$H$2:$H$1227,"Premium",'All relationships'!$K$2:$K$1227,"&lt;&gt;Recently lost")</f>
        <v>1</v>
      </c>
      <c r="G157" s="2" t="s">
        <v>1406</v>
      </c>
      <c r="H157" s="2"/>
      <c r="I157" s="2"/>
      <c r="J157" s="2"/>
    </row>
    <row r="158" customFormat="false" ht="15" hidden="false" customHeight="false" outlineLevel="0" collapsed="false">
      <c r="A158" s="7" t="s">
        <v>5193</v>
      </c>
      <c r="B158" s="6" t="s">
        <v>127</v>
      </c>
      <c r="C158" s="6" t="s">
        <v>5006</v>
      </c>
      <c r="D158" s="6" t="n">
        <f aca="false">COUNTIF('All relationships'!$A$2:$A$1227,A158)</f>
        <v>1</v>
      </c>
      <c r="E158" s="6" t="n">
        <f aca="false">COUNTIFS('All relationships'!$A$2:$A$1227,A158,'All relationships'!$H$2:$H$1227,"Luxury",'All relationships'!$K$2:$K$1227,"&lt;&gt;Recently lost")</f>
        <v>0</v>
      </c>
      <c r="F158" s="6" t="n">
        <f aca="false">COUNTIFS('All relationships'!$A$2:$A$1227,A158,'All relationships'!$H$2:$H$1227,"Premium",'All relationships'!$K$2:$K$1227,"&lt;&gt;Recently lost")</f>
        <v>0</v>
      </c>
      <c r="G158" s="2"/>
      <c r="H158" s="2" t="s">
        <v>358</v>
      </c>
      <c r="I158" s="2"/>
      <c r="J158" s="2"/>
    </row>
    <row r="159" customFormat="false" ht="15" hidden="false" customHeight="false" outlineLevel="0" collapsed="false">
      <c r="A159" s="7" t="s">
        <v>5194</v>
      </c>
      <c r="B159" s="6" t="s">
        <v>127</v>
      </c>
      <c r="C159" s="6" t="s">
        <v>5006</v>
      </c>
      <c r="D159" s="6" t="n">
        <f aca="false">COUNTIF('All relationships'!$A$2:$A$1227,A159)</f>
        <v>1</v>
      </c>
      <c r="E159" s="6" t="n">
        <f aca="false">COUNTIFS('All relationships'!$A$2:$A$1227,A159,'All relationships'!$H$2:$H$1227,"Luxury",'All relationships'!$K$2:$K$1227,"&lt;&gt;Recently lost")</f>
        <v>0</v>
      </c>
      <c r="F159" s="6" t="n">
        <f aca="false">COUNTIFS('All relationships'!$A$2:$A$1227,A159,'All relationships'!$H$2:$H$1227,"Premium",'All relationships'!$K$2:$K$1227,"&lt;&gt;Recently lost")</f>
        <v>0</v>
      </c>
      <c r="G159" s="2"/>
      <c r="H159" s="2" t="s">
        <v>1433</v>
      </c>
      <c r="I159" s="2"/>
      <c r="J159" s="2"/>
    </row>
    <row r="160" customFormat="false" ht="15" hidden="false" customHeight="false" outlineLevel="0" collapsed="false">
      <c r="A160" s="7" t="s">
        <v>5195</v>
      </c>
      <c r="B160" s="6" t="s">
        <v>127</v>
      </c>
      <c r="C160" s="6" t="s">
        <v>4682</v>
      </c>
      <c r="D160" s="6" t="n">
        <f aca="false">COUNTIF('All relationships'!$A$2:$A$1227,A160)</f>
        <v>1</v>
      </c>
      <c r="E160" s="6" t="n">
        <f aca="false">COUNTIFS('All relationships'!$A$2:$A$1227,A160,'All relationships'!$H$2:$H$1227,"Luxury",'All relationships'!$K$2:$K$1227,"&lt;&gt;Recently lost")</f>
        <v>1</v>
      </c>
      <c r="F160" s="6" t="n">
        <f aca="false">COUNTIFS('All relationships'!$A$2:$A$1227,A160,'All relationships'!$H$2:$H$1227,"Premium",'All relationships'!$K$2:$K$1227,"&lt;&gt;Recently lost")</f>
        <v>0</v>
      </c>
      <c r="G160" s="2" t="s">
        <v>5196</v>
      </c>
      <c r="H160" s="2"/>
      <c r="I160" s="2"/>
      <c r="J160" s="2"/>
    </row>
    <row r="161" customFormat="false" ht="15" hidden="false" customHeight="false" outlineLevel="0" collapsed="false">
      <c r="A161" s="7" t="s">
        <v>4683</v>
      </c>
      <c r="B161" s="6" t="s">
        <v>127</v>
      </c>
      <c r="C161" s="6" t="s">
        <v>5016</v>
      </c>
      <c r="D161" s="6" t="n">
        <f aca="false">COUNTIF('All relationships'!$A$2:$A$1227,A161)</f>
        <v>1</v>
      </c>
      <c r="E161" s="6" t="n">
        <f aca="false">COUNTIFS('All relationships'!$A$2:$A$1227,A161,'All relationships'!$H$2:$H$1227,"Luxury",'All relationships'!$K$2:$K$1227,"&lt;&gt;Recently lost")</f>
        <v>0</v>
      </c>
      <c r="F161" s="6" t="n">
        <f aca="false">COUNTIFS('All relationships'!$A$2:$A$1227,A161,'All relationships'!$H$2:$H$1227,"Premium",'All relationships'!$K$2:$K$1227,"&lt;&gt;Recently lost")</f>
        <v>1</v>
      </c>
      <c r="G161" s="2" t="s">
        <v>2786</v>
      </c>
      <c r="H161" s="2"/>
      <c r="I161" s="2"/>
      <c r="J161" s="2"/>
    </row>
    <row r="162" customFormat="false" ht="15" hidden="false" customHeight="false" outlineLevel="0" collapsed="false">
      <c r="A162" s="7" t="s">
        <v>5197</v>
      </c>
      <c r="B162" s="6" t="s">
        <v>127</v>
      </c>
      <c r="C162" s="6" t="s">
        <v>5016</v>
      </c>
      <c r="D162" s="6" t="n">
        <f aca="false">COUNTIF('All relationships'!$A$2:$A$1227,A162)</f>
        <v>1</v>
      </c>
      <c r="E162" s="6" t="n">
        <f aca="false">COUNTIFS('All relationships'!$A$2:$A$1227,A162,'All relationships'!$H$2:$H$1227,"Luxury",'All relationships'!$K$2:$K$1227,"&lt;&gt;Recently lost")</f>
        <v>0</v>
      </c>
      <c r="F162" s="6" t="n">
        <f aca="false">COUNTIFS('All relationships'!$A$2:$A$1227,A162,'All relationships'!$H$2:$H$1227,"Premium",'All relationships'!$K$2:$K$1227,"&lt;&gt;Recently lost")</f>
        <v>1</v>
      </c>
      <c r="G162" s="2" t="s">
        <v>2933</v>
      </c>
      <c r="H162" s="2"/>
      <c r="I162" s="2"/>
      <c r="J162" s="2" t="s">
        <v>5198</v>
      </c>
    </row>
    <row r="163" customFormat="false" ht="15" hidden="false" customHeight="false" outlineLevel="0" collapsed="false">
      <c r="A163" s="7" t="s">
        <v>5199</v>
      </c>
      <c r="B163" s="6" t="s">
        <v>127</v>
      </c>
      <c r="C163" s="6" t="s">
        <v>4682</v>
      </c>
      <c r="D163" s="6" t="n">
        <f aca="false">COUNTIF('All relationships'!$A$2:$A$1227,A163)</f>
        <v>1</v>
      </c>
      <c r="E163" s="6" t="n">
        <f aca="false">COUNTIFS('All relationships'!$A$2:$A$1227,A163,'All relationships'!$H$2:$H$1227,"Luxury",'All relationships'!$K$2:$K$1227,"&lt;&gt;Recently lost")</f>
        <v>0</v>
      </c>
      <c r="F163" s="6" t="n">
        <f aca="false">COUNTIFS('All relationships'!$A$2:$A$1227,A163,'All relationships'!$H$2:$H$1227,"Premium",'All relationships'!$K$2:$K$1227,"&lt;&gt;Recently lost")</f>
        <v>1</v>
      </c>
      <c r="G163" s="2" t="s">
        <v>1291</v>
      </c>
      <c r="H163" s="2"/>
      <c r="I163" s="2"/>
      <c r="J163" s="2"/>
    </row>
    <row r="164" customFormat="false" ht="15" hidden="false" customHeight="false" outlineLevel="0" collapsed="false">
      <c r="A164" s="7" t="s">
        <v>4806</v>
      </c>
      <c r="B164" s="6" t="s">
        <v>127</v>
      </c>
      <c r="C164" s="6" t="s">
        <v>5006</v>
      </c>
      <c r="D164" s="6" t="n">
        <f aca="false">COUNTIF('All relationships'!$A$2:$A$1227,A164)</f>
        <v>1</v>
      </c>
      <c r="E164" s="6" t="n">
        <f aca="false">COUNTIFS('All relationships'!$A$2:$A$1227,A164,'All relationships'!$H$2:$H$1227,"Luxury",'All relationships'!$K$2:$K$1227,"&lt;&gt;Recently lost")</f>
        <v>1</v>
      </c>
      <c r="F164" s="6" t="n">
        <f aca="false">COUNTIFS('All relationships'!$A$2:$A$1227,A164,'All relationships'!$H$2:$H$1227,"Premium",'All relationships'!$K$2:$K$1227,"&lt;&gt;Recently lost")</f>
        <v>0</v>
      </c>
      <c r="G164" s="2" t="s">
        <v>5200</v>
      </c>
      <c r="H164" s="2"/>
      <c r="I164" s="2"/>
      <c r="J164" s="2"/>
    </row>
    <row r="165" customFormat="false" ht="15" hidden="false" customHeight="false" outlineLevel="0" collapsed="false">
      <c r="A165" s="7" t="s">
        <v>5201</v>
      </c>
      <c r="B165" s="6" t="s">
        <v>127</v>
      </c>
      <c r="C165" s="6" t="s">
        <v>5016</v>
      </c>
      <c r="D165" s="6" t="n">
        <f aca="false">COUNTIF('All relationships'!$A$2:$A$1227,A165)</f>
        <v>1</v>
      </c>
      <c r="E165" s="6" t="n">
        <f aca="false">COUNTIFS('All relationships'!$A$2:$A$1227,A165,'All relationships'!$H$2:$H$1227,"Luxury",'All relationships'!$K$2:$K$1227,"&lt;&gt;Recently lost")</f>
        <v>0</v>
      </c>
      <c r="F165" s="6" t="n">
        <f aca="false">COUNTIFS('All relationships'!$A$2:$A$1227,A165,'All relationships'!$H$2:$H$1227,"Premium",'All relationships'!$K$2:$K$1227,"&lt;&gt;Recently lost")</f>
        <v>1</v>
      </c>
      <c r="G165" s="2" t="s">
        <v>685</v>
      </c>
      <c r="H165" s="2"/>
      <c r="I165" s="2"/>
      <c r="J165" s="2"/>
    </row>
    <row r="166" customFormat="false" ht="15" hidden="false" customHeight="false" outlineLevel="0" collapsed="false">
      <c r="A166" s="7" t="s">
        <v>4793</v>
      </c>
      <c r="B166" s="6" t="s">
        <v>127</v>
      </c>
      <c r="C166" s="6" t="s">
        <v>5006</v>
      </c>
      <c r="D166" s="6" t="n">
        <f aca="false">COUNTIF('All relationships'!$A$2:$A$1227,A166)</f>
        <v>1</v>
      </c>
      <c r="E166" s="6" t="n">
        <f aca="false">COUNTIFS('All relationships'!$A$2:$A$1227,A166,'All relationships'!$H$2:$H$1227,"Luxury",'All relationships'!$K$2:$K$1227,"&lt;&gt;Recently lost")</f>
        <v>0</v>
      </c>
      <c r="F166" s="6" t="n">
        <f aca="false">COUNTIFS('All relationships'!$A$2:$A$1227,A166,'All relationships'!$H$2:$H$1227,"Premium",'All relationships'!$K$2:$K$1227,"&lt;&gt;Recently lost")</f>
        <v>1</v>
      </c>
      <c r="G166" s="2" t="s">
        <v>1643</v>
      </c>
      <c r="H166" s="2"/>
      <c r="I166" s="2"/>
      <c r="J166" s="2"/>
    </row>
    <row r="167" customFormat="false" ht="15" hidden="false" customHeight="false" outlineLevel="0" collapsed="false">
      <c r="A167" s="7" t="s">
        <v>5202</v>
      </c>
      <c r="B167" s="6" t="s">
        <v>127</v>
      </c>
      <c r="C167" s="6" t="s">
        <v>5016</v>
      </c>
      <c r="D167" s="6" t="n">
        <f aca="false">COUNTIF('All relationships'!$A$2:$A$1227,A167)</f>
        <v>1</v>
      </c>
      <c r="E167" s="6" t="n">
        <f aca="false">COUNTIFS('All relationships'!$A$2:$A$1227,A167,'All relationships'!$H$2:$H$1227,"Luxury",'All relationships'!$K$2:$K$1227,"&lt;&gt;Recently lost")</f>
        <v>0</v>
      </c>
      <c r="F167" s="6" t="n">
        <f aca="false">COUNTIFS('All relationships'!$A$2:$A$1227,A167,'All relationships'!$H$2:$H$1227,"Premium",'All relationships'!$K$2:$K$1227,"&lt;&gt;Recently lost")</f>
        <v>1</v>
      </c>
      <c r="G167" s="2" t="s">
        <v>1812</v>
      </c>
      <c r="H167" s="2"/>
      <c r="I167" s="2"/>
      <c r="J167" s="2"/>
    </row>
    <row r="168" customFormat="false" ht="15" hidden="false" customHeight="false" outlineLevel="0" collapsed="false">
      <c r="A168" s="7" t="s">
        <v>5203</v>
      </c>
      <c r="B168" s="6" t="s">
        <v>127</v>
      </c>
      <c r="C168" s="6" t="s">
        <v>4682</v>
      </c>
      <c r="D168" s="6" t="n">
        <f aca="false">COUNTIF('All relationships'!$A$2:$A$1227,A168)</f>
        <v>1</v>
      </c>
      <c r="E168" s="6" t="n">
        <f aca="false">COUNTIFS('All relationships'!$A$2:$A$1227,A168,'All relationships'!$H$2:$H$1227,"Luxury",'All relationships'!$K$2:$K$1227,"&lt;&gt;Recently lost")</f>
        <v>0</v>
      </c>
      <c r="F168" s="6" t="n">
        <f aca="false">COUNTIFS('All relationships'!$A$2:$A$1227,A168,'All relationships'!$H$2:$H$1227,"Premium",'All relationships'!$K$2:$K$1227,"&lt;&gt;Recently lost")</f>
        <v>1</v>
      </c>
      <c r="G168" s="2" t="s">
        <v>3412</v>
      </c>
      <c r="H168" s="2"/>
      <c r="I168" s="2"/>
      <c r="J168" s="2"/>
    </row>
    <row r="169" customFormat="false" ht="15" hidden="false" customHeight="false" outlineLevel="0" collapsed="false">
      <c r="A169" s="7" t="s">
        <v>5204</v>
      </c>
      <c r="B169" s="6" t="s">
        <v>127</v>
      </c>
      <c r="C169" s="6" t="s">
        <v>5006</v>
      </c>
      <c r="D169" s="6" t="n">
        <f aca="false">COUNTIF('All relationships'!$A$2:$A$1227,A169)</f>
        <v>1</v>
      </c>
      <c r="E169" s="6" t="n">
        <f aca="false">COUNTIFS('All relationships'!$A$2:$A$1227,A169,'All relationships'!$H$2:$H$1227,"Luxury",'All relationships'!$K$2:$K$1227,"&lt;&gt;Recently lost")</f>
        <v>0</v>
      </c>
      <c r="F169" s="6" t="n">
        <f aca="false">COUNTIFS('All relationships'!$A$2:$A$1227,A169,'All relationships'!$H$2:$H$1227,"Premium",'All relationships'!$K$2:$K$1227,"&lt;&gt;Recently lost")</f>
        <v>1</v>
      </c>
      <c r="G169" s="2" t="s">
        <v>1326</v>
      </c>
      <c r="H169" s="2"/>
      <c r="I169" s="2"/>
      <c r="J169" s="2"/>
    </row>
    <row r="170" customFormat="false" ht="15" hidden="false" customHeight="false" outlineLevel="0" collapsed="false">
      <c r="A170" s="7" t="s">
        <v>5205</v>
      </c>
      <c r="B170" s="6" t="s">
        <v>127</v>
      </c>
      <c r="C170" s="6" t="s">
        <v>4682</v>
      </c>
      <c r="D170" s="6" t="n">
        <f aca="false">COUNTIF('All relationships'!$A$2:$A$1227,A170)</f>
        <v>1</v>
      </c>
      <c r="E170" s="6" t="n">
        <f aca="false">COUNTIFS('All relationships'!$A$2:$A$1227,A170,'All relationships'!$H$2:$H$1227,"Luxury",'All relationships'!$K$2:$K$1227,"&lt;&gt;Recently lost")</f>
        <v>0</v>
      </c>
      <c r="F170" s="6" t="n">
        <f aca="false">COUNTIFS('All relationships'!$A$2:$A$1227,A170,'All relationships'!$H$2:$H$1227,"Premium",'All relationships'!$K$2:$K$1227,"&lt;&gt;Recently lost")</f>
        <v>0</v>
      </c>
      <c r="G170" s="2"/>
      <c r="H170" s="2" t="s">
        <v>3755</v>
      </c>
      <c r="I170" s="2"/>
      <c r="J170" s="2"/>
    </row>
    <row r="171" customFormat="false" ht="15" hidden="false" customHeight="false" outlineLevel="0" collapsed="false">
      <c r="A171" s="7" t="s">
        <v>5206</v>
      </c>
      <c r="B171" s="6" t="s">
        <v>127</v>
      </c>
      <c r="C171" s="6" t="s">
        <v>5016</v>
      </c>
      <c r="D171" s="6" t="n">
        <f aca="false">COUNTIF('All relationships'!$A$2:$A$1227,A171)</f>
        <v>1</v>
      </c>
      <c r="E171" s="6" t="n">
        <f aca="false">COUNTIFS('All relationships'!$A$2:$A$1227,A171,'All relationships'!$H$2:$H$1227,"Luxury",'All relationships'!$K$2:$K$1227,"&lt;&gt;Recently lost")</f>
        <v>0</v>
      </c>
      <c r="F171" s="6" t="n">
        <f aca="false">COUNTIFS('All relationships'!$A$2:$A$1227,A171,'All relationships'!$H$2:$H$1227,"Premium",'All relationships'!$K$2:$K$1227,"&lt;&gt;Recently lost")</f>
        <v>1</v>
      </c>
      <c r="G171" s="2" t="s">
        <v>2086</v>
      </c>
      <c r="H171" s="2"/>
      <c r="I171" s="2"/>
      <c r="J171" s="2"/>
    </row>
    <row r="172" customFormat="false" ht="15" hidden="false" customHeight="false" outlineLevel="0" collapsed="false">
      <c r="A172" s="7" t="s">
        <v>5207</v>
      </c>
      <c r="B172" s="6" t="s">
        <v>127</v>
      </c>
      <c r="C172" s="6" t="s">
        <v>5006</v>
      </c>
      <c r="D172" s="6" t="n">
        <f aca="false">COUNTIF('All relationships'!$A$2:$A$1227,A172)</f>
        <v>1</v>
      </c>
      <c r="E172" s="6" t="n">
        <f aca="false">COUNTIFS('All relationships'!$A$2:$A$1227,A172,'All relationships'!$H$2:$H$1227,"Luxury",'All relationships'!$K$2:$K$1227,"&lt;&gt;Recently lost")</f>
        <v>0</v>
      </c>
      <c r="F172" s="6" t="n">
        <f aca="false">COUNTIFS('All relationships'!$A$2:$A$1227,A172,'All relationships'!$H$2:$H$1227,"Premium",'All relationships'!$K$2:$K$1227,"&lt;&gt;Recently lost")</f>
        <v>1</v>
      </c>
      <c r="G172" s="2" t="s">
        <v>2811</v>
      </c>
      <c r="H172" s="2"/>
      <c r="I172" s="2"/>
      <c r="J172" s="2"/>
    </row>
    <row r="173" customFormat="false" ht="15" hidden="false" customHeight="false" outlineLevel="0" collapsed="false">
      <c r="A173" s="7" t="s">
        <v>5208</v>
      </c>
      <c r="B173" s="6" t="s">
        <v>127</v>
      </c>
      <c r="C173" s="6" t="s">
        <v>5016</v>
      </c>
      <c r="D173" s="6" t="n">
        <f aca="false">COUNTIF('All relationships'!$A$2:$A$1227,A173)</f>
        <v>1</v>
      </c>
      <c r="E173" s="6" t="n">
        <f aca="false">COUNTIFS('All relationships'!$A$2:$A$1227,A173,'All relationships'!$H$2:$H$1227,"Luxury",'All relationships'!$K$2:$K$1227,"&lt;&gt;Recently lost")</f>
        <v>1</v>
      </c>
      <c r="F173" s="6" t="n">
        <f aca="false">COUNTIFS('All relationships'!$A$2:$A$1227,A173,'All relationships'!$H$2:$H$1227,"Premium",'All relationships'!$K$2:$K$1227,"&lt;&gt;Recently lost")</f>
        <v>0</v>
      </c>
      <c r="G173" s="2" t="s">
        <v>5209</v>
      </c>
      <c r="H173" s="2"/>
      <c r="I173" s="2"/>
      <c r="J173" s="2"/>
    </row>
    <row r="174" customFormat="false" ht="15" hidden="false" customHeight="false" outlineLevel="0" collapsed="false">
      <c r="A174" s="7" t="s">
        <v>5210</v>
      </c>
      <c r="B174" s="6" t="s">
        <v>127</v>
      </c>
      <c r="C174" s="6" t="s">
        <v>5006</v>
      </c>
      <c r="D174" s="6" t="n">
        <f aca="false">COUNTIF('All relationships'!$A$2:$A$1227,A174)</f>
        <v>1</v>
      </c>
      <c r="E174" s="6" t="n">
        <f aca="false">COUNTIFS('All relationships'!$A$2:$A$1227,A174,'All relationships'!$H$2:$H$1227,"Luxury",'All relationships'!$K$2:$K$1227,"&lt;&gt;Recently lost")</f>
        <v>0</v>
      </c>
      <c r="F174" s="6" t="n">
        <f aca="false">COUNTIFS('All relationships'!$A$2:$A$1227,A174,'All relationships'!$H$2:$H$1227,"Premium",'All relationships'!$K$2:$K$1227,"&lt;&gt;Recently lost")</f>
        <v>1</v>
      </c>
      <c r="G174" s="2" t="s">
        <v>1699</v>
      </c>
      <c r="H174" s="2"/>
      <c r="I174" s="2"/>
      <c r="J174" s="2"/>
    </row>
    <row r="175" customFormat="false" ht="15" hidden="false" customHeight="false" outlineLevel="0" collapsed="false">
      <c r="A175" s="7" t="s">
        <v>5211</v>
      </c>
      <c r="B175" s="6" t="s">
        <v>127</v>
      </c>
      <c r="C175" s="6" t="s">
        <v>4682</v>
      </c>
      <c r="D175" s="6" t="n">
        <f aca="false">COUNTIF('All relationships'!$A$2:$A$1227,A175)</f>
        <v>1</v>
      </c>
      <c r="E175" s="6" t="n">
        <f aca="false">COUNTIFS('All relationships'!$A$2:$A$1227,A175,'All relationships'!$H$2:$H$1227,"Luxury",'All relationships'!$K$2:$K$1227,"&lt;&gt;Recently lost")</f>
        <v>1</v>
      </c>
      <c r="F175" s="6" t="n">
        <f aca="false">COUNTIFS('All relationships'!$A$2:$A$1227,A175,'All relationships'!$H$2:$H$1227,"Premium",'All relationships'!$K$2:$K$1227,"&lt;&gt;Recently lost")</f>
        <v>0</v>
      </c>
      <c r="G175" s="2" t="s">
        <v>5212</v>
      </c>
      <c r="H175" s="2"/>
      <c r="I175" s="2"/>
      <c r="J175" s="2"/>
    </row>
    <row r="176" customFormat="false" ht="15" hidden="false" customHeight="false" outlineLevel="0" collapsed="false">
      <c r="A176" s="7" t="s">
        <v>4777</v>
      </c>
      <c r="B176" s="6" t="s">
        <v>127</v>
      </c>
      <c r="C176" s="6" t="s">
        <v>4682</v>
      </c>
      <c r="D176" s="6" t="n">
        <f aca="false">COUNTIF('All relationships'!$A$2:$A$1227,A176)</f>
        <v>1</v>
      </c>
      <c r="E176" s="6" t="n">
        <f aca="false">COUNTIFS('All relationships'!$A$2:$A$1227,A176,'All relationships'!$H$2:$H$1227,"Luxury",'All relationships'!$K$2:$K$1227,"&lt;&gt;Recently lost")</f>
        <v>0</v>
      </c>
      <c r="F176" s="6" t="n">
        <f aca="false">COUNTIFS('All relationships'!$A$2:$A$1227,A176,'All relationships'!$H$2:$H$1227,"Premium",'All relationships'!$K$2:$K$1227,"&lt;&gt;Recently lost")</f>
        <v>1</v>
      </c>
      <c r="G176" s="2" t="s">
        <v>2512</v>
      </c>
      <c r="H176" s="2"/>
      <c r="I176" s="2"/>
      <c r="J176" s="2"/>
    </row>
    <row r="177" customFormat="false" ht="15" hidden="false" customHeight="false" outlineLevel="0" collapsed="false">
      <c r="A177" s="7" t="s">
        <v>5213</v>
      </c>
      <c r="B177" s="6" t="s">
        <v>127</v>
      </c>
      <c r="C177" s="6" t="s">
        <v>5016</v>
      </c>
      <c r="D177" s="6" t="n">
        <f aca="false">COUNTIF('All relationships'!$A$2:$A$1227,A177)</f>
        <v>1</v>
      </c>
      <c r="E177" s="6" t="n">
        <f aca="false">COUNTIFS('All relationships'!$A$2:$A$1227,A177,'All relationships'!$H$2:$H$1227,"Luxury",'All relationships'!$K$2:$K$1227,"&lt;&gt;Recently lost")</f>
        <v>0</v>
      </c>
      <c r="F177" s="6" t="n">
        <f aca="false">COUNTIFS('All relationships'!$A$2:$A$1227,A177,'All relationships'!$H$2:$H$1227,"Premium",'All relationships'!$K$2:$K$1227,"&lt;&gt;Recently lost")</f>
        <v>1</v>
      </c>
      <c r="G177" s="2" t="s">
        <v>1272</v>
      </c>
      <c r="H177" s="2"/>
      <c r="I177" s="2"/>
      <c r="J177" s="2"/>
    </row>
    <row r="178" customFormat="false" ht="15" hidden="false" customHeight="false" outlineLevel="0" collapsed="false">
      <c r="A178" s="7" t="s">
        <v>5214</v>
      </c>
      <c r="B178" s="6" t="s">
        <v>127</v>
      </c>
      <c r="C178" s="6" t="s">
        <v>5016</v>
      </c>
      <c r="D178" s="6" t="n">
        <f aca="false">COUNTIF('All relationships'!$A$2:$A$1227,A178)</f>
        <v>1</v>
      </c>
      <c r="E178" s="6" t="n">
        <f aca="false">COUNTIFS('All relationships'!$A$2:$A$1227,A178,'All relationships'!$H$2:$H$1227,"Luxury",'All relationships'!$K$2:$K$1227,"&lt;&gt;Recently lost")</f>
        <v>0</v>
      </c>
      <c r="F178" s="6" t="n">
        <f aca="false">COUNTIFS('All relationships'!$A$2:$A$1227,A178,'All relationships'!$H$2:$H$1227,"Premium",'All relationships'!$K$2:$K$1227,"&lt;&gt;Recently lost")</f>
        <v>1</v>
      </c>
      <c r="G178" s="2" t="s">
        <v>2057</v>
      </c>
      <c r="H178" s="2"/>
      <c r="I178" s="2"/>
      <c r="J178" s="2"/>
    </row>
    <row r="179" customFormat="false" ht="15" hidden="false" customHeight="false" outlineLevel="0" collapsed="false">
      <c r="A179" s="7" t="s">
        <v>4738</v>
      </c>
      <c r="B179" s="6" t="s">
        <v>127</v>
      </c>
      <c r="C179" s="6" t="s">
        <v>5016</v>
      </c>
      <c r="D179" s="6" t="n">
        <f aca="false">COUNTIF('All relationships'!$A$2:$A$1227,A179)</f>
        <v>1</v>
      </c>
      <c r="E179" s="6" t="n">
        <f aca="false">COUNTIFS('All relationships'!$A$2:$A$1227,A179,'All relationships'!$H$2:$H$1227,"Luxury",'All relationships'!$K$2:$K$1227,"&lt;&gt;Recently lost")</f>
        <v>0</v>
      </c>
      <c r="F179" s="6" t="n">
        <f aca="false">COUNTIFS('All relationships'!$A$2:$A$1227,A179,'All relationships'!$H$2:$H$1227,"Premium",'All relationships'!$K$2:$K$1227,"&lt;&gt;Recently lost")</f>
        <v>1</v>
      </c>
      <c r="G179" s="2" t="s">
        <v>2002</v>
      </c>
      <c r="H179" s="2"/>
      <c r="I179" s="2"/>
      <c r="J179" s="2"/>
    </row>
    <row r="180" customFormat="false" ht="15" hidden="false" customHeight="false" outlineLevel="0" collapsed="false">
      <c r="A180" s="7" t="s">
        <v>5215</v>
      </c>
      <c r="B180" s="6" t="s">
        <v>127</v>
      </c>
      <c r="C180" s="6" t="s">
        <v>4682</v>
      </c>
      <c r="D180" s="6" t="n">
        <f aca="false">COUNTIF('All relationships'!$A$2:$A$1227,A180)</f>
        <v>1</v>
      </c>
      <c r="E180" s="6" t="n">
        <f aca="false">COUNTIFS('All relationships'!$A$2:$A$1227,A180,'All relationships'!$H$2:$H$1227,"Luxury",'All relationships'!$K$2:$K$1227,"&lt;&gt;Recently lost")</f>
        <v>0</v>
      </c>
      <c r="F180" s="6" t="n">
        <f aca="false">COUNTIFS('All relationships'!$A$2:$A$1227,A180,'All relationships'!$H$2:$H$1227,"Premium",'All relationships'!$K$2:$K$1227,"&lt;&gt;Recently lost")</f>
        <v>1</v>
      </c>
      <c r="G180" s="2" t="s">
        <v>685</v>
      </c>
      <c r="H180" s="2"/>
      <c r="I180" s="2"/>
      <c r="J180" s="2"/>
    </row>
    <row r="181" customFormat="false" ht="15" hidden="false" customHeight="false" outlineLevel="0" collapsed="false">
      <c r="A181" s="7" t="s">
        <v>5216</v>
      </c>
      <c r="B181" s="6" t="s">
        <v>127</v>
      </c>
      <c r="C181" s="6" t="s">
        <v>5006</v>
      </c>
      <c r="D181" s="6" t="n">
        <f aca="false">COUNTIF('All relationships'!$A$2:$A$1227,A181)</f>
        <v>1</v>
      </c>
      <c r="E181" s="6" t="n">
        <f aca="false">COUNTIFS('All relationships'!$A$2:$A$1227,A181,'All relationships'!$H$2:$H$1227,"Luxury",'All relationships'!$K$2:$K$1227,"&lt;&gt;Recently lost")</f>
        <v>0</v>
      </c>
      <c r="F181" s="6" t="n">
        <f aca="false">COUNTIFS('All relationships'!$A$2:$A$1227,A181,'All relationships'!$H$2:$H$1227,"Premium",'All relationships'!$K$2:$K$1227,"&lt;&gt;Recently lost")</f>
        <v>0</v>
      </c>
      <c r="G181" s="2"/>
      <c r="H181" s="2" t="s">
        <v>3694</v>
      </c>
      <c r="I181" s="2"/>
      <c r="J181" s="2"/>
    </row>
    <row r="182" customFormat="false" ht="15" hidden="false" customHeight="false" outlineLevel="0" collapsed="false">
      <c r="A182" s="7" t="s">
        <v>5217</v>
      </c>
      <c r="B182" s="6" t="s">
        <v>127</v>
      </c>
      <c r="C182" s="6" t="s">
        <v>5016</v>
      </c>
      <c r="D182" s="6" t="n">
        <f aca="false">COUNTIF('All relationships'!$A$2:$A$1227,A182)</f>
        <v>1</v>
      </c>
      <c r="E182" s="6" t="n">
        <f aca="false">COUNTIFS('All relationships'!$A$2:$A$1227,A182,'All relationships'!$H$2:$H$1227,"Luxury",'All relationships'!$K$2:$K$1227,"&lt;&gt;Recently lost")</f>
        <v>0</v>
      </c>
      <c r="F182" s="6" t="n">
        <f aca="false">COUNTIFS('All relationships'!$A$2:$A$1227,A182,'All relationships'!$H$2:$H$1227,"Premium",'All relationships'!$K$2:$K$1227,"&lt;&gt;Recently lost")</f>
        <v>1</v>
      </c>
      <c r="G182" s="2" t="s">
        <v>1995</v>
      </c>
      <c r="H182" s="2"/>
      <c r="I182" s="2"/>
      <c r="J182" s="2"/>
    </row>
    <row r="183" customFormat="false" ht="15" hidden="false" customHeight="false" outlineLevel="0" collapsed="false">
      <c r="A183" s="7" t="s">
        <v>5218</v>
      </c>
      <c r="B183" s="6" t="s">
        <v>127</v>
      </c>
      <c r="C183" s="6" t="s">
        <v>5006</v>
      </c>
      <c r="D183" s="6" t="n">
        <f aca="false">COUNTIF('All relationships'!$A$2:$A$1227,A183)</f>
        <v>1</v>
      </c>
      <c r="E183" s="6" t="n">
        <f aca="false">COUNTIFS('All relationships'!$A$2:$A$1227,A183,'All relationships'!$H$2:$H$1227,"Luxury",'All relationships'!$K$2:$K$1227,"&lt;&gt;Recently lost")</f>
        <v>0</v>
      </c>
      <c r="F183" s="6" t="n">
        <f aca="false">COUNTIFS('All relationships'!$A$2:$A$1227,A183,'All relationships'!$H$2:$H$1227,"Premium",'All relationships'!$K$2:$K$1227,"&lt;&gt;Recently lost")</f>
        <v>1</v>
      </c>
      <c r="G183" s="2" t="s">
        <v>2858</v>
      </c>
      <c r="H183" s="2"/>
      <c r="I183" s="2"/>
      <c r="J183" s="2"/>
    </row>
    <row r="184" customFormat="false" ht="15" hidden="false" customHeight="false" outlineLevel="0" collapsed="false">
      <c r="A184" s="7" t="s">
        <v>5219</v>
      </c>
      <c r="B184" s="6" t="s">
        <v>127</v>
      </c>
      <c r="C184" s="6" t="s">
        <v>5016</v>
      </c>
      <c r="D184" s="6" t="n">
        <f aca="false">COUNTIF('All relationships'!$A$2:$A$1227,A184)</f>
        <v>1</v>
      </c>
      <c r="E184" s="6" t="n">
        <f aca="false">COUNTIFS('All relationships'!$A$2:$A$1227,A184,'All relationships'!$H$2:$H$1227,"Luxury",'All relationships'!$K$2:$K$1227,"&lt;&gt;Recently lost")</f>
        <v>1</v>
      </c>
      <c r="F184" s="6" t="n">
        <f aca="false">COUNTIFS('All relationships'!$A$2:$A$1227,A184,'All relationships'!$H$2:$H$1227,"Premium",'All relationships'!$K$2:$K$1227,"&lt;&gt;Recently lost")</f>
        <v>0</v>
      </c>
      <c r="G184" s="2" t="s">
        <v>5154</v>
      </c>
      <c r="H184" s="2"/>
      <c r="I184" s="2"/>
      <c r="J184" s="2"/>
    </row>
    <row r="185" customFormat="false" ht="15" hidden="false" customHeight="false" outlineLevel="0" collapsed="false">
      <c r="A185" s="7" t="s">
        <v>4674</v>
      </c>
      <c r="B185" s="6" t="s">
        <v>1215</v>
      </c>
      <c r="C185" s="6" t="s">
        <v>4848</v>
      </c>
      <c r="D185" s="6" t="n">
        <f aca="false">COUNTIF('All relationships'!$A$2:$A$1227,A185)</f>
        <v>4</v>
      </c>
      <c r="E185" s="6" t="n">
        <f aca="false">COUNTIFS('All relationships'!$A$2:$A$1227,A185,'All relationships'!$H$2:$H$1227,"Luxury",'All relationships'!$K$2:$K$1227,"&lt;&gt;Recently lost")</f>
        <v>2</v>
      </c>
      <c r="F185" s="6" t="n">
        <f aca="false">COUNTIFS('All relationships'!$A$2:$A$1227,A185,'All relationships'!$H$2:$H$1227,"Premium",'All relationships'!$K$2:$K$1227,"&lt;&gt;Recently lost")</f>
        <v>2</v>
      </c>
      <c r="G185" s="2" t="s">
        <v>5220</v>
      </c>
      <c r="H185" s="2"/>
      <c r="I185" s="2"/>
      <c r="J185" s="2"/>
    </row>
    <row r="186" customFormat="false" ht="15" hidden="false" customHeight="false" outlineLevel="0" collapsed="false">
      <c r="A186" s="7" t="s">
        <v>4829</v>
      </c>
      <c r="B186" s="6" t="s">
        <v>1215</v>
      </c>
      <c r="C186" s="6" t="s">
        <v>4848</v>
      </c>
      <c r="D186" s="6" t="n">
        <f aca="false">COUNTIF('All relationships'!$A$2:$A$1227,A186)</f>
        <v>2</v>
      </c>
      <c r="E186" s="6" t="n">
        <f aca="false">COUNTIFS('All relationships'!$A$2:$A$1227,A186,'All relationships'!$H$2:$H$1227,"Luxury",'All relationships'!$K$2:$K$1227,"&lt;&gt;Recently lost")</f>
        <v>0</v>
      </c>
      <c r="F186" s="6" t="n">
        <f aca="false">COUNTIFS('All relationships'!$A$2:$A$1227,A186,'All relationships'!$H$2:$H$1227,"Premium",'All relationships'!$K$2:$K$1227,"&lt;&gt;Recently lost")</f>
        <v>0</v>
      </c>
      <c r="G186" s="2"/>
      <c r="H186" s="2"/>
      <c r="I186" s="2" t="s">
        <v>1522</v>
      </c>
      <c r="J186" s="2" t="s">
        <v>5221</v>
      </c>
    </row>
    <row r="187" customFormat="false" ht="15" hidden="false" customHeight="false" outlineLevel="0" collapsed="false">
      <c r="A187" s="7" t="s">
        <v>5222</v>
      </c>
      <c r="B187" s="6" t="s">
        <v>1215</v>
      </c>
      <c r="C187" s="6" t="s">
        <v>5006</v>
      </c>
      <c r="D187" s="6" t="n">
        <f aca="false">COUNTIF('All relationships'!$A$2:$A$1227,A187)</f>
        <v>1</v>
      </c>
      <c r="E187" s="6" t="n">
        <f aca="false">COUNTIFS('All relationships'!$A$2:$A$1227,A187,'All relationships'!$H$2:$H$1227,"Luxury",'All relationships'!$K$2:$K$1227,"&lt;&gt;Recently lost")</f>
        <v>0</v>
      </c>
      <c r="F187" s="6" t="n">
        <f aca="false">COUNTIFS('All relationships'!$A$2:$A$1227,A187,'All relationships'!$H$2:$H$1227,"Premium",'All relationships'!$K$2:$K$1227,"&lt;&gt;Recently lost")</f>
        <v>1</v>
      </c>
      <c r="G187" s="2" t="s">
        <v>2386</v>
      </c>
      <c r="H187" s="2"/>
      <c r="I187" s="2"/>
      <c r="J187" s="2"/>
    </row>
    <row r="188" customFormat="false" ht="15" hidden="false" customHeight="false" outlineLevel="0" collapsed="false">
      <c r="A188" s="7" t="s">
        <v>5223</v>
      </c>
      <c r="B188" s="6" t="s">
        <v>1215</v>
      </c>
      <c r="C188" s="6" t="s">
        <v>5006</v>
      </c>
      <c r="D188" s="6" t="n">
        <f aca="false">COUNTIF('All relationships'!$A$2:$A$1227,A188)</f>
        <v>1</v>
      </c>
      <c r="E188" s="6" t="n">
        <f aca="false">COUNTIFS('All relationships'!$A$2:$A$1227,A188,'All relationships'!$H$2:$H$1227,"Luxury",'All relationships'!$K$2:$K$1227,"&lt;&gt;Recently lost")</f>
        <v>0</v>
      </c>
      <c r="F188" s="6" t="n">
        <f aca="false">COUNTIFS('All relationships'!$A$2:$A$1227,A188,'All relationships'!$H$2:$H$1227,"Premium",'All relationships'!$K$2:$K$1227,"&lt;&gt;Recently lost")</f>
        <v>1</v>
      </c>
      <c r="G188" s="2" t="s">
        <v>2187</v>
      </c>
      <c r="H188" s="2"/>
      <c r="I188" s="2"/>
      <c r="J188" s="2"/>
    </row>
  </sheetData>
  <autoFilter ref="A1:J1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60"/>
    <col collapsed="false" customWidth="true" hidden="false" outlineLevel="0" max="4" min="4" style="0" width="16"/>
    <col collapsed="false" customWidth="true" hidden="false" outlineLevel="0" max="5" min="5" style="0" width="48"/>
    <col collapsed="false" customWidth="true" hidden="false" outlineLevel="0" max="6" min="6" style="0" width="70"/>
    <col collapsed="false" customWidth="true" hidden="false" outlineLevel="0" max="7" min="7" style="0" width="60"/>
  </cols>
  <sheetData>
    <row r="1" customFormat="false" ht="30" hidden="false" customHeight="true" outlineLevel="0" collapsed="false">
      <c r="A1" s="5" t="s">
        <v>4840</v>
      </c>
      <c r="B1" s="5" t="s">
        <v>5224</v>
      </c>
      <c r="C1" s="5" t="s">
        <v>5225</v>
      </c>
      <c r="D1" s="5" t="s">
        <v>5226</v>
      </c>
      <c r="E1" s="5" t="s">
        <v>5227</v>
      </c>
      <c r="F1" s="5" t="s">
        <v>5228</v>
      </c>
      <c r="G1" s="5" t="s">
        <v>4672</v>
      </c>
    </row>
    <row r="2" customFormat="false" ht="35.05" hidden="false" customHeight="false" outlineLevel="0" collapsed="false">
      <c r="A2" s="2" t="s">
        <v>102</v>
      </c>
      <c r="B2" s="11" t="s">
        <v>5229</v>
      </c>
      <c r="C2" s="2" t="s">
        <v>5230</v>
      </c>
      <c r="D2" s="2" t="s">
        <v>5231</v>
      </c>
      <c r="E2" s="2" t="s">
        <v>5232</v>
      </c>
      <c r="F2" s="2" t="s">
        <v>5233</v>
      </c>
      <c r="G2" s="12" t="s">
        <v>5234</v>
      </c>
    </row>
    <row r="3" customFormat="false" ht="35.05" hidden="false" customHeight="false" outlineLevel="0" collapsed="false">
      <c r="A3" s="2" t="s">
        <v>102</v>
      </c>
      <c r="B3" s="11" t="s">
        <v>5235</v>
      </c>
      <c r="C3" s="2" t="s">
        <v>5236</v>
      </c>
      <c r="D3" s="2" t="s">
        <v>5237</v>
      </c>
      <c r="E3" s="2" t="s">
        <v>5238</v>
      </c>
      <c r="F3" s="2" t="s">
        <v>5239</v>
      </c>
      <c r="G3" s="12" t="s">
        <v>5240</v>
      </c>
    </row>
    <row r="4" customFormat="false" ht="35.05" hidden="false" customHeight="false" outlineLevel="0" collapsed="false">
      <c r="A4" s="2" t="s">
        <v>102</v>
      </c>
      <c r="B4" s="11" t="s">
        <v>5241</v>
      </c>
      <c r="C4" s="2" t="s">
        <v>5242</v>
      </c>
      <c r="D4" s="2" t="s">
        <v>5243</v>
      </c>
      <c r="E4" s="2" t="s">
        <v>5244</v>
      </c>
      <c r="F4" s="2" t="s">
        <v>5245</v>
      </c>
      <c r="G4" s="12" t="s">
        <v>5246</v>
      </c>
    </row>
    <row r="5" customFormat="false" ht="35.05" hidden="false" customHeight="false" outlineLevel="0" collapsed="false">
      <c r="A5" s="2" t="s">
        <v>102</v>
      </c>
      <c r="B5" s="11" t="s">
        <v>5247</v>
      </c>
      <c r="C5" s="2" t="s">
        <v>5248</v>
      </c>
      <c r="D5" s="2" t="s">
        <v>5249</v>
      </c>
      <c r="E5" s="2" t="s">
        <v>5250</v>
      </c>
      <c r="F5" s="2" t="s">
        <v>5251</v>
      </c>
      <c r="G5" s="12" t="s">
        <v>5252</v>
      </c>
    </row>
    <row r="6" customFormat="false" ht="23.85" hidden="false" customHeight="false" outlineLevel="0" collapsed="false">
      <c r="A6" s="2" t="s">
        <v>167</v>
      </c>
      <c r="B6" s="11" t="s">
        <v>5253</v>
      </c>
      <c r="C6" s="2" t="s">
        <v>5254</v>
      </c>
      <c r="D6" s="2" t="s">
        <v>5255</v>
      </c>
      <c r="E6" s="2" t="s">
        <v>5256</v>
      </c>
      <c r="F6" s="2" t="s">
        <v>5257</v>
      </c>
      <c r="G6" s="12" t="s">
        <v>5258</v>
      </c>
    </row>
    <row r="7" customFormat="false" ht="35.05" hidden="false" customHeight="false" outlineLevel="0" collapsed="false">
      <c r="A7" s="2" t="s">
        <v>167</v>
      </c>
      <c r="B7" s="11" t="s">
        <v>5259</v>
      </c>
      <c r="C7" s="2" t="s">
        <v>5260</v>
      </c>
      <c r="D7" s="2" t="s">
        <v>5261</v>
      </c>
      <c r="E7" s="2" t="s">
        <v>5262</v>
      </c>
      <c r="F7" s="2" t="s">
        <v>5263</v>
      </c>
      <c r="G7" s="12" t="s">
        <v>5264</v>
      </c>
    </row>
    <row r="8" customFormat="false" ht="35.05" hidden="false" customHeight="false" outlineLevel="0" collapsed="false">
      <c r="A8" s="2" t="s">
        <v>167</v>
      </c>
      <c r="B8" s="11" t="s">
        <v>5265</v>
      </c>
      <c r="C8" s="2" t="s">
        <v>5266</v>
      </c>
      <c r="D8" s="2" t="s">
        <v>5267</v>
      </c>
      <c r="E8" s="2" t="s">
        <v>5268</v>
      </c>
      <c r="F8" s="2" t="s">
        <v>5269</v>
      </c>
      <c r="G8" s="12" t="s">
        <v>5270</v>
      </c>
    </row>
    <row r="9" customFormat="false" ht="23.85" hidden="false" customHeight="false" outlineLevel="0" collapsed="false">
      <c r="A9" s="2" t="s">
        <v>167</v>
      </c>
      <c r="B9" s="11" t="s">
        <v>4866</v>
      </c>
      <c r="C9" s="2" t="s">
        <v>5271</v>
      </c>
      <c r="D9" s="2" t="s">
        <v>5255</v>
      </c>
      <c r="E9" s="2" t="s">
        <v>5272</v>
      </c>
      <c r="F9" s="2" t="s">
        <v>5273</v>
      </c>
      <c r="G9" s="12" t="s">
        <v>5274</v>
      </c>
    </row>
    <row r="10" customFormat="false" ht="35.05" hidden="false" customHeight="false" outlineLevel="0" collapsed="false">
      <c r="A10" s="2" t="s">
        <v>167</v>
      </c>
      <c r="B10" s="11" t="s">
        <v>4798</v>
      </c>
      <c r="C10" s="2" t="s">
        <v>5275</v>
      </c>
      <c r="D10" s="2" t="s">
        <v>5276</v>
      </c>
      <c r="E10" s="2" t="s">
        <v>5277</v>
      </c>
      <c r="F10" s="2" t="s">
        <v>5278</v>
      </c>
      <c r="G10" s="12" t="s">
        <v>5279</v>
      </c>
    </row>
    <row r="11" customFormat="false" ht="23.85" hidden="false" customHeight="false" outlineLevel="0" collapsed="false">
      <c r="A11" s="2" t="s">
        <v>652</v>
      </c>
      <c r="B11" s="11" t="s">
        <v>5280</v>
      </c>
      <c r="C11" s="2" t="s">
        <v>5281</v>
      </c>
      <c r="D11" s="2" t="s">
        <v>5282</v>
      </c>
      <c r="E11" s="2" t="s">
        <v>5283</v>
      </c>
      <c r="F11" s="2" t="s">
        <v>5284</v>
      </c>
      <c r="G11" s="12" t="s">
        <v>5285</v>
      </c>
    </row>
    <row r="12" customFormat="false" ht="23.85" hidden="false" customHeight="false" outlineLevel="0" collapsed="false">
      <c r="A12" s="2" t="s">
        <v>652</v>
      </c>
      <c r="B12" s="11" t="s">
        <v>5286</v>
      </c>
      <c r="C12" s="2" t="s">
        <v>5287</v>
      </c>
      <c r="D12" s="2" t="s">
        <v>5282</v>
      </c>
      <c r="E12" s="2" t="s">
        <v>5288</v>
      </c>
      <c r="F12" s="2" t="s">
        <v>5289</v>
      </c>
      <c r="G12" s="12" t="s">
        <v>5290</v>
      </c>
    </row>
    <row r="13" customFormat="false" ht="35.05" hidden="false" customHeight="false" outlineLevel="0" collapsed="false">
      <c r="A13" s="2" t="s">
        <v>1539</v>
      </c>
      <c r="B13" s="11" t="s">
        <v>5291</v>
      </c>
      <c r="C13" s="2" t="s">
        <v>5292</v>
      </c>
      <c r="D13" s="2" t="s">
        <v>5293</v>
      </c>
      <c r="E13" s="2" t="s">
        <v>5294</v>
      </c>
      <c r="F13" s="2" t="s">
        <v>5295</v>
      </c>
      <c r="G13" s="12" t="s">
        <v>5296</v>
      </c>
    </row>
    <row r="14" customFormat="false" ht="35.05" hidden="false" customHeight="false" outlineLevel="0" collapsed="false">
      <c r="A14" s="2" t="s">
        <v>1539</v>
      </c>
      <c r="B14" s="11" t="s">
        <v>4975</v>
      </c>
      <c r="C14" s="2" t="s">
        <v>5297</v>
      </c>
      <c r="D14" s="2" t="s">
        <v>5298</v>
      </c>
      <c r="E14" s="2" t="s">
        <v>5299</v>
      </c>
      <c r="F14" s="2" t="s">
        <v>5300</v>
      </c>
      <c r="G14" s="12" t="s">
        <v>5301</v>
      </c>
    </row>
    <row r="15" customFormat="false" ht="23.85" hidden="false" customHeight="false" outlineLevel="0" collapsed="false">
      <c r="A15" s="2" t="s">
        <v>1175</v>
      </c>
      <c r="B15" s="11" t="s">
        <v>5302</v>
      </c>
      <c r="C15" s="2" t="s">
        <v>5303</v>
      </c>
      <c r="D15" s="2" t="s">
        <v>5293</v>
      </c>
      <c r="E15" s="2" t="s">
        <v>5304</v>
      </c>
      <c r="F15" s="2" t="s">
        <v>5305</v>
      </c>
      <c r="G15" s="12" t="s">
        <v>5306</v>
      </c>
    </row>
    <row r="16" customFormat="false" ht="23.85" hidden="false" customHeight="false" outlineLevel="0" collapsed="false">
      <c r="A16" s="2" t="s">
        <v>127</v>
      </c>
      <c r="B16" s="11" t="s">
        <v>5307</v>
      </c>
      <c r="C16" s="2" t="s">
        <v>5308</v>
      </c>
      <c r="D16" s="2" t="s">
        <v>5309</v>
      </c>
      <c r="E16" s="2" t="s">
        <v>5310</v>
      </c>
      <c r="F16" s="2" t="s">
        <v>5311</v>
      </c>
      <c r="G16" s="12" t="s">
        <v>5312</v>
      </c>
    </row>
    <row r="17" customFormat="false" ht="23.85" hidden="false" customHeight="false" outlineLevel="0" collapsed="false">
      <c r="A17" s="2" t="s">
        <v>127</v>
      </c>
      <c r="B17" s="11" t="s">
        <v>4787</v>
      </c>
      <c r="C17" s="2" t="s">
        <v>5313</v>
      </c>
      <c r="D17" s="2" t="s">
        <v>5314</v>
      </c>
      <c r="E17" s="2" t="s">
        <v>5315</v>
      </c>
      <c r="F17" s="2" t="s">
        <v>5316</v>
      </c>
      <c r="G17" s="12" t="s">
        <v>5317</v>
      </c>
    </row>
    <row r="18" customFormat="false" ht="23.85" hidden="false" customHeight="false" outlineLevel="0" collapsed="false">
      <c r="A18" s="2" t="s">
        <v>127</v>
      </c>
      <c r="B18" s="11" t="s">
        <v>5114</v>
      </c>
      <c r="C18" s="2" t="s">
        <v>5318</v>
      </c>
      <c r="D18" s="2" t="s">
        <v>5319</v>
      </c>
      <c r="E18" s="2" t="s">
        <v>5320</v>
      </c>
      <c r="F18" s="2" t="s">
        <v>5115</v>
      </c>
      <c r="G18" s="12" t="s">
        <v>5321</v>
      </c>
    </row>
    <row r="19" customFormat="false" ht="23.85" hidden="false" customHeight="false" outlineLevel="0" collapsed="false">
      <c r="A19" s="2" t="s">
        <v>374</v>
      </c>
      <c r="B19" s="11" t="s">
        <v>5322</v>
      </c>
      <c r="C19" s="2" t="s">
        <v>5323</v>
      </c>
      <c r="D19" s="2" t="s">
        <v>5324</v>
      </c>
      <c r="E19" s="2" t="s">
        <v>5325</v>
      </c>
      <c r="F19" s="2" t="s">
        <v>5326</v>
      </c>
      <c r="G19" s="12" t="s">
        <v>5327</v>
      </c>
    </row>
    <row r="20" customFormat="false" ht="35.05" hidden="false" customHeight="false" outlineLevel="0" collapsed="false">
      <c r="A20" s="2" t="s">
        <v>127</v>
      </c>
      <c r="B20" s="11" t="s">
        <v>5030</v>
      </c>
      <c r="C20" s="2" t="s">
        <v>5328</v>
      </c>
      <c r="D20" s="2" t="s">
        <v>5293</v>
      </c>
      <c r="E20" s="2" t="s">
        <v>5329</v>
      </c>
      <c r="F20" s="2" t="s">
        <v>5330</v>
      </c>
      <c r="G20" s="12" t="s">
        <v>5331</v>
      </c>
    </row>
    <row r="21" customFormat="false" ht="35.05" hidden="false" customHeight="false" outlineLevel="0" collapsed="false">
      <c r="A21" s="2" t="s">
        <v>127</v>
      </c>
      <c r="B21" s="11" t="s">
        <v>5015</v>
      </c>
      <c r="C21" s="2" t="s">
        <v>5332</v>
      </c>
      <c r="D21" s="2" t="s">
        <v>5333</v>
      </c>
      <c r="E21" s="2" t="s">
        <v>5334</v>
      </c>
      <c r="F21" s="2" t="s">
        <v>5335</v>
      </c>
      <c r="G21" s="12" t="s">
        <v>5336</v>
      </c>
    </row>
    <row r="22" customFormat="false" ht="23.85" hidden="false" customHeight="false" outlineLevel="0" collapsed="false">
      <c r="A22" s="2" t="s">
        <v>127</v>
      </c>
      <c r="B22" s="11" t="s">
        <v>5135</v>
      </c>
      <c r="C22" s="2" t="s">
        <v>5337</v>
      </c>
      <c r="D22" s="2" t="s">
        <v>5293</v>
      </c>
      <c r="E22" s="2" t="s">
        <v>5338</v>
      </c>
      <c r="F22" s="2" t="s">
        <v>5339</v>
      </c>
      <c r="G22" s="12" t="s">
        <v>5340</v>
      </c>
    </row>
    <row r="23" customFormat="false" ht="15" hidden="false" customHeight="false" outlineLevel="0" collapsed="false">
      <c r="A23" s="2" t="s">
        <v>127</v>
      </c>
      <c r="B23" s="11" t="s">
        <v>5341</v>
      </c>
      <c r="C23" s="2" t="s">
        <v>5342</v>
      </c>
      <c r="D23" s="2" t="s">
        <v>5343</v>
      </c>
      <c r="E23" s="2" t="s">
        <v>5344</v>
      </c>
      <c r="F23" s="2" t="s">
        <v>5305</v>
      </c>
      <c r="G23" s="12" t="s">
        <v>5345</v>
      </c>
    </row>
  </sheetData>
  <autoFilter ref="A1:G23"/>
  <hyperlinks>
    <hyperlink ref="G2" r:id="rId1" display="afaqs: Aditya Kanthy and Prasoon Joshi to steer Omnicom's India reboot"/>
    <hyperlink ref="G3" r:id="rId2" display="Storyboard18: Ulka, Mudra find new home in BBDO after Omnicom IPG merger"/>
    <hyperlink ref="G4" r:id="rId3" display="Storyboard18 (via Google News): Prateek Bharadwaj to exit TBWA\Lintas?"/>
    <hyperlink ref="G5" r:id="rId4" display="afaqs: CEO Dheeraj Sinha on leading McCann in the post-merger era"/>
    <hyperlink ref="G6" r:id="rId5" display="afaqs (via Google News): Ogilvy chair Hephzibah Pathak appointed CEO of WPP Creative India"/>
    <hyperlink ref="G7" r:id="rId6" display="afaqs: Ogilvy Group integrates Grey and 82.5 Communications to form Grey 82.5"/>
    <hyperlink ref="G8" r:id="rId7" display="bestmediainfo (via Google News): Kalpesh Patankar exits VML India"/>
    <hyperlink ref="G9" r:id="rId8" display="bestmediainfo (via Google News): WPP explores Burson sale"/>
    <hyperlink ref="G10" r:id="rId9" display="afaqs: Industry in mourning over Piyush Pandey's demise"/>
    <hyperlink ref="G11" r:id="rId10" display="Storyboard18 (via Google News): Publicis folds Publicis India into BBH"/>
    <hyperlink ref="G12" r:id="rId11" display="Storyboard18 (via Google News): Publicis brings PDX to India"/>
    <hyperlink ref="G13" r:id="rId12" display="Moneycontrol (via Google News): Dentsu India offices searched simultaneously"/>
    <hyperlink ref="G14" r:id="rId13" display="ET BrandEquity (via Google News): Webchutney makes Surjo Dutt the CEO"/>
    <hyperlink ref="G15" r:id="rId14" display="The Economic Times (via Google News): Havas India launches luxury experiential agency Shortcut Shobiz India"/>
    <hyperlink ref="G16" r:id="rId15" display="Storyboard18 (via Google News): Wondrlab exits Madison acquisition race?"/>
    <hyperlink ref="G17" r:id="rId16" display="IndianWeb2: Accenture in advanced talks to acquire The Womb"/>
    <hyperlink ref="G18" r:id="rId17" display="Storyboard18 (via Google News): Yaap Digital acquires majority stake in Gozoop"/>
    <hyperlink ref="G19" r:id="rId18" display="Social Samosa (via Google News): Cheil SWA Group acquires Social Beat"/>
    <hyperlink ref="G20" r:id="rId19" display="MediaNews4U: Gaurang Menon steps down from Hashtag Orange"/>
    <hyperlink ref="G21" r:id="rId20" display="afaqs: Schbang announces leadership transition"/>
    <hyperlink ref="G22" r:id="rId21" display="Storyboard18 (via Google News): Blink Digital seeks Rs 1,158 crore from Meta"/>
    <hyperlink ref="G23" r:id="rId22" display="Storyboard18 (via Google News): Layoffs at Collective Artists Network hit Big Bang Soci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11" min="2" style="0" width="12"/>
    <col collapsed="false" customWidth="true" hidden="false" outlineLevel="0" max="12" min="12" style="0" width="9"/>
  </cols>
  <sheetData>
    <row r="1" customFormat="false" ht="15" hidden="false" customHeight="false" outlineLevel="0" collapsed="false">
      <c r="A1" s="13" t="s">
        <v>5346</v>
      </c>
    </row>
    <row r="3" customFormat="false" ht="30" hidden="false" customHeight="true" outlineLevel="0" collapsed="false">
      <c r="A3" s="5" t="s">
        <v>60</v>
      </c>
      <c r="B3" s="5" t="s">
        <v>167</v>
      </c>
      <c r="C3" s="5" t="s">
        <v>652</v>
      </c>
      <c r="D3" s="5" t="s">
        <v>102</v>
      </c>
      <c r="E3" s="5" t="s">
        <v>1539</v>
      </c>
      <c r="F3" s="5" t="s">
        <v>1175</v>
      </c>
      <c r="G3" s="5" t="s">
        <v>374</v>
      </c>
      <c r="H3" s="5" t="s">
        <v>206</v>
      </c>
      <c r="I3" s="5" t="s">
        <v>127</v>
      </c>
      <c r="J3" s="5" t="s">
        <v>1215</v>
      </c>
      <c r="K3" s="5" t="s">
        <v>33</v>
      </c>
      <c r="L3" s="5" t="s">
        <v>5347</v>
      </c>
    </row>
    <row r="4" customFormat="false" ht="15" hidden="false" customHeight="false" outlineLevel="0" collapsed="false">
      <c r="A4" s="7" t="s">
        <v>90</v>
      </c>
      <c r="B4" s="6" t="n">
        <f aca="false">COUNTIFS('All relationships'!$G$2:$G$1227,$A4,'All relationships'!$B$2:$B$1227,"WPP",'All relationships'!$K$2:$K$1227,"&lt;&gt;Recently lost")</f>
        <v>3</v>
      </c>
      <c r="C4" s="6" t="n">
        <f aca="false">COUNTIFS('All relationships'!$G$2:$G$1227,$A4,'All relationships'!$B$2:$B$1227,"Publicis",'All relationships'!$K$2:$K$1227,"&lt;&gt;Recently lost")</f>
        <v>2</v>
      </c>
      <c r="D4" s="6" t="n">
        <f aca="false">COUNTIFS('All relationships'!$G$2:$G$1227,$A4,'All relationships'!$B$2:$B$1227,"Omnicom",'All relationships'!$K$2:$K$1227,"&lt;&gt;Recently lost")</f>
        <v>9</v>
      </c>
      <c r="E4" s="6" t="n">
        <f aca="false">COUNTIFS('All relationships'!$G$2:$G$1227,$A4,'All relationships'!$B$2:$B$1227,"Dentsu",'All relationships'!$K$2:$K$1227,"&lt;&gt;Recently lost")</f>
        <v>4</v>
      </c>
      <c r="F4" s="6" t="n">
        <f aca="false">COUNTIFS('All relationships'!$G$2:$G$1227,$A4,'All relationships'!$B$2:$B$1227,"Havas",'All relationships'!$K$2:$K$1227,"&lt;&gt;Recently lost")</f>
        <v>0</v>
      </c>
      <c r="G4" s="6" t="n">
        <f aca="false">COUNTIFS('All relationships'!$G$2:$G$1227,$A4,'All relationships'!$B$2:$B$1227,"Cheil",'All relationships'!$K$2:$K$1227,"&lt;&gt;Recently lost")</f>
        <v>1</v>
      </c>
      <c r="H4" s="6" t="n">
        <f aca="false">COUNTIFS('All relationships'!$G$2:$G$1227,$A4,'All relationships'!$B$2:$B$1227,"Hakuhodo",'All relationships'!$K$2:$K$1227,"&lt;&gt;Recently lost")</f>
        <v>0</v>
      </c>
      <c r="I4" s="6" t="n">
        <f aca="false">COUNTIFS('All relationships'!$G$2:$G$1227,$A4,'All relationships'!$B$2:$B$1227,"Independent",'All relationships'!$K$2:$K$1227,"&lt;&gt;Recently lost")</f>
        <v>24</v>
      </c>
      <c r="J4" s="6" t="n">
        <f aca="false">COUNTIFS('All relationships'!$G$2:$G$1227,$A4,'All relationships'!$B$2:$B$1227,"Other",'All relationships'!$K$2:$K$1227,"&lt;&gt;Recently lost")</f>
        <v>0</v>
      </c>
      <c r="K4" s="6" t="n">
        <f aca="false">COUNTIFS('All relationships'!$G$2:$G$1227,$A4,'All relationships'!$B$2:$B$1227,"Unknown",'All relationships'!$K$2:$K$1227,"&lt;&gt;Recently lost")</f>
        <v>19</v>
      </c>
      <c r="L4" s="7" t="n">
        <f aca="false">SUM(B4:K4)</f>
        <v>62</v>
      </c>
    </row>
    <row r="5" customFormat="false" ht="15" hidden="false" customHeight="false" outlineLevel="0" collapsed="false">
      <c r="A5" s="7" t="s">
        <v>76</v>
      </c>
      <c r="B5" s="6" t="n">
        <f aca="false">COUNTIFS('All relationships'!$G$2:$G$1227,$A5,'All relationships'!$B$2:$B$1227,"WPP",'All relationships'!$K$2:$K$1227,"&lt;&gt;Recently lost")</f>
        <v>7</v>
      </c>
      <c r="C5" s="6" t="n">
        <f aca="false">COUNTIFS('All relationships'!$G$2:$G$1227,$A5,'All relationships'!$B$2:$B$1227,"Publicis",'All relationships'!$K$2:$K$1227,"&lt;&gt;Recently lost")</f>
        <v>1</v>
      </c>
      <c r="D5" s="6" t="n">
        <f aca="false">COUNTIFS('All relationships'!$G$2:$G$1227,$A5,'All relationships'!$B$2:$B$1227,"Omnicom",'All relationships'!$K$2:$K$1227,"&lt;&gt;Recently lost")</f>
        <v>6</v>
      </c>
      <c r="E5" s="6" t="n">
        <f aca="false">COUNTIFS('All relationships'!$G$2:$G$1227,$A5,'All relationships'!$B$2:$B$1227,"Dentsu",'All relationships'!$K$2:$K$1227,"&lt;&gt;Recently lost")</f>
        <v>3</v>
      </c>
      <c r="F5" s="6" t="n">
        <f aca="false">COUNTIFS('All relationships'!$G$2:$G$1227,$A5,'All relationships'!$B$2:$B$1227,"Havas",'All relationships'!$K$2:$K$1227,"&lt;&gt;Recently lost")</f>
        <v>2</v>
      </c>
      <c r="G5" s="6" t="n">
        <f aca="false">COUNTIFS('All relationships'!$G$2:$G$1227,$A5,'All relationships'!$B$2:$B$1227,"Cheil",'All relationships'!$K$2:$K$1227,"&lt;&gt;Recently lost")</f>
        <v>1</v>
      </c>
      <c r="H5" s="6" t="n">
        <f aca="false">COUNTIFS('All relationships'!$G$2:$G$1227,$A5,'All relationships'!$B$2:$B$1227,"Hakuhodo",'All relationships'!$K$2:$K$1227,"&lt;&gt;Recently lost")</f>
        <v>0</v>
      </c>
      <c r="I5" s="6" t="n">
        <f aca="false">COUNTIFS('All relationships'!$G$2:$G$1227,$A5,'All relationships'!$B$2:$B$1227,"Independent",'All relationships'!$K$2:$K$1227,"&lt;&gt;Recently lost")</f>
        <v>32</v>
      </c>
      <c r="J5" s="6" t="n">
        <f aca="false">COUNTIFS('All relationships'!$G$2:$G$1227,$A5,'All relationships'!$B$2:$B$1227,"Other",'All relationships'!$K$2:$K$1227,"&lt;&gt;Recently lost")</f>
        <v>1</v>
      </c>
      <c r="K5" s="6" t="n">
        <f aca="false">COUNTIFS('All relationships'!$G$2:$G$1227,$A5,'All relationships'!$B$2:$B$1227,"Unknown",'All relationships'!$K$2:$K$1227,"&lt;&gt;Recently lost")</f>
        <v>24</v>
      </c>
      <c r="L5" s="7" t="n">
        <f aca="false">SUM(B5:K5)</f>
        <v>77</v>
      </c>
    </row>
    <row r="6" customFormat="false" ht="15" hidden="false" customHeight="false" outlineLevel="0" collapsed="false">
      <c r="A6" s="7" t="s">
        <v>239</v>
      </c>
      <c r="B6" s="6" t="n">
        <f aca="false">COUNTIFS('All relationships'!$G$2:$G$1227,$A6,'All relationships'!$B$2:$B$1227,"WPP",'All relationships'!$K$2:$K$1227,"&lt;&gt;Recently lost")</f>
        <v>8</v>
      </c>
      <c r="C6" s="6" t="n">
        <f aca="false">COUNTIFS('All relationships'!$G$2:$G$1227,$A6,'All relationships'!$B$2:$B$1227,"Publicis",'All relationships'!$K$2:$K$1227,"&lt;&gt;Recently lost")</f>
        <v>3</v>
      </c>
      <c r="D6" s="6" t="n">
        <f aca="false">COUNTIFS('All relationships'!$G$2:$G$1227,$A6,'All relationships'!$B$2:$B$1227,"Omnicom",'All relationships'!$K$2:$K$1227,"&lt;&gt;Recently lost")</f>
        <v>18</v>
      </c>
      <c r="E6" s="6" t="n">
        <f aca="false">COUNTIFS('All relationships'!$G$2:$G$1227,$A6,'All relationships'!$B$2:$B$1227,"Dentsu",'All relationships'!$K$2:$K$1227,"&lt;&gt;Recently lost")</f>
        <v>3</v>
      </c>
      <c r="F6" s="6" t="n">
        <f aca="false">COUNTIFS('All relationships'!$G$2:$G$1227,$A6,'All relationships'!$B$2:$B$1227,"Havas",'All relationships'!$K$2:$K$1227,"&lt;&gt;Recently lost")</f>
        <v>0</v>
      </c>
      <c r="G6" s="6" t="n">
        <f aca="false">COUNTIFS('All relationships'!$G$2:$G$1227,$A6,'All relationships'!$B$2:$B$1227,"Cheil",'All relationships'!$K$2:$K$1227,"&lt;&gt;Recently lost")</f>
        <v>1</v>
      </c>
      <c r="H6" s="6" t="n">
        <f aca="false">COUNTIFS('All relationships'!$G$2:$G$1227,$A6,'All relationships'!$B$2:$B$1227,"Hakuhodo",'All relationships'!$K$2:$K$1227,"&lt;&gt;Recently lost")</f>
        <v>0</v>
      </c>
      <c r="I6" s="6" t="n">
        <f aca="false">COUNTIFS('All relationships'!$G$2:$G$1227,$A6,'All relationships'!$B$2:$B$1227,"Independent",'All relationships'!$K$2:$K$1227,"&lt;&gt;Recently lost")</f>
        <v>71</v>
      </c>
      <c r="J6" s="6" t="n">
        <f aca="false">COUNTIFS('All relationships'!$G$2:$G$1227,$A6,'All relationships'!$B$2:$B$1227,"Other",'All relationships'!$K$2:$K$1227,"&lt;&gt;Recently lost")</f>
        <v>0</v>
      </c>
      <c r="K6" s="6" t="n">
        <f aca="false">COUNTIFS('All relationships'!$G$2:$G$1227,$A6,'All relationships'!$B$2:$B$1227,"Unknown",'All relationships'!$K$2:$K$1227,"&lt;&gt;Recently lost")</f>
        <v>22</v>
      </c>
      <c r="L6" s="7" t="n">
        <f aca="false">SUM(B6:K6)</f>
        <v>126</v>
      </c>
    </row>
    <row r="7" customFormat="false" ht="15" hidden="false" customHeight="false" outlineLevel="0" collapsed="false">
      <c r="A7" s="7" t="s">
        <v>118</v>
      </c>
      <c r="B7" s="6" t="n">
        <f aca="false">COUNTIFS('All relationships'!$G$2:$G$1227,$A7,'All relationships'!$B$2:$B$1227,"WPP",'All relationships'!$K$2:$K$1227,"&lt;&gt;Recently lost")</f>
        <v>4</v>
      </c>
      <c r="C7" s="6" t="n">
        <f aca="false">COUNTIFS('All relationships'!$G$2:$G$1227,$A7,'All relationships'!$B$2:$B$1227,"Publicis",'All relationships'!$K$2:$K$1227,"&lt;&gt;Recently lost")</f>
        <v>0</v>
      </c>
      <c r="D7" s="6" t="n">
        <f aca="false">COUNTIFS('All relationships'!$G$2:$G$1227,$A7,'All relationships'!$B$2:$B$1227,"Omnicom",'All relationships'!$K$2:$K$1227,"&lt;&gt;Recently lost")</f>
        <v>7</v>
      </c>
      <c r="E7" s="6" t="n">
        <f aca="false">COUNTIFS('All relationships'!$G$2:$G$1227,$A7,'All relationships'!$B$2:$B$1227,"Dentsu",'All relationships'!$K$2:$K$1227,"&lt;&gt;Recently lost")</f>
        <v>0</v>
      </c>
      <c r="F7" s="6" t="n">
        <f aca="false">COUNTIFS('All relationships'!$G$2:$G$1227,$A7,'All relationships'!$B$2:$B$1227,"Havas",'All relationships'!$K$2:$K$1227,"&lt;&gt;Recently lost")</f>
        <v>1</v>
      </c>
      <c r="G7" s="6" t="n">
        <f aca="false">COUNTIFS('All relationships'!$G$2:$G$1227,$A7,'All relationships'!$B$2:$B$1227,"Cheil",'All relationships'!$K$2:$K$1227,"&lt;&gt;Recently lost")</f>
        <v>2</v>
      </c>
      <c r="H7" s="6" t="n">
        <f aca="false">COUNTIFS('All relationships'!$G$2:$G$1227,$A7,'All relationships'!$B$2:$B$1227,"Hakuhodo",'All relationships'!$K$2:$K$1227,"&lt;&gt;Recently lost")</f>
        <v>0</v>
      </c>
      <c r="I7" s="6" t="n">
        <f aca="false">COUNTIFS('All relationships'!$G$2:$G$1227,$A7,'All relationships'!$B$2:$B$1227,"Independent",'All relationships'!$K$2:$K$1227,"&lt;&gt;Recently lost")</f>
        <v>21</v>
      </c>
      <c r="J7" s="6" t="n">
        <f aca="false">COUNTIFS('All relationships'!$G$2:$G$1227,$A7,'All relationships'!$B$2:$B$1227,"Other",'All relationships'!$K$2:$K$1227,"&lt;&gt;Recently lost")</f>
        <v>0</v>
      </c>
      <c r="K7" s="6" t="n">
        <f aca="false">COUNTIFS('All relationships'!$G$2:$G$1227,$A7,'All relationships'!$B$2:$B$1227,"Unknown",'All relationships'!$K$2:$K$1227,"&lt;&gt;Recently lost")</f>
        <v>30</v>
      </c>
      <c r="L7" s="7" t="n">
        <f aca="false">SUM(B7:K7)</f>
        <v>65</v>
      </c>
    </row>
    <row r="8" customFormat="false" ht="15" hidden="false" customHeight="false" outlineLevel="0" collapsed="false">
      <c r="A8" s="7" t="s">
        <v>182</v>
      </c>
      <c r="B8" s="6" t="n">
        <f aca="false">COUNTIFS('All relationships'!$G$2:$G$1227,$A8,'All relationships'!$B$2:$B$1227,"WPP",'All relationships'!$K$2:$K$1227,"&lt;&gt;Recently lost")</f>
        <v>4</v>
      </c>
      <c r="C8" s="6" t="n">
        <f aca="false">COUNTIFS('All relationships'!$G$2:$G$1227,$A8,'All relationships'!$B$2:$B$1227,"Publicis",'All relationships'!$K$2:$K$1227,"&lt;&gt;Recently lost")</f>
        <v>4</v>
      </c>
      <c r="D8" s="6" t="n">
        <f aca="false">COUNTIFS('All relationships'!$G$2:$G$1227,$A8,'All relationships'!$B$2:$B$1227,"Omnicom",'All relationships'!$K$2:$K$1227,"&lt;&gt;Recently lost")</f>
        <v>8</v>
      </c>
      <c r="E8" s="6" t="n">
        <f aca="false">COUNTIFS('All relationships'!$G$2:$G$1227,$A8,'All relationships'!$B$2:$B$1227,"Dentsu",'All relationships'!$K$2:$K$1227,"&lt;&gt;Recently lost")</f>
        <v>2</v>
      </c>
      <c r="F8" s="6" t="n">
        <f aca="false">COUNTIFS('All relationships'!$G$2:$G$1227,$A8,'All relationships'!$B$2:$B$1227,"Havas",'All relationships'!$K$2:$K$1227,"&lt;&gt;Recently lost")</f>
        <v>4</v>
      </c>
      <c r="G8" s="6" t="n">
        <f aca="false">COUNTIFS('All relationships'!$G$2:$G$1227,$A8,'All relationships'!$B$2:$B$1227,"Cheil",'All relationships'!$K$2:$K$1227,"&lt;&gt;Recently lost")</f>
        <v>1</v>
      </c>
      <c r="H8" s="6" t="n">
        <f aca="false">COUNTIFS('All relationships'!$G$2:$G$1227,$A8,'All relationships'!$B$2:$B$1227,"Hakuhodo",'All relationships'!$K$2:$K$1227,"&lt;&gt;Recently lost")</f>
        <v>0</v>
      </c>
      <c r="I8" s="6" t="n">
        <f aca="false">COUNTIFS('All relationships'!$G$2:$G$1227,$A8,'All relationships'!$B$2:$B$1227,"Independent",'All relationships'!$K$2:$K$1227,"&lt;&gt;Recently lost")</f>
        <v>43</v>
      </c>
      <c r="J8" s="6" t="n">
        <f aca="false">COUNTIFS('All relationships'!$G$2:$G$1227,$A8,'All relationships'!$B$2:$B$1227,"Other",'All relationships'!$K$2:$K$1227,"&lt;&gt;Recently lost")</f>
        <v>0</v>
      </c>
      <c r="K8" s="6" t="n">
        <f aca="false">COUNTIFS('All relationships'!$G$2:$G$1227,$A8,'All relationships'!$B$2:$B$1227,"Unknown",'All relationships'!$K$2:$K$1227,"&lt;&gt;Recently lost")</f>
        <v>18</v>
      </c>
      <c r="L8" s="7" t="n">
        <f aca="false">SUM(B8:K8)</f>
        <v>84</v>
      </c>
    </row>
    <row r="9" customFormat="false" ht="15" hidden="false" customHeight="false" outlineLevel="0" collapsed="false">
      <c r="A9" s="7" t="s">
        <v>164</v>
      </c>
      <c r="B9" s="6" t="n">
        <f aca="false">COUNTIFS('All relationships'!$G$2:$G$1227,$A9,'All relationships'!$B$2:$B$1227,"WPP",'All relationships'!$K$2:$K$1227,"&lt;&gt;Recently lost")</f>
        <v>8</v>
      </c>
      <c r="C9" s="6" t="n">
        <f aca="false">COUNTIFS('All relationships'!$G$2:$G$1227,$A9,'All relationships'!$B$2:$B$1227,"Publicis",'All relationships'!$K$2:$K$1227,"&lt;&gt;Recently lost")</f>
        <v>4</v>
      </c>
      <c r="D9" s="6" t="n">
        <f aca="false">COUNTIFS('All relationships'!$G$2:$G$1227,$A9,'All relationships'!$B$2:$B$1227,"Omnicom",'All relationships'!$K$2:$K$1227,"&lt;&gt;Recently lost")</f>
        <v>9</v>
      </c>
      <c r="E9" s="6" t="n">
        <f aca="false">COUNTIFS('All relationships'!$G$2:$G$1227,$A9,'All relationships'!$B$2:$B$1227,"Dentsu",'All relationships'!$K$2:$K$1227,"&lt;&gt;Recently lost")</f>
        <v>1</v>
      </c>
      <c r="F9" s="6" t="n">
        <f aca="false">COUNTIFS('All relationships'!$G$2:$G$1227,$A9,'All relationships'!$B$2:$B$1227,"Havas",'All relationships'!$K$2:$K$1227,"&lt;&gt;Recently lost")</f>
        <v>0</v>
      </c>
      <c r="G9" s="6" t="n">
        <f aca="false">COUNTIFS('All relationships'!$G$2:$G$1227,$A9,'All relationships'!$B$2:$B$1227,"Cheil",'All relationships'!$K$2:$K$1227,"&lt;&gt;Recently lost")</f>
        <v>0</v>
      </c>
      <c r="H9" s="6" t="n">
        <f aca="false">COUNTIFS('All relationships'!$G$2:$G$1227,$A9,'All relationships'!$B$2:$B$1227,"Hakuhodo",'All relationships'!$K$2:$K$1227,"&lt;&gt;Recently lost")</f>
        <v>5</v>
      </c>
      <c r="I9" s="6" t="n">
        <f aca="false">COUNTIFS('All relationships'!$G$2:$G$1227,$A9,'All relationships'!$B$2:$B$1227,"Independent",'All relationships'!$K$2:$K$1227,"&lt;&gt;Recently lost")</f>
        <v>20</v>
      </c>
      <c r="J9" s="6" t="n">
        <f aca="false">COUNTIFS('All relationships'!$G$2:$G$1227,$A9,'All relationships'!$B$2:$B$1227,"Other",'All relationships'!$K$2:$K$1227,"&lt;&gt;Recently lost")</f>
        <v>2</v>
      </c>
      <c r="K9" s="6" t="n">
        <f aca="false">COUNTIFS('All relationships'!$G$2:$G$1227,$A9,'All relationships'!$B$2:$B$1227,"Unknown",'All relationships'!$K$2:$K$1227,"&lt;&gt;Recently lost")</f>
        <v>18</v>
      </c>
      <c r="L9" s="7" t="n">
        <f aca="false">SUM(B9:K9)</f>
        <v>67</v>
      </c>
    </row>
    <row r="10" customFormat="false" ht="15" hidden="false" customHeight="false" outlineLevel="0" collapsed="false">
      <c r="A10" s="7" t="s">
        <v>153</v>
      </c>
      <c r="B10" s="6" t="n">
        <f aca="false">COUNTIFS('All relationships'!$G$2:$G$1227,$A10,'All relationships'!$B$2:$B$1227,"WPP",'All relationships'!$K$2:$K$1227,"&lt;&gt;Recently lost")</f>
        <v>12</v>
      </c>
      <c r="C10" s="6" t="n">
        <f aca="false">COUNTIFS('All relationships'!$G$2:$G$1227,$A10,'All relationships'!$B$2:$B$1227,"Publicis",'All relationships'!$K$2:$K$1227,"&lt;&gt;Recently lost")</f>
        <v>8</v>
      </c>
      <c r="D10" s="6" t="n">
        <f aca="false">COUNTIFS('All relationships'!$G$2:$G$1227,$A10,'All relationships'!$B$2:$B$1227,"Omnicom",'All relationships'!$K$2:$K$1227,"&lt;&gt;Recently lost")</f>
        <v>25</v>
      </c>
      <c r="E10" s="6" t="n">
        <f aca="false">COUNTIFS('All relationships'!$G$2:$G$1227,$A10,'All relationships'!$B$2:$B$1227,"Dentsu",'All relationships'!$K$2:$K$1227,"&lt;&gt;Recently lost")</f>
        <v>7</v>
      </c>
      <c r="F10" s="6" t="n">
        <f aca="false">COUNTIFS('All relationships'!$G$2:$G$1227,$A10,'All relationships'!$B$2:$B$1227,"Havas",'All relationships'!$K$2:$K$1227,"&lt;&gt;Recently lost")</f>
        <v>1</v>
      </c>
      <c r="G10" s="6" t="n">
        <f aca="false">COUNTIFS('All relationships'!$G$2:$G$1227,$A10,'All relationships'!$B$2:$B$1227,"Cheil",'All relationships'!$K$2:$K$1227,"&lt;&gt;Recently lost")</f>
        <v>4</v>
      </c>
      <c r="H10" s="6" t="n">
        <f aca="false">COUNTIFS('All relationships'!$G$2:$G$1227,$A10,'All relationships'!$B$2:$B$1227,"Hakuhodo",'All relationships'!$K$2:$K$1227,"&lt;&gt;Recently lost")</f>
        <v>8</v>
      </c>
      <c r="I10" s="6" t="n">
        <f aca="false">COUNTIFS('All relationships'!$G$2:$G$1227,$A10,'All relationships'!$B$2:$B$1227,"Independent",'All relationships'!$K$2:$K$1227,"&lt;&gt;Recently lost")</f>
        <v>25</v>
      </c>
      <c r="J10" s="6" t="n">
        <f aca="false">COUNTIFS('All relationships'!$G$2:$G$1227,$A10,'All relationships'!$B$2:$B$1227,"Other",'All relationships'!$K$2:$K$1227,"&lt;&gt;Recently lost")</f>
        <v>2</v>
      </c>
      <c r="K10" s="6" t="n">
        <f aca="false">COUNTIFS('All relationships'!$G$2:$G$1227,$A10,'All relationships'!$B$2:$B$1227,"Unknown",'All relationships'!$K$2:$K$1227,"&lt;&gt;Recently lost")</f>
        <v>15</v>
      </c>
      <c r="L10" s="7" t="n">
        <f aca="false">SUM(B10:K10)</f>
        <v>107</v>
      </c>
    </row>
    <row r="11" customFormat="false" ht="15" hidden="false" customHeight="false" outlineLevel="0" collapsed="false">
      <c r="A11" s="7" t="s">
        <v>626</v>
      </c>
      <c r="B11" s="6" t="n">
        <f aca="false">COUNTIFS('All relationships'!$G$2:$G$1227,$A11,'All relationships'!$B$2:$B$1227,"WPP",'All relationships'!$K$2:$K$1227,"&lt;&gt;Recently lost")</f>
        <v>1</v>
      </c>
      <c r="C11" s="6" t="n">
        <f aca="false">COUNTIFS('All relationships'!$G$2:$G$1227,$A11,'All relationships'!$B$2:$B$1227,"Publicis",'All relationships'!$K$2:$K$1227,"&lt;&gt;Recently lost")</f>
        <v>2</v>
      </c>
      <c r="D11" s="6" t="n">
        <f aca="false">COUNTIFS('All relationships'!$G$2:$G$1227,$A11,'All relationships'!$B$2:$B$1227,"Omnicom",'All relationships'!$K$2:$K$1227,"&lt;&gt;Recently lost")</f>
        <v>5</v>
      </c>
      <c r="E11" s="6" t="n">
        <f aca="false">COUNTIFS('All relationships'!$G$2:$G$1227,$A11,'All relationships'!$B$2:$B$1227,"Dentsu",'All relationships'!$K$2:$K$1227,"&lt;&gt;Recently lost")</f>
        <v>0</v>
      </c>
      <c r="F11" s="6" t="n">
        <f aca="false">COUNTIFS('All relationships'!$G$2:$G$1227,$A11,'All relationships'!$B$2:$B$1227,"Havas",'All relationships'!$K$2:$K$1227,"&lt;&gt;Recently lost")</f>
        <v>0</v>
      </c>
      <c r="G11" s="6" t="n">
        <f aca="false">COUNTIFS('All relationships'!$G$2:$G$1227,$A11,'All relationships'!$B$2:$B$1227,"Cheil",'All relationships'!$K$2:$K$1227,"&lt;&gt;Recently lost")</f>
        <v>0</v>
      </c>
      <c r="H11" s="6" t="n">
        <f aca="false">COUNTIFS('All relationships'!$G$2:$G$1227,$A11,'All relationships'!$B$2:$B$1227,"Hakuhodo",'All relationships'!$K$2:$K$1227,"&lt;&gt;Recently lost")</f>
        <v>0</v>
      </c>
      <c r="I11" s="6" t="n">
        <f aca="false">COUNTIFS('All relationships'!$G$2:$G$1227,$A11,'All relationships'!$B$2:$B$1227,"Independent",'All relationships'!$K$2:$K$1227,"&lt;&gt;Recently lost")</f>
        <v>9</v>
      </c>
      <c r="J11" s="6" t="n">
        <f aca="false">COUNTIFS('All relationships'!$G$2:$G$1227,$A11,'All relationships'!$B$2:$B$1227,"Other",'All relationships'!$K$2:$K$1227,"&lt;&gt;Recently lost")</f>
        <v>0</v>
      </c>
      <c r="K11" s="6" t="n">
        <f aca="false">COUNTIFS('All relationships'!$G$2:$G$1227,$A11,'All relationships'!$B$2:$B$1227,"Unknown",'All relationships'!$K$2:$K$1227,"&lt;&gt;Recently lost")</f>
        <v>10</v>
      </c>
      <c r="L11" s="7" t="n">
        <f aca="false">SUM(B11:K11)</f>
        <v>27</v>
      </c>
    </row>
    <row r="12" customFormat="false" ht="15" hidden="false" customHeight="false" outlineLevel="0" collapsed="false">
      <c r="A12" s="7" t="s">
        <v>507</v>
      </c>
      <c r="B12" s="6" t="n">
        <f aca="false">COUNTIFS('All relationships'!$G$2:$G$1227,$A12,'All relationships'!$B$2:$B$1227,"WPP",'All relationships'!$K$2:$K$1227,"&lt;&gt;Recently lost")</f>
        <v>8</v>
      </c>
      <c r="C12" s="6" t="n">
        <f aca="false">COUNTIFS('All relationships'!$G$2:$G$1227,$A12,'All relationships'!$B$2:$B$1227,"Publicis",'All relationships'!$K$2:$K$1227,"&lt;&gt;Recently lost")</f>
        <v>9</v>
      </c>
      <c r="D12" s="6" t="n">
        <f aca="false">COUNTIFS('All relationships'!$G$2:$G$1227,$A12,'All relationships'!$B$2:$B$1227,"Omnicom",'All relationships'!$K$2:$K$1227,"&lt;&gt;Recently lost")</f>
        <v>26</v>
      </c>
      <c r="E12" s="6" t="n">
        <f aca="false">COUNTIFS('All relationships'!$G$2:$G$1227,$A12,'All relationships'!$B$2:$B$1227,"Dentsu",'All relationships'!$K$2:$K$1227,"&lt;&gt;Recently lost")</f>
        <v>4</v>
      </c>
      <c r="F12" s="6" t="n">
        <f aca="false">COUNTIFS('All relationships'!$G$2:$G$1227,$A12,'All relationships'!$B$2:$B$1227,"Havas",'All relationships'!$K$2:$K$1227,"&lt;&gt;Recently lost")</f>
        <v>3</v>
      </c>
      <c r="G12" s="6" t="n">
        <f aca="false">COUNTIFS('All relationships'!$G$2:$G$1227,$A12,'All relationships'!$B$2:$B$1227,"Cheil",'All relationships'!$K$2:$K$1227,"&lt;&gt;Recently lost")</f>
        <v>1</v>
      </c>
      <c r="H12" s="6" t="n">
        <f aca="false">COUNTIFS('All relationships'!$G$2:$G$1227,$A12,'All relationships'!$B$2:$B$1227,"Hakuhodo",'All relationships'!$K$2:$K$1227,"&lt;&gt;Recently lost")</f>
        <v>0</v>
      </c>
      <c r="I12" s="6" t="n">
        <f aca="false">COUNTIFS('All relationships'!$G$2:$G$1227,$A12,'All relationships'!$B$2:$B$1227,"Independent",'All relationships'!$K$2:$K$1227,"&lt;&gt;Recently lost")</f>
        <v>40</v>
      </c>
      <c r="J12" s="6" t="n">
        <f aca="false">COUNTIFS('All relationships'!$G$2:$G$1227,$A12,'All relationships'!$B$2:$B$1227,"Other",'All relationships'!$K$2:$K$1227,"&lt;&gt;Recently lost")</f>
        <v>1</v>
      </c>
      <c r="K12" s="6" t="n">
        <f aca="false">COUNTIFS('All relationships'!$G$2:$G$1227,$A12,'All relationships'!$B$2:$B$1227,"Unknown",'All relationships'!$K$2:$K$1227,"&lt;&gt;Recently lost")</f>
        <v>25</v>
      </c>
      <c r="L12" s="7" t="n">
        <f aca="false">SUM(B12:K12)</f>
        <v>117</v>
      </c>
    </row>
    <row r="13" customFormat="false" ht="15" hidden="false" customHeight="false" outlineLevel="0" collapsed="false">
      <c r="A13" s="7" t="s">
        <v>1127</v>
      </c>
      <c r="B13" s="6" t="n">
        <f aca="false">COUNTIFS('All relationships'!$G$2:$G$1227,$A13,'All relationships'!$B$2:$B$1227,"WPP",'All relationships'!$K$2:$K$1227,"&lt;&gt;Recently lost")</f>
        <v>1</v>
      </c>
      <c r="C13" s="6" t="n">
        <f aca="false">COUNTIFS('All relationships'!$G$2:$G$1227,$A13,'All relationships'!$B$2:$B$1227,"Publicis",'All relationships'!$K$2:$K$1227,"&lt;&gt;Recently lost")</f>
        <v>4</v>
      </c>
      <c r="D13" s="6" t="n">
        <f aca="false">COUNTIFS('All relationships'!$G$2:$G$1227,$A13,'All relationships'!$B$2:$B$1227,"Omnicom",'All relationships'!$K$2:$K$1227,"&lt;&gt;Recently lost")</f>
        <v>10</v>
      </c>
      <c r="E13" s="6" t="n">
        <f aca="false">COUNTIFS('All relationships'!$G$2:$G$1227,$A13,'All relationships'!$B$2:$B$1227,"Dentsu",'All relationships'!$K$2:$K$1227,"&lt;&gt;Recently lost")</f>
        <v>3</v>
      </c>
      <c r="F13" s="6" t="n">
        <f aca="false">COUNTIFS('All relationships'!$G$2:$G$1227,$A13,'All relationships'!$B$2:$B$1227,"Havas",'All relationships'!$K$2:$K$1227,"&lt;&gt;Recently lost")</f>
        <v>2</v>
      </c>
      <c r="G13" s="6" t="n">
        <f aca="false">COUNTIFS('All relationships'!$G$2:$G$1227,$A13,'All relationships'!$B$2:$B$1227,"Cheil",'All relationships'!$K$2:$K$1227,"&lt;&gt;Recently lost")</f>
        <v>0</v>
      </c>
      <c r="H13" s="6" t="n">
        <f aca="false">COUNTIFS('All relationships'!$G$2:$G$1227,$A13,'All relationships'!$B$2:$B$1227,"Hakuhodo",'All relationships'!$K$2:$K$1227,"&lt;&gt;Recently lost")</f>
        <v>0</v>
      </c>
      <c r="I13" s="6" t="n">
        <f aca="false">COUNTIFS('All relationships'!$G$2:$G$1227,$A13,'All relationships'!$B$2:$B$1227,"Independent",'All relationships'!$K$2:$K$1227,"&lt;&gt;Recently lost")</f>
        <v>20</v>
      </c>
      <c r="J13" s="6" t="n">
        <f aca="false">COUNTIFS('All relationships'!$G$2:$G$1227,$A13,'All relationships'!$B$2:$B$1227,"Other",'All relationships'!$K$2:$K$1227,"&lt;&gt;Recently lost")</f>
        <v>0</v>
      </c>
      <c r="K13" s="6" t="n">
        <f aca="false">COUNTIFS('All relationships'!$G$2:$G$1227,$A13,'All relationships'!$B$2:$B$1227,"Unknown",'All relationships'!$K$2:$K$1227,"&lt;&gt;Recently lost")</f>
        <v>8</v>
      </c>
      <c r="L13" s="7" t="n">
        <f aca="false">SUM(B13:K13)</f>
        <v>48</v>
      </c>
    </row>
    <row r="14" customFormat="false" ht="15" hidden="false" customHeight="false" outlineLevel="0" collapsed="false">
      <c r="A14" s="7" t="s">
        <v>1085</v>
      </c>
      <c r="B14" s="6" t="n">
        <f aca="false">COUNTIFS('All relationships'!$G$2:$G$1227,$A14,'All relationships'!$B$2:$B$1227,"WPP",'All relationships'!$K$2:$K$1227,"&lt;&gt;Recently lost")</f>
        <v>1</v>
      </c>
      <c r="C14" s="6" t="n">
        <f aca="false">COUNTIFS('All relationships'!$G$2:$G$1227,$A14,'All relationships'!$B$2:$B$1227,"Publicis",'All relationships'!$K$2:$K$1227,"&lt;&gt;Recently lost")</f>
        <v>0</v>
      </c>
      <c r="D14" s="6" t="n">
        <f aca="false">COUNTIFS('All relationships'!$G$2:$G$1227,$A14,'All relationships'!$B$2:$B$1227,"Omnicom",'All relationships'!$K$2:$K$1227,"&lt;&gt;Recently lost")</f>
        <v>3</v>
      </c>
      <c r="E14" s="6" t="n">
        <f aca="false">COUNTIFS('All relationships'!$G$2:$G$1227,$A14,'All relationships'!$B$2:$B$1227,"Dentsu",'All relationships'!$K$2:$K$1227,"&lt;&gt;Recently lost")</f>
        <v>0</v>
      </c>
      <c r="F14" s="6" t="n">
        <f aca="false">COUNTIFS('All relationships'!$G$2:$G$1227,$A14,'All relationships'!$B$2:$B$1227,"Havas",'All relationships'!$K$2:$K$1227,"&lt;&gt;Recently lost")</f>
        <v>0</v>
      </c>
      <c r="G14" s="6" t="n">
        <f aca="false">COUNTIFS('All relationships'!$G$2:$G$1227,$A14,'All relationships'!$B$2:$B$1227,"Cheil",'All relationships'!$K$2:$K$1227,"&lt;&gt;Recently lost")</f>
        <v>0</v>
      </c>
      <c r="H14" s="6" t="n">
        <f aca="false">COUNTIFS('All relationships'!$G$2:$G$1227,$A14,'All relationships'!$B$2:$B$1227,"Hakuhodo",'All relationships'!$K$2:$K$1227,"&lt;&gt;Recently lost")</f>
        <v>0</v>
      </c>
      <c r="I14" s="6" t="n">
        <f aca="false">COUNTIFS('All relationships'!$G$2:$G$1227,$A14,'All relationships'!$B$2:$B$1227,"Independent",'All relationships'!$K$2:$K$1227,"&lt;&gt;Recently lost")</f>
        <v>1</v>
      </c>
      <c r="J14" s="6" t="n">
        <f aca="false">COUNTIFS('All relationships'!$G$2:$G$1227,$A14,'All relationships'!$B$2:$B$1227,"Other",'All relationships'!$K$2:$K$1227,"&lt;&gt;Recently lost")</f>
        <v>0</v>
      </c>
      <c r="K14" s="6" t="n">
        <f aca="false">COUNTIFS('All relationships'!$G$2:$G$1227,$A14,'All relationships'!$B$2:$B$1227,"Unknown",'All relationships'!$K$2:$K$1227,"&lt;&gt;Recently lost")</f>
        <v>3</v>
      </c>
      <c r="L14" s="7" t="n">
        <f aca="false">SUM(B14:K14)</f>
        <v>8</v>
      </c>
    </row>
    <row r="15" customFormat="false" ht="15" hidden="false" customHeight="false" outlineLevel="0" collapsed="false">
      <c r="A15" s="7" t="s">
        <v>1583</v>
      </c>
      <c r="B15" s="6" t="n">
        <f aca="false">COUNTIFS('All relationships'!$G$2:$G$1227,$A15,'All relationships'!$B$2:$B$1227,"WPP",'All relationships'!$K$2:$K$1227,"&lt;&gt;Recently lost")</f>
        <v>2</v>
      </c>
      <c r="C15" s="6" t="n">
        <f aca="false">COUNTIFS('All relationships'!$G$2:$G$1227,$A15,'All relationships'!$B$2:$B$1227,"Publicis",'All relationships'!$K$2:$K$1227,"&lt;&gt;Recently lost")</f>
        <v>9</v>
      </c>
      <c r="D15" s="6" t="n">
        <f aca="false">COUNTIFS('All relationships'!$G$2:$G$1227,$A15,'All relationships'!$B$2:$B$1227,"Omnicom",'All relationships'!$K$2:$K$1227,"&lt;&gt;Recently lost")</f>
        <v>14</v>
      </c>
      <c r="E15" s="6" t="n">
        <f aca="false">COUNTIFS('All relationships'!$G$2:$G$1227,$A15,'All relationships'!$B$2:$B$1227,"Dentsu",'All relationships'!$K$2:$K$1227,"&lt;&gt;Recently lost")</f>
        <v>6</v>
      </c>
      <c r="F15" s="6" t="n">
        <f aca="false">COUNTIFS('All relationships'!$G$2:$G$1227,$A15,'All relationships'!$B$2:$B$1227,"Havas",'All relationships'!$K$2:$K$1227,"&lt;&gt;Recently lost")</f>
        <v>1</v>
      </c>
      <c r="G15" s="6" t="n">
        <f aca="false">COUNTIFS('All relationships'!$G$2:$G$1227,$A15,'All relationships'!$B$2:$B$1227,"Cheil",'All relationships'!$K$2:$K$1227,"&lt;&gt;Recently lost")</f>
        <v>2</v>
      </c>
      <c r="H15" s="6" t="n">
        <f aca="false">COUNTIFS('All relationships'!$G$2:$G$1227,$A15,'All relationships'!$B$2:$B$1227,"Hakuhodo",'All relationships'!$K$2:$K$1227,"&lt;&gt;Recently lost")</f>
        <v>0</v>
      </c>
      <c r="I15" s="6" t="n">
        <f aca="false">COUNTIFS('All relationships'!$G$2:$G$1227,$A15,'All relationships'!$B$2:$B$1227,"Independent",'All relationships'!$K$2:$K$1227,"&lt;&gt;Recently lost")</f>
        <v>35</v>
      </c>
      <c r="J15" s="6" t="n">
        <f aca="false">COUNTIFS('All relationships'!$G$2:$G$1227,$A15,'All relationships'!$B$2:$B$1227,"Other",'All relationships'!$K$2:$K$1227,"&lt;&gt;Recently lost")</f>
        <v>0</v>
      </c>
      <c r="K15" s="6" t="n">
        <f aca="false">COUNTIFS('All relationships'!$G$2:$G$1227,$A15,'All relationships'!$B$2:$B$1227,"Unknown",'All relationships'!$K$2:$K$1227,"&lt;&gt;Recently lost")</f>
        <v>10</v>
      </c>
      <c r="L15" s="7" t="n">
        <f aca="false">SUM(B15:K15)</f>
        <v>79</v>
      </c>
    </row>
    <row r="16" customFormat="false" ht="15" hidden="false" customHeight="false" outlineLevel="0" collapsed="false">
      <c r="A16" s="7" t="s">
        <v>3000</v>
      </c>
      <c r="B16" s="6" t="n">
        <f aca="false">COUNTIFS('All relationships'!$G$2:$G$1227,$A16,'All relationships'!$B$2:$B$1227,"WPP",'All relationships'!$K$2:$K$1227,"&lt;&gt;Recently lost")</f>
        <v>1</v>
      </c>
      <c r="C16" s="6" t="n">
        <f aca="false">COUNTIFS('All relationships'!$G$2:$G$1227,$A16,'All relationships'!$B$2:$B$1227,"Publicis",'All relationships'!$K$2:$K$1227,"&lt;&gt;Recently lost")</f>
        <v>4</v>
      </c>
      <c r="D16" s="6" t="n">
        <f aca="false">COUNTIFS('All relationships'!$G$2:$G$1227,$A16,'All relationships'!$B$2:$B$1227,"Omnicom",'All relationships'!$K$2:$K$1227,"&lt;&gt;Recently lost")</f>
        <v>5</v>
      </c>
      <c r="E16" s="6" t="n">
        <f aca="false">COUNTIFS('All relationships'!$G$2:$G$1227,$A16,'All relationships'!$B$2:$B$1227,"Dentsu",'All relationships'!$K$2:$K$1227,"&lt;&gt;Recently lost")</f>
        <v>1</v>
      </c>
      <c r="F16" s="6" t="n">
        <f aca="false">COUNTIFS('All relationships'!$G$2:$G$1227,$A16,'All relationships'!$B$2:$B$1227,"Havas",'All relationships'!$K$2:$K$1227,"&lt;&gt;Recently lost")</f>
        <v>0</v>
      </c>
      <c r="G16" s="6" t="n">
        <f aca="false">COUNTIFS('All relationships'!$G$2:$G$1227,$A16,'All relationships'!$B$2:$B$1227,"Cheil",'All relationships'!$K$2:$K$1227,"&lt;&gt;Recently lost")</f>
        <v>0</v>
      </c>
      <c r="H16" s="6" t="n">
        <f aca="false">COUNTIFS('All relationships'!$G$2:$G$1227,$A16,'All relationships'!$B$2:$B$1227,"Hakuhodo",'All relationships'!$K$2:$K$1227,"&lt;&gt;Recently lost")</f>
        <v>0</v>
      </c>
      <c r="I16" s="6" t="n">
        <f aca="false">COUNTIFS('All relationships'!$G$2:$G$1227,$A16,'All relationships'!$B$2:$B$1227,"Independent",'All relationships'!$K$2:$K$1227,"&lt;&gt;Recently lost")</f>
        <v>9</v>
      </c>
      <c r="J16" s="6" t="n">
        <f aca="false">COUNTIFS('All relationships'!$G$2:$G$1227,$A16,'All relationships'!$B$2:$B$1227,"Other",'All relationships'!$K$2:$K$1227,"&lt;&gt;Recently lost")</f>
        <v>0</v>
      </c>
      <c r="K16" s="6" t="n">
        <f aca="false">COUNTIFS('All relationships'!$G$2:$G$1227,$A16,'All relationships'!$B$2:$B$1227,"Unknown",'All relationships'!$K$2:$K$1227,"&lt;&gt;Recently lost")</f>
        <v>2</v>
      </c>
      <c r="L16" s="7" t="n">
        <f aca="false">SUM(B16:K16)</f>
        <v>22</v>
      </c>
    </row>
    <row r="17" customFormat="false" ht="15" hidden="false" customHeight="false" outlineLevel="0" collapsed="false">
      <c r="A17" s="7" t="s">
        <v>1598</v>
      </c>
      <c r="B17" s="6" t="n">
        <f aca="false">COUNTIFS('All relationships'!$G$2:$G$1227,$A17,'All relationships'!$B$2:$B$1227,"WPP",'All relationships'!$K$2:$K$1227,"&lt;&gt;Recently lost")</f>
        <v>25</v>
      </c>
      <c r="C17" s="6" t="n">
        <f aca="false">COUNTIFS('All relationships'!$G$2:$G$1227,$A17,'All relationships'!$B$2:$B$1227,"Publicis",'All relationships'!$K$2:$K$1227,"&lt;&gt;Recently lost")</f>
        <v>10</v>
      </c>
      <c r="D17" s="6" t="n">
        <f aca="false">COUNTIFS('All relationships'!$G$2:$G$1227,$A17,'All relationships'!$B$2:$B$1227,"Omnicom",'All relationships'!$K$2:$K$1227,"&lt;&gt;Recently lost")</f>
        <v>32</v>
      </c>
      <c r="E17" s="6" t="n">
        <f aca="false">COUNTIFS('All relationships'!$G$2:$G$1227,$A17,'All relationships'!$B$2:$B$1227,"Dentsu",'All relationships'!$K$2:$K$1227,"&lt;&gt;Recently lost")</f>
        <v>8</v>
      </c>
      <c r="F17" s="6" t="n">
        <f aca="false">COUNTIFS('All relationships'!$G$2:$G$1227,$A17,'All relationships'!$B$2:$B$1227,"Havas",'All relationships'!$K$2:$K$1227,"&lt;&gt;Recently lost")</f>
        <v>4</v>
      </c>
      <c r="G17" s="6" t="n">
        <f aca="false">COUNTIFS('All relationships'!$G$2:$G$1227,$A17,'All relationships'!$B$2:$B$1227,"Cheil",'All relationships'!$K$2:$K$1227,"&lt;&gt;Recently lost")</f>
        <v>3</v>
      </c>
      <c r="H17" s="6" t="n">
        <f aca="false">COUNTIFS('All relationships'!$G$2:$G$1227,$A17,'All relationships'!$B$2:$B$1227,"Hakuhodo",'All relationships'!$K$2:$K$1227,"&lt;&gt;Recently lost")</f>
        <v>0</v>
      </c>
      <c r="I17" s="6" t="n">
        <f aca="false">COUNTIFS('All relationships'!$G$2:$G$1227,$A17,'All relationships'!$B$2:$B$1227,"Independent",'All relationships'!$K$2:$K$1227,"&lt;&gt;Recently lost")</f>
        <v>41</v>
      </c>
      <c r="J17" s="6" t="n">
        <f aca="false">COUNTIFS('All relationships'!$G$2:$G$1227,$A17,'All relationships'!$B$2:$B$1227,"Other",'All relationships'!$K$2:$K$1227,"&lt;&gt;Recently lost")</f>
        <v>0</v>
      </c>
      <c r="K17" s="6" t="n">
        <f aca="false">COUNTIFS('All relationships'!$G$2:$G$1227,$A17,'All relationships'!$B$2:$B$1227,"Unknown",'All relationships'!$K$2:$K$1227,"&lt;&gt;Recently lost")</f>
        <v>4</v>
      </c>
      <c r="L17" s="7" t="n">
        <f aca="false">SUM(B17:K17)</f>
        <v>127</v>
      </c>
    </row>
    <row r="18" customFormat="false" ht="15" hidden="false" customHeight="false" outlineLevel="0" collapsed="false">
      <c r="A18" s="7" t="s">
        <v>1644</v>
      </c>
      <c r="B18" s="6" t="n">
        <f aca="false">COUNTIFS('All relationships'!$G$2:$G$1227,$A18,'All relationships'!$B$2:$B$1227,"WPP",'All relationships'!$K$2:$K$1227,"&lt;&gt;Recently lost")</f>
        <v>2</v>
      </c>
      <c r="C18" s="6" t="n">
        <f aca="false">COUNTIFS('All relationships'!$G$2:$G$1227,$A18,'All relationships'!$B$2:$B$1227,"Publicis",'All relationships'!$K$2:$K$1227,"&lt;&gt;Recently lost")</f>
        <v>4</v>
      </c>
      <c r="D18" s="6" t="n">
        <f aca="false">COUNTIFS('All relationships'!$G$2:$G$1227,$A18,'All relationships'!$B$2:$B$1227,"Omnicom",'All relationships'!$K$2:$K$1227,"&lt;&gt;Recently lost")</f>
        <v>7</v>
      </c>
      <c r="E18" s="6" t="n">
        <f aca="false">COUNTIFS('All relationships'!$G$2:$G$1227,$A18,'All relationships'!$B$2:$B$1227,"Dentsu",'All relationships'!$K$2:$K$1227,"&lt;&gt;Recently lost")</f>
        <v>1</v>
      </c>
      <c r="F18" s="6" t="n">
        <f aca="false">COUNTIFS('All relationships'!$G$2:$G$1227,$A18,'All relationships'!$B$2:$B$1227,"Havas",'All relationships'!$K$2:$K$1227,"&lt;&gt;Recently lost")</f>
        <v>1</v>
      </c>
      <c r="G18" s="6" t="n">
        <f aca="false">COUNTIFS('All relationships'!$G$2:$G$1227,$A18,'All relationships'!$B$2:$B$1227,"Cheil",'All relationships'!$K$2:$K$1227,"&lt;&gt;Recently lost")</f>
        <v>0</v>
      </c>
      <c r="H18" s="6" t="n">
        <f aca="false">COUNTIFS('All relationships'!$G$2:$G$1227,$A18,'All relationships'!$B$2:$B$1227,"Hakuhodo",'All relationships'!$K$2:$K$1227,"&lt;&gt;Recently lost")</f>
        <v>0</v>
      </c>
      <c r="I18" s="6" t="n">
        <f aca="false">COUNTIFS('All relationships'!$G$2:$G$1227,$A18,'All relationships'!$B$2:$B$1227,"Independent",'All relationships'!$K$2:$K$1227,"&lt;&gt;Recently lost")</f>
        <v>17</v>
      </c>
      <c r="J18" s="6" t="n">
        <f aca="false">COUNTIFS('All relationships'!$G$2:$G$1227,$A18,'All relationships'!$B$2:$B$1227,"Other",'All relationships'!$K$2:$K$1227,"&lt;&gt;Recently lost")</f>
        <v>0</v>
      </c>
      <c r="K18" s="6" t="n">
        <f aca="false">COUNTIFS('All relationships'!$G$2:$G$1227,$A18,'All relationships'!$B$2:$B$1227,"Unknown",'All relationships'!$K$2:$K$1227,"&lt;&gt;Recently lost")</f>
        <v>1</v>
      </c>
      <c r="L18" s="7" t="n">
        <f aca="false">SUM(B18:K18)</f>
        <v>33</v>
      </c>
    </row>
    <row r="19" customFormat="false" ht="15" hidden="false" customHeight="false" outlineLevel="0" collapsed="false">
      <c r="A19" s="7" t="s">
        <v>2312</v>
      </c>
      <c r="B19" s="6" t="n">
        <f aca="false">COUNTIFS('All relationships'!$G$2:$G$1227,$A19,'All relationships'!$B$2:$B$1227,"WPP",'All relationships'!$K$2:$K$1227,"&lt;&gt;Recently lost")</f>
        <v>5</v>
      </c>
      <c r="C19" s="6" t="n">
        <f aca="false">COUNTIFS('All relationships'!$G$2:$G$1227,$A19,'All relationships'!$B$2:$B$1227,"Publicis",'All relationships'!$K$2:$K$1227,"&lt;&gt;Recently lost")</f>
        <v>0</v>
      </c>
      <c r="D19" s="6" t="n">
        <f aca="false">COUNTIFS('All relationships'!$G$2:$G$1227,$A19,'All relationships'!$B$2:$B$1227,"Omnicom",'All relationships'!$K$2:$K$1227,"&lt;&gt;Recently lost")</f>
        <v>12</v>
      </c>
      <c r="E19" s="6" t="n">
        <f aca="false">COUNTIFS('All relationships'!$G$2:$G$1227,$A19,'All relationships'!$B$2:$B$1227,"Dentsu",'All relationships'!$K$2:$K$1227,"&lt;&gt;Recently lost")</f>
        <v>1</v>
      </c>
      <c r="F19" s="6" t="n">
        <f aca="false">COUNTIFS('All relationships'!$G$2:$G$1227,$A19,'All relationships'!$B$2:$B$1227,"Havas",'All relationships'!$K$2:$K$1227,"&lt;&gt;Recently lost")</f>
        <v>1</v>
      </c>
      <c r="G19" s="6" t="n">
        <f aca="false">COUNTIFS('All relationships'!$G$2:$G$1227,$A19,'All relationships'!$B$2:$B$1227,"Cheil",'All relationships'!$K$2:$K$1227,"&lt;&gt;Recently lost")</f>
        <v>0</v>
      </c>
      <c r="H19" s="6" t="n">
        <f aca="false">COUNTIFS('All relationships'!$G$2:$G$1227,$A19,'All relationships'!$B$2:$B$1227,"Hakuhodo",'All relationships'!$K$2:$K$1227,"&lt;&gt;Recently lost")</f>
        <v>1</v>
      </c>
      <c r="I19" s="6" t="n">
        <f aca="false">COUNTIFS('All relationships'!$G$2:$G$1227,$A19,'All relationships'!$B$2:$B$1227,"Independent",'All relationships'!$K$2:$K$1227,"&lt;&gt;Recently lost")</f>
        <v>14</v>
      </c>
      <c r="J19" s="6" t="n">
        <f aca="false">COUNTIFS('All relationships'!$G$2:$G$1227,$A19,'All relationships'!$B$2:$B$1227,"Other",'All relationships'!$K$2:$K$1227,"&lt;&gt;Recently lost")</f>
        <v>0</v>
      </c>
      <c r="K19" s="6" t="n">
        <f aca="false">COUNTIFS('All relationships'!$G$2:$G$1227,$A19,'All relationships'!$B$2:$B$1227,"Unknown",'All relationships'!$K$2:$K$1227,"&lt;&gt;Recently lost")</f>
        <v>1</v>
      </c>
      <c r="L19" s="7" t="n">
        <f aca="false">SUM(B19:K19)</f>
        <v>35</v>
      </c>
    </row>
    <row r="20" customFormat="false" ht="15" hidden="false" customHeight="false" outlineLevel="0" collapsed="false">
      <c r="A20" s="7" t="s">
        <v>1215</v>
      </c>
      <c r="B20" s="6" t="n">
        <f aca="false">COUNTIFS('All relationships'!$G$2:$G$1227,$A20,'All relationships'!$B$2:$B$1227,"WPP",'All relationships'!$K$2:$K$1227,"&lt;&gt;Recently lost")</f>
        <v>18</v>
      </c>
      <c r="C20" s="6" t="n">
        <f aca="false">COUNTIFS('All relationships'!$G$2:$G$1227,$A20,'All relationships'!$B$2:$B$1227,"Publicis",'All relationships'!$K$2:$K$1227,"&lt;&gt;Recently lost")</f>
        <v>13</v>
      </c>
      <c r="D20" s="6" t="n">
        <f aca="false">COUNTIFS('All relationships'!$G$2:$G$1227,$A20,'All relationships'!$B$2:$B$1227,"Omnicom",'All relationships'!$K$2:$K$1227,"&lt;&gt;Recently lost")</f>
        <v>29</v>
      </c>
      <c r="E20" s="6" t="n">
        <f aca="false">COUNTIFS('All relationships'!$G$2:$G$1227,$A20,'All relationships'!$B$2:$B$1227,"Dentsu",'All relationships'!$K$2:$K$1227,"&lt;&gt;Recently lost")</f>
        <v>3</v>
      </c>
      <c r="F20" s="6" t="n">
        <f aca="false">COUNTIFS('All relationships'!$G$2:$G$1227,$A20,'All relationships'!$B$2:$B$1227,"Havas",'All relationships'!$K$2:$K$1227,"&lt;&gt;Recently lost")</f>
        <v>1</v>
      </c>
      <c r="G20" s="6" t="n">
        <f aca="false">COUNTIFS('All relationships'!$G$2:$G$1227,$A20,'All relationships'!$B$2:$B$1227,"Cheil",'All relationships'!$K$2:$K$1227,"&lt;&gt;Recently lost")</f>
        <v>1</v>
      </c>
      <c r="H20" s="6" t="n">
        <f aca="false">COUNTIFS('All relationships'!$G$2:$G$1227,$A20,'All relationships'!$B$2:$B$1227,"Hakuhodo",'All relationships'!$K$2:$K$1227,"&lt;&gt;Recently lost")</f>
        <v>1</v>
      </c>
      <c r="I20" s="6" t="n">
        <f aca="false">COUNTIFS('All relationships'!$G$2:$G$1227,$A20,'All relationships'!$B$2:$B$1227,"Independent",'All relationships'!$K$2:$K$1227,"&lt;&gt;Recently lost")</f>
        <v>19</v>
      </c>
      <c r="J20" s="6" t="n">
        <f aca="false">COUNTIFS('All relationships'!$G$2:$G$1227,$A20,'All relationships'!$B$2:$B$1227,"Other",'All relationships'!$K$2:$K$1227,"&lt;&gt;Recently lost")</f>
        <v>0</v>
      </c>
      <c r="K20" s="6" t="n">
        <f aca="false">COUNTIFS('All relationships'!$G$2:$G$1227,$A20,'All relationships'!$B$2:$B$1227,"Unknown",'All relationships'!$K$2:$K$1227,"&lt;&gt;Recently lost")</f>
        <v>3</v>
      </c>
      <c r="L20" s="7" t="n">
        <f aca="false">SUM(B20:K20)</f>
        <v>88</v>
      </c>
    </row>
    <row r="21" customFormat="false" ht="15" hidden="false" customHeight="false" outlineLevel="0" collapsed="false">
      <c r="A21" s="7" t="s">
        <v>2284</v>
      </c>
      <c r="B21" s="6" t="n">
        <f aca="false">COUNTIFS('All relationships'!$G$2:$G$1227,$A21,'All relationships'!$B$2:$B$1227,"WPP",'All relationships'!$K$2:$K$1227,"&lt;&gt;Recently lost")</f>
        <v>0</v>
      </c>
      <c r="C21" s="6" t="n">
        <f aca="false">COUNTIFS('All relationships'!$G$2:$G$1227,$A21,'All relationships'!$B$2:$B$1227,"Publicis",'All relationships'!$K$2:$K$1227,"&lt;&gt;Recently lost")</f>
        <v>4</v>
      </c>
      <c r="D21" s="6" t="n">
        <f aca="false">COUNTIFS('All relationships'!$G$2:$G$1227,$A21,'All relationships'!$B$2:$B$1227,"Omnicom",'All relationships'!$K$2:$K$1227,"&lt;&gt;Recently lost")</f>
        <v>2</v>
      </c>
      <c r="E21" s="6" t="n">
        <f aca="false">COUNTIFS('All relationships'!$G$2:$G$1227,$A21,'All relationships'!$B$2:$B$1227,"Dentsu",'All relationships'!$K$2:$K$1227,"&lt;&gt;Recently lost")</f>
        <v>0</v>
      </c>
      <c r="F21" s="6" t="n">
        <f aca="false">COUNTIFS('All relationships'!$G$2:$G$1227,$A21,'All relationships'!$B$2:$B$1227,"Havas",'All relationships'!$K$2:$K$1227,"&lt;&gt;Recently lost")</f>
        <v>2</v>
      </c>
      <c r="G21" s="6" t="n">
        <f aca="false">COUNTIFS('All relationships'!$G$2:$G$1227,$A21,'All relationships'!$B$2:$B$1227,"Cheil",'All relationships'!$K$2:$K$1227,"&lt;&gt;Recently lost")</f>
        <v>1</v>
      </c>
      <c r="H21" s="6" t="n">
        <f aca="false">COUNTIFS('All relationships'!$G$2:$G$1227,$A21,'All relationships'!$B$2:$B$1227,"Hakuhodo",'All relationships'!$K$2:$K$1227,"&lt;&gt;Recently lost")</f>
        <v>0</v>
      </c>
      <c r="I21" s="6" t="n">
        <f aca="false">COUNTIFS('All relationships'!$G$2:$G$1227,$A21,'All relationships'!$B$2:$B$1227,"Independent",'All relationships'!$K$2:$K$1227,"&lt;&gt;Recently lost")</f>
        <v>7</v>
      </c>
      <c r="J21" s="6" t="n">
        <f aca="false">COUNTIFS('All relationships'!$G$2:$G$1227,$A21,'All relationships'!$B$2:$B$1227,"Other",'All relationships'!$K$2:$K$1227,"&lt;&gt;Recently lost")</f>
        <v>0</v>
      </c>
      <c r="K21" s="6" t="n">
        <f aca="false">COUNTIFS('All relationships'!$G$2:$G$1227,$A21,'All relationships'!$B$2:$B$1227,"Unknown",'All relationships'!$K$2:$K$1227,"&lt;&gt;Recently lost")</f>
        <v>0</v>
      </c>
      <c r="L21" s="7" t="n">
        <f aca="false">SUM(B21:K21)</f>
        <v>16</v>
      </c>
    </row>
    <row r="22" customFormat="false" ht="15" hidden="false" customHeight="false" outlineLevel="0" collapsed="false">
      <c r="A22" s="7" t="s">
        <v>5347</v>
      </c>
      <c r="B22" s="7" t="n">
        <f aca="false">SUM(B4:B21)</f>
        <v>110</v>
      </c>
      <c r="C22" s="7" t="n">
        <f aca="false">SUM(C4:C21)</f>
        <v>81</v>
      </c>
      <c r="D22" s="7" t="n">
        <f aca="false">SUM(D4:D21)</f>
        <v>227</v>
      </c>
      <c r="E22" s="7" t="n">
        <f aca="false">SUM(E4:E21)</f>
        <v>47</v>
      </c>
      <c r="F22" s="7" t="n">
        <f aca="false">SUM(F4:F21)</f>
        <v>23</v>
      </c>
      <c r="G22" s="7" t="n">
        <f aca="false">SUM(G4:G21)</f>
        <v>18</v>
      </c>
      <c r="H22" s="7" t="n">
        <f aca="false">SUM(H4:H21)</f>
        <v>15</v>
      </c>
      <c r="I22" s="7" t="n">
        <f aca="false">SUM(I4:I21)</f>
        <v>448</v>
      </c>
      <c r="J22" s="7" t="n">
        <f aca="false">SUM(J4:J21)</f>
        <v>6</v>
      </c>
      <c r="K22" s="7" t="n">
        <f aca="false">SUM(K4:K21)</f>
        <v>213</v>
      </c>
      <c r="L22" s="7" t="n">
        <f aca="false">SUM(L4:L21)</f>
        <v>1188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3"/>
    <col collapsed="false" customWidth="true" hidden="false" outlineLevel="0" max="3" min="3" style="0" width="20"/>
    <col collapsed="false" customWidth="true" hidden="false" outlineLevel="0" max="5" min="4" style="0" width="30"/>
    <col collapsed="false" customWidth="true" hidden="false" outlineLevel="0" max="6" min="6" style="0" width="24"/>
    <col collapsed="false" customWidth="true" hidden="false" outlineLevel="0" max="7" min="7" style="0" width="22"/>
    <col collapsed="false" customWidth="true" hidden="false" outlineLevel="0" max="8" min="8" style="0" width="10"/>
    <col collapsed="false" customWidth="true" hidden="false" outlineLevel="0" max="9" min="9" style="0" width="12"/>
    <col collapsed="false" customWidth="true" hidden="false" outlineLevel="0" max="10" min="10" style="0" width="9"/>
    <col collapsed="false" customWidth="true" hidden="false" outlineLevel="0" max="11" min="11" style="0" width="13"/>
    <col collapsed="false" customWidth="true" hidden="false" outlineLevel="0" max="12" min="12" style="0" width="60"/>
    <col collapsed="false" customWidth="true" hidden="false" outlineLevel="0" max="13" min="13" style="0" width="50"/>
    <col collapsed="false" customWidth="true" hidden="false" outlineLevel="0" max="14" min="14" style="0" width="45"/>
    <col collapsed="false" customWidth="true" hidden="false" outlineLevel="0" max="15" min="15" style="0" width="10"/>
    <col collapsed="false" customWidth="true" hidden="false" outlineLevel="0" max="16" min="16" style="0" width="11"/>
    <col collapsed="false" customWidth="true" hidden="false" outlineLevel="0" max="17" min="17" style="0" width="28"/>
    <col collapsed="false" customWidth="true" hidden="false" outlineLevel="0" max="18" min="18" style="0" width="14"/>
  </cols>
  <sheetData>
    <row r="1" customFormat="false" ht="30" hidden="false" customHeight="true" outlineLevel="0" collapsed="false">
      <c r="A1" s="5" t="s">
        <v>4839</v>
      </c>
      <c r="B1" s="5" t="s">
        <v>5348</v>
      </c>
      <c r="C1" s="5" t="s">
        <v>5349</v>
      </c>
      <c r="D1" s="5" t="s">
        <v>54</v>
      </c>
      <c r="E1" s="5" t="s">
        <v>5350</v>
      </c>
      <c r="F1" s="5" t="s">
        <v>62</v>
      </c>
      <c r="G1" s="5" t="s">
        <v>60</v>
      </c>
      <c r="H1" s="5" t="s">
        <v>61</v>
      </c>
      <c r="I1" s="5" t="s">
        <v>4670</v>
      </c>
      <c r="J1" s="5" t="s">
        <v>5351</v>
      </c>
      <c r="K1" s="5" t="s">
        <v>29</v>
      </c>
      <c r="L1" s="5" t="s">
        <v>4671</v>
      </c>
      <c r="M1" s="5" t="s">
        <v>66</v>
      </c>
      <c r="N1" s="5" t="s">
        <v>4672</v>
      </c>
      <c r="O1" s="5" t="s">
        <v>5352</v>
      </c>
      <c r="P1" s="5" t="s">
        <v>31</v>
      </c>
      <c r="Q1" s="5" t="s">
        <v>5353</v>
      </c>
      <c r="R1" s="5" t="s">
        <v>5354</v>
      </c>
    </row>
    <row r="2" customFormat="false" ht="46.25" hidden="false" customHeight="false" outlineLevel="0" collapsed="false">
      <c r="A2" s="6" t="s">
        <v>4866</v>
      </c>
      <c r="B2" s="6" t="s">
        <v>167</v>
      </c>
      <c r="C2" s="6" t="s">
        <v>4682</v>
      </c>
      <c r="D2" s="6" t="s">
        <v>947</v>
      </c>
      <c r="E2" s="6" t="s">
        <v>5355</v>
      </c>
      <c r="F2" s="6" t="s">
        <v>948</v>
      </c>
      <c r="G2" s="6" t="s">
        <v>90</v>
      </c>
      <c r="H2" s="6" t="s">
        <v>77</v>
      </c>
      <c r="I2" s="6" t="s">
        <v>4682</v>
      </c>
      <c r="J2" s="6" t="s">
        <v>130</v>
      </c>
      <c r="K2" s="6" t="s">
        <v>4675</v>
      </c>
      <c r="L2" s="2" t="s">
        <v>952</v>
      </c>
      <c r="M2" s="2" t="s">
        <v>951</v>
      </c>
      <c r="N2" s="9" t="s">
        <v>953</v>
      </c>
      <c r="O2" s="6" t="s">
        <v>130</v>
      </c>
      <c r="P2" s="6" t="s">
        <v>85</v>
      </c>
      <c r="Q2" s="6" t="s">
        <v>5356</v>
      </c>
      <c r="R2" s="6" t="s">
        <v>5357</v>
      </c>
    </row>
    <row r="3" customFormat="false" ht="23.85" hidden="false" customHeight="false" outlineLevel="0" collapsed="false">
      <c r="A3" s="6" t="s">
        <v>4866</v>
      </c>
      <c r="B3" s="6" t="s">
        <v>167</v>
      </c>
      <c r="C3" s="6" t="s">
        <v>4682</v>
      </c>
      <c r="D3" s="6" t="s">
        <v>173</v>
      </c>
      <c r="E3" s="6" t="s">
        <v>173</v>
      </c>
      <c r="F3" s="6" t="s">
        <v>174</v>
      </c>
      <c r="G3" s="6" t="s">
        <v>153</v>
      </c>
      <c r="H3" s="6" t="s">
        <v>77</v>
      </c>
      <c r="I3" s="6" t="s">
        <v>4682</v>
      </c>
      <c r="J3" s="6" t="s">
        <v>967</v>
      </c>
      <c r="K3" s="6" t="s">
        <v>4790</v>
      </c>
      <c r="L3" s="2" t="s">
        <v>5358</v>
      </c>
      <c r="M3" s="2" t="s">
        <v>1749</v>
      </c>
      <c r="N3" s="9" t="s">
        <v>179</v>
      </c>
      <c r="O3" s="6" t="s">
        <v>967</v>
      </c>
      <c r="P3" s="6" t="s">
        <v>85</v>
      </c>
      <c r="Q3" s="6" t="s">
        <v>5359</v>
      </c>
      <c r="R3" s="6" t="s">
        <v>167</v>
      </c>
    </row>
    <row r="4" customFormat="false" ht="23.85" hidden="false" customHeight="false" outlineLevel="0" collapsed="false">
      <c r="A4" s="6" t="s">
        <v>4866</v>
      </c>
      <c r="B4" s="6" t="s">
        <v>167</v>
      </c>
      <c r="C4" s="6" t="s">
        <v>4682</v>
      </c>
      <c r="D4" s="6" t="s">
        <v>1574</v>
      </c>
      <c r="E4" s="6" t="s">
        <v>1574</v>
      </c>
      <c r="F4" s="6" t="s">
        <v>1575</v>
      </c>
      <c r="G4" s="6" t="s">
        <v>1215</v>
      </c>
      <c r="H4" s="6" t="s">
        <v>287</v>
      </c>
      <c r="I4" s="6" t="s">
        <v>4682</v>
      </c>
      <c r="J4" s="6" t="s">
        <v>511</v>
      </c>
      <c r="K4" s="6" t="s">
        <v>4790</v>
      </c>
      <c r="L4" s="2" t="s">
        <v>5360</v>
      </c>
      <c r="M4" s="2" t="s">
        <v>1749</v>
      </c>
      <c r="N4" s="9" t="s">
        <v>1581</v>
      </c>
      <c r="O4" s="6" t="s">
        <v>511</v>
      </c>
      <c r="P4" s="6" t="s">
        <v>85</v>
      </c>
      <c r="Q4" s="6" t="s">
        <v>5359</v>
      </c>
      <c r="R4" s="6" t="s">
        <v>167</v>
      </c>
    </row>
    <row r="5" customFormat="false" ht="23.85" hidden="false" customHeight="false" outlineLevel="0" collapsed="false">
      <c r="A5" s="6" t="s">
        <v>4866</v>
      </c>
      <c r="B5" s="6" t="s">
        <v>167</v>
      </c>
      <c r="C5" s="6" t="s">
        <v>4682</v>
      </c>
      <c r="D5" s="6" t="s">
        <v>1205</v>
      </c>
      <c r="E5" s="6" t="s">
        <v>1205</v>
      </c>
      <c r="F5" s="6" t="s">
        <v>1206</v>
      </c>
      <c r="G5" s="6" t="s">
        <v>153</v>
      </c>
      <c r="H5" s="6" t="s">
        <v>287</v>
      </c>
      <c r="I5" s="6" t="s">
        <v>4682</v>
      </c>
      <c r="J5" s="6" t="s">
        <v>440</v>
      </c>
      <c r="K5" s="6" t="s">
        <v>4790</v>
      </c>
      <c r="L5" s="2" t="s">
        <v>1209</v>
      </c>
      <c r="M5" s="2" t="s">
        <v>5361</v>
      </c>
      <c r="N5" s="9" t="s">
        <v>1210</v>
      </c>
      <c r="O5" s="6" t="s">
        <v>440</v>
      </c>
      <c r="P5" s="6" t="s">
        <v>85</v>
      </c>
      <c r="Q5" s="6" t="s">
        <v>5356</v>
      </c>
      <c r="R5" s="6" t="s">
        <v>5357</v>
      </c>
    </row>
    <row r="6" customFormat="false" ht="15" hidden="false" customHeight="false" outlineLevel="0" collapsed="false">
      <c r="A6" s="6" t="s">
        <v>4866</v>
      </c>
      <c r="B6" s="6" t="s">
        <v>167</v>
      </c>
      <c r="C6" s="6" t="s">
        <v>4682</v>
      </c>
      <c r="D6" s="6" t="s">
        <v>1747</v>
      </c>
      <c r="E6" s="6" t="s">
        <v>1747</v>
      </c>
      <c r="F6" s="6" t="s">
        <v>1745</v>
      </c>
      <c r="G6" s="6" t="s">
        <v>507</v>
      </c>
      <c r="H6" s="6" t="s">
        <v>287</v>
      </c>
      <c r="I6" s="6" t="s">
        <v>4682</v>
      </c>
      <c r="J6" s="6" t="s">
        <v>324</v>
      </c>
      <c r="K6" s="6" t="s">
        <v>4790</v>
      </c>
      <c r="L6" s="2" t="s">
        <v>1750</v>
      </c>
      <c r="M6" s="2" t="s">
        <v>1749</v>
      </c>
      <c r="N6" s="9" t="s">
        <v>1751</v>
      </c>
      <c r="O6" s="6" t="s">
        <v>324</v>
      </c>
      <c r="P6" s="6" t="s">
        <v>85</v>
      </c>
      <c r="Q6" s="6" t="s">
        <v>5359</v>
      </c>
      <c r="R6" s="6" t="s">
        <v>167</v>
      </c>
    </row>
    <row r="7" customFormat="false" ht="15" hidden="false" customHeight="false" outlineLevel="0" collapsed="false">
      <c r="A7" s="6" t="s">
        <v>4866</v>
      </c>
      <c r="B7" s="6" t="s">
        <v>167</v>
      </c>
      <c r="C7" s="6" t="s">
        <v>4682</v>
      </c>
      <c r="D7" s="6" t="s">
        <v>2693</v>
      </c>
      <c r="E7" s="6" t="s">
        <v>2693</v>
      </c>
      <c r="F7" s="6" t="s">
        <v>5362</v>
      </c>
      <c r="G7" s="6" t="s">
        <v>1215</v>
      </c>
      <c r="H7" s="6" t="s">
        <v>1445</v>
      </c>
      <c r="I7" s="6" t="s">
        <v>4682</v>
      </c>
      <c r="J7" s="6" t="s">
        <v>1431</v>
      </c>
      <c r="K7" s="6" t="s">
        <v>4790</v>
      </c>
      <c r="L7" s="2" t="s">
        <v>2697</v>
      </c>
      <c r="M7" s="2" t="s">
        <v>1749</v>
      </c>
      <c r="N7" s="9" t="s">
        <v>2699</v>
      </c>
      <c r="O7" s="6" t="s">
        <v>1431</v>
      </c>
      <c r="P7" s="6" t="s">
        <v>85</v>
      </c>
      <c r="Q7" s="6" t="s">
        <v>5359</v>
      </c>
      <c r="R7" s="6" t="s">
        <v>167</v>
      </c>
    </row>
    <row r="8" customFormat="false" ht="68.65" hidden="false" customHeight="false" outlineLevel="0" collapsed="false">
      <c r="A8" s="6" t="s">
        <v>4859</v>
      </c>
      <c r="B8" s="6" t="s">
        <v>167</v>
      </c>
      <c r="C8" s="6" t="s">
        <v>4848</v>
      </c>
      <c r="D8" s="6" t="s">
        <v>152</v>
      </c>
      <c r="E8" s="6" t="s">
        <v>152</v>
      </c>
      <c r="F8" s="6" t="s">
        <v>154</v>
      </c>
      <c r="G8" s="6" t="s">
        <v>153</v>
      </c>
      <c r="H8" s="6" t="s">
        <v>77</v>
      </c>
      <c r="I8" s="6" t="s">
        <v>4680</v>
      </c>
      <c r="J8" s="6" t="s">
        <v>123</v>
      </c>
      <c r="K8" s="6" t="s">
        <v>4675</v>
      </c>
      <c r="L8" s="2" t="s">
        <v>159</v>
      </c>
      <c r="M8" s="2" t="s">
        <v>5363</v>
      </c>
      <c r="N8" s="9" t="s">
        <v>161</v>
      </c>
      <c r="O8" s="6" t="s">
        <v>123</v>
      </c>
      <c r="P8" s="6" t="s">
        <v>85</v>
      </c>
      <c r="Q8" s="6" t="s">
        <v>5364</v>
      </c>
      <c r="R8" s="6" t="s">
        <v>5357</v>
      </c>
    </row>
    <row r="9" customFormat="false" ht="23.85" hidden="false" customHeight="false" outlineLevel="0" collapsed="false">
      <c r="A9" s="6" t="s">
        <v>4859</v>
      </c>
      <c r="B9" s="6" t="s">
        <v>167</v>
      </c>
      <c r="C9" s="6" t="s">
        <v>4848</v>
      </c>
      <c r="D9" s="6" t="s">
        <v>2853</v>
      </c>
      <c r="E9" s="6" t="s">
        <v>2853</v>
      </c>
      <c r="F9" s="6" t="s">
        <v>2854</v>
      </c>
      <c r="G9" s="6" t="s">
        <v>507</v>
      </c>
      <c r="H9" s="6" t="s">
        <v>287</v>
      </c>
      <c r="I9" s="6" t="s">
        <v>4684</v>
      </c>
      <c r="J9" s="6" t="s">
        <v>5365</v>
      </c>
      <c r="K9" s="6" t="s">
        <v>4679</v>
      </c>
      <c r="L9" s="2" t="s">
        <v>2855</v>
      </c>
      <c r="M9" s="2" t="s">
        <v>2066</v>
      </c>
      <c r="N9" s="9" t="s">
        <v>2857</v>
      </c>
      <c r="O9" s="6" t="s">
        <v>2856</v>
      </c>
      <c r="P9" s="6" t="s">
        <v>106</v>
      </c>
      <c r="Q9" s="6" t="s">
        <v>5364</v>
      </c>
      <c r="R9" s="6" t="s">
        <v>167</v>
      </c>
    </row>
    <row r="10" customFormat="false" ht="23.85" hidden="false" customHeight="false" outlineLevel="0" collapsed="false">
      <c r="A10" s="6" t="s">
        <v>4859</v>
      </c>
      <c r="B10" s="6" t="s">
        <v>167</v>
      </c>
      <c r="C10" s="6" t="s">
        <v>4848</v>
      </c>
      <c r="D10" s="6" t="s">
        <v>799</v>
      </c>
      <c r="E10" s="6" t="s">
        <v>799</v>
      </c>
      <c r="F10" s="6" t="s">
        <v>800</v>
      </c>
      <c r="G10" s="6" t="s">
        <v>76</v>
      </c>
      <c r="H10" s="6" t="s">
        <v>287</v>
      </c>
      <c r="I10" s="6" t="s">
        <v>4684</v>
      </c>
      <c r="J10" s="6" t="s">
        <v>5366</v>
      </c>
      <c r="K10" s="6" t="s">
        <v>4679</v>
      </c>
      <c r="L10" s="2" t="s">
        <v>804</v>
      </c>
      <c r="M10" s="2" t="s">
        <v>803</v>
      </c>
      <c r="N10" s="9" t="s">
        <v>805</v>
      </c>
      <c r="O10" s="6" t="s">
        <v>341</v>
      </c>
      <c r="P10" s="6" t="s">
        <v>106</v>
      </c>
      <c r="Q10" s="6" t="s">
        <v>5367</v>
      </c>
      <c r="R10" s="6" t="s">
        <v>5368</v>
      </c>
    </row>
    <row r="11" customFormat="false" ht="15" hidden="false" customHeight="false" outlineLevel="0" collapsed="false">
      <c r="A11" s="6" t="s">
        <v>4859</v>
      </c>
      <c r="B11" s="6" t="s">
        <v>167</v>
      </c>
      <c r="C11" s="6" t="s">
        <v>4848</v>
      </c>
      <c r="D11" s="6" t="s">
        <v>2063</v>
      </c>
      <c r="E11" s="6" t="s">
        <v>2063</v>
      </c>
      <c r="F11" s="6" t="s">
        <v>2064</v>
      </c>
      <c r="G11" s="6" t="s">
        <v>118</v>
      </c>
      <c r="H11" s="6" t="s">
        <v>287</v>
      </c>
      <c r="I11" s="6" t="s">
        <v>4684</v>
      </c>
      <c r="J11" s="6" t="s">
        <v>5365</v>
      </c>
      <c r="K11" s="6" t="s">
        <v>4679</v>
      </c>
      <c r="L11" s="2" t="s">
        <v>2067</v>
      </c>
      <c r="M11" s="2" t="s">
        <v>2066</v>
      </c>
      <c r="N11" s="9" t="s">
        <v>2069</v>
      </c>
      <c r="O11" s="6" t="s">
        <v>2068</v>
      </c>
      <c r="P11" s="6" t="s">
        <v>106</v>
      </c>
      <c r="Q11" s="6" t="s">
        <v>5364</v>
      </c>
      <c r="R11" s="6" t="s">
        <v>167</v>
      </c>
    </row>
    <row r="12" customFormat="false" ht="15" hidden="false" customHeight="false" outlineLevel="0" collapsed="false">
      <c r="A12" s="6" t="s">
        <v>4859</v>
      </c>
      <c r="B12" s="6" t="s">
        <v>167</v>
      </c>
      <c r="C12" s="6" t="s">
        <v>4848</v>
      </c>
      <c r="D12" s="6" t="s">
        <v>1396</v>
      </c>
      <c r="E12" s="6" t="s">
        <v>1396</v>
      </c>
      <c r="F12" s="6" t="s">
        <v>5369</v>
      </c>
      <c r="G12" s="6" t="s">
        <v>239</v>
      </c>
      <c r="H12" s="6" t="s">
        <v>287</v>
      </c>
      <c r="I12" s="6" t="s">
        <v>4684</v>
      </c>
      <c r="J12" s="6" t="s">
        <v>5370</v>
      </c>
      <c r="K12" s="6" t="s">
        <v>4679</v>
      </c>
      <c r="L12" s="2" t="s">
        <v>5371</v>
      </c>
      <c r="M12" s="2" t="s">
        <v>5372</v>
      </c>
      <c r="N12" s="9" t="s">
        <v>1402</v>
      </c>
      <c r="O12" s="6" t="s">
        <v>2686</v>
      </c>
      <c r="P12" s="6" t="s">
        <v>106</v>
      </c>
      <c r="Q12" s="6" t="s">
        <v>5364</v>
      </c>
      <c r="R12" s="6" t="s">
        <v>167</v>
      </c>
    </row>
    <row r="13" customFormat="false" ht="15" hidden="false" customHeight="false" outlineLevel="0" collapsed="false">
      <c r="A13" s="6" t="s">
        <v>4859</v>
      </c>
      <c r="B13" s="6" t="s">
        <v>167</v>
      </c>
      <c r="C13" s="6" t="s">
        <v>4848</v>
      </c>
      <c r="D13" s="6" t="s">
        <v>3919</v>
      </c>
      <c r="E13" s="6" t="s">
        <v>3919</v>
      </c>
      <c r="F13" s="6" t="s">
        <v>3919</v>
      </c>
      <c r="G13" s="6" t="s">
        <v>1127</v>
      </c>
      <c r="H13" s="6" t="s">
        <v>1445</v>
      </c>
      <c r="I13" s="6" t="s">
        <v>4684</v>
      </c>
      <c r="J13" s="6" t="s">
        <v>2281</v>
      </c>
      <c r="K13" s="6" t="s">
        <v>4679</v>
      </c>
      <c r="L13" s="2" t="s">
        <v>3920</v>
      </c>
      <c r="M13" s="2"/>
      <c r="N13" s="9" t="s">
        <v>3921</v>
      </c>
      <c r="O13" s="6" t="s">
        <v>2281</v>
      </c>
      <c r="P13" s="6" t="s">
        <v>106</v>
      </c>
      <c r="Q13" s="6" t="s">
        <v>5364</v>
      </c>
      <c r="R13" s="6" t="s">
        <v>167</v>
      </c>
    </row>
    <row r="14" customFormat="false" ht="23.85" hidden="false" customHeight="false" outlineLevel="0" collapsed="false">
      <c r="A14" s="6" t="s">
        <v>4859</v>
      </c>
      <c r="B14" s="6" t="s">
        <v>167</v>
      </c>
      <c r="C14" s="6" t="s">
        <v>4848</v>
      </c>
      <c r="D14" s="6" t="s">
        <v>4496</v>
      </c>
      <c r="E14" s="6" t="s">
        <v>4496</v>
      </c>
      <c r="F14" s="6" t="s">
        <v>4497</v>
      </c>
      <c r="G14" s="6" t="s">
        <v>2312</v>
      </c>
      <c r="H14" s="6" t="s">
        <v>1445</v>
      </c>
      <c r="I14" s="6" t="s">
        <v>4676</v>
      </c>
      <c r="J14" s="6" t="s">
        <v>5365</v>
      </c>
      <c r="K14" s="6" t="s">
        <v>4790</v>
      </c>
      <c r="L14" s="2" t="s">
        <v>4499</v>
      </c>
      <c r="M14" s="2"/>
      <c r="N14" s="9" t="s">
        <v>4500</v>
      </c>
      <c r="O14" s="6" t="s">
        <v>178</v>
      </c>
      <c r="P14" s="6" t="s">
        <v>85</v>
      </c>
      <c r="Q14" s="6" t="s">
        <v>5364</v>
      </c>
      <c r="R14" s="6" t="s">
        <v>167</v>
      </c>
    </row>
    <row r="15" customFormat="false" ht="46.25" hidden="false" customHeight="false" outlineLevel="0" collapsed="false">
      <c r="A15" s="6" t="s">
        <v>4855</v>
      </c>
      <c r="B15" s="6" t="s">
        <v>167</v>
      </c>
      <c r="C15" s="6" t="s">
        <v>4848</v>
      </c>
      <c r="D15" s="6" t="s">
        <v>75</v>
      </c>
      <c r="E15" s="6" t="s">
        <v>5373</v>
      </c>
      <c r="F15" s="6" t="s">
        <v>78</v>
      </c>
      <c r="G15" s="6" t="s">
        <v>76</v>
      </c>
      <c r="H15" s="6" t="s">
        <v>77</v>
      </c>
      <c r="I15" s="6" t="s">
        <v>4684</v>
      </c>
      <c r="J15" s="6" t="s">
        <v>411</v>
      </c>
      <c r="K15" s="6" t="s">
        <v>4790</v>
      </c>
      <c r="L15" s="2" t="s">
        <v>5374</v>
      </c>
      <c r="M15" s="2" t="s">
        <v>5375</v>
      </c>
      <c r="N15" s="9" t="s">
        <v>86</v>
      </c>
      <c r="O15" s="6" t="s">
        <v>411</v>
      </c>
      <c r="P15" s="6" t="s">
        <v>85</v>
      </c>
      <c r="Q15" s="6" t="s">
        <v>5376</v>
      </c>
      <c r="R15" s="6" t="s">
        <v>5377</v>
      </c>
    </row>
    <row r="16" customFormat="false" ht="35.05" hidden="false" customHeight="false" outlineLevel="0" collapsed="false">
      <c r="A16" s="6" t="s">
        <v>4855</v>
      </c>
      <c r="B16" s="6" t="s">
        <v>167</v>
      </c>
      <c r="C16" s="6" t="s">
        <v>4848</v>
      </c>
      <c r="D16" s="6" t="s">
        <v>631</v>
      </c>
      <c r="E16" s="6" t="s">
        <v>5378</v>
      </c>
      <c r="F16" s="6" t="s">
        <v>631</v>
      </c>
      <c r="G16" s="6" t="s">
        <v>164</v>
      </c>
      <c r="H16" s="6" t="s">
        <v>287</v>
      </c>
      <c r="I16" s="6" t="s">
        <v>4684</v>
      </c>
      <c r="J16" s="6" t="s">
        <v>1431</v>
      </c>
      <c r="K16" s="6" t="s">
        <v>4790</v>
      </c>
      <c r="L16" s="2" t="s">
        <v>5379</v>
      </c>
      <c r="M16" s="2" t="s">
        <v>5380</v>
      </c>
      <c r="N16" s="9" t="s">
        <v>636</v>
      </c>
      <c r="O16" s="6" t="s">
        <v>1431</v>
      </c>
      <c r="P16" s="6" t="s">
        <v>85</v>
      </c>
      <c r="Q16" s="6" t="s">
        <v>5381</v>
      </c>
      <c r="R16" s="6" t="s">
        <v>5368</v>
      </c>
    </row>
    <row r="17" customFormat="false" ht="35.05" hidden="false" customHeight="false" outlineLevel="0" collapsed="false">
      <c r="A17" s="6" t="s">
        <v>4855</v>
      </c>
      <c r="B17" s="6" t="s">
        <v>167</v>
      </c>
      <c r="C17" s="6" t="s">
        <v>4848</v>
      </c>
      <c r="D17" s="6" t="s">
        <v>631</v>
      </c>
      <c r="E17" s="6" t="s">
        <v>5382</v>
      </c>
      <c r="F17" s="6" t="s">
        <v>631</v>
      </c>
      <c r="G17" s="6" t="s">
        <v>164</v>
      </c>
      <c r="H17" s="6" t="s">
        <v>287</v>
      </c>
      <c r="I17" s="6" t="s">
        <v>4680</v>
      </c>
      <c r="J17" s="6" t="s">
        <v>1431</v>
      </c>
      <c r="K17" s="6" t="s">
        <v>4790</v>
      </c>
      <c r="L17" s="2" t="s">
        <v>5383</v>
      </c>
      <c r="M17" s="2" t="s">
        <v>5384</v>
      </c>
      <c r="N17" s="9" t="s">
        <v>636</v>
      </c>
      <c r="O17" s="6" t="s">
        <v>1431</v>
      </c>
      <c r="P17" s="6" t="s">
        <v>85</v>
      </c>
      <c r="Q17" s="6" t="s">
        <v>5385</v>
      </c>
      <c r="R17" s="6" t="s">
        <v>167</v>
      </c>
    </row>
    <row r="18" customFormat="false" ht="23.85" hidden="false" customHeight="false" outlineLevel="0" collapsed="false">
      <c r="A18" s="6" t="s">
        <v>4855</v>
      </c>
      <c r="B18" s="6" t="s">
        <v>167</v>
      </c>
      <c r="C18" s="6" t="s">
        <v>4848</v>
      </c>
      <c r="D18" s="6" t="s">
        <v>1615</v>
      </c>
      <c r="E18" s="6" t="s">
        <v>1615</v>
      </c>
      <c r="F18" s="6" t="s">
        <v>1616</v>
      </c>
      <c r="G18" s="6" t="s">
        <v>1215</v>
      </c>
      <c r="H18" s="6" t="s">
        <v>287</v>
      </c>
      <c r="I18" s="6" t="s">
        <v>4684</v>
      </c>
      <c r="J18" s="6" t="s">
        <v>5386</v>
      </c>
      <c r="K18" s="6" t="s">
        <v>4679</v>
      </c>
      <c r="L18" s="2" t="s">
        <v>5387</v>
      </c>
      <c r="M18" s="2" t="s">
        <v>5388</v>
      </c>
      <c r="N18" s="9" t="s">
        <v>1621</v>
      </c>
      <c r="O18" s="6" t="s">
        <v>3698</v>
      </c>
      <c r="P18" s="6" t="s">
        <v>106</v>
      </c>
      <c r="Q18" s="6" t="s">
        <v>5385</v>
      </c>
      <c r="R18" s="6" t="s">
        <v>167</v>
      </c>
    </row>
    <row r="19" customFormat="false" ht="23.85" hidden="false" customHeight="false" outlineLevel="0" collapsed="false">
      <c r="A19" s="6" t="s">
        <v>4855</v>
      </c>
      <c r="B19" s="6" t="s">
        <v>167</v>
      </c>
      <c r="C19" s="6" t="s">
        <v>4848</v>
      </c>
      <c r="D19" s="6" t="s">
        <v>2316</v>
      </c>
      <c r="E19" s="6" t="s">
        <v>2316</v>
      </c>
      <c r="F19" s="6" t="s">
        <v>2317</v>
      </c>
      <c r="G19" s="6" t="s">
        <v>1598</v>
      </c>
      <c r="H19" s="6" t="s">
        <v>287</v>
      </c>
      <c r="I19" s="6" t="s">
        <v>4684</v>
      </c>
      <c r="J19" s="6" t="s">
        <v>84</v>
      </c>
      <c r="K19" s="6" t="s">
        <v>4790</v>
      </c>
      <c r="L19" s="2" t="s">
        <v>2320</v>
      </c>
      <c r="M19" s="2" t="s">
        <v>2319</v>
      </c>
      <c r="N19" s="9" t="s">
        <v>2322</v>
      </c>
      <c r="O19" s="6" t="s">
        <v>504</v>
      </c>
      <c r="P19" s="6" t="s">
        <v>85</v>
      </c>
      <c r="Q19" s="6" t="s">
        <v>5385</v>
      </c>
      <c r="R19" s="6" t="s">
        <v>167</v>
      </c>
    </row>
    <row r="20" customFormat="false" ht="23.85" hidden="false" customHeight="false" outlineLevel="0" collapsed="false">
      <c r="A20" s="6" t="s">
        <v>4855</v>
      </c>
      <c r="B20" s="6" t="s">
        <v>167</v>
      </c>
      <c r="C20" s="6" t="s">
        <v>4848</v>
      </c>
      <c r="D20" s="6" t="s">
        <v>1836</v>
      </c>
      <c r="E20" s="6" t="s">
        <v>1836</v>
      </c>
      <c r="F20" s="6" t="s">
        <v>1836</v>
      </c>
      <c r="G20" s="6" t="s">
        <v>164</v>
      </c>
      <c r="H20" s="6" t="s">
        <v>287</v>
      </c>
      <c r="I20" s="6" t="s">
        <v>4684</v>
      </c>
      <c r="J20" s="6" t="s">
        <v>1431</v>
      </c>
      <c r="K20" s="6" t="s">
        <v>4679</v>
      </c>
      <c r="L20" s="2" t="s">
        <v>1839</v>
      </c>
      <c r="M20" s="2" t="s">
        <v>1838</v>
      </c>
      <c r="N20" s="9" t="s">
        <v>1840</v>
      </c>
      <c r="O20" s="6" t="s">
        <v>1431</v>
      </c>
      <c r="P20" s="6" t="s">
        <v>85</v>
      </c>
      <c r="Q20" s="6" t="s">
        <v>5385</v>
      </c>
      <c r="R20" s="6" t="s">
        <v>167</v>
      </c>
    </row>
    <row r="21" customFormat="false" ht="23.85" hidden="false" customHeight="false" outlineLevel="0" collapsed="false">
      <c r="A21" s="6" t="s">
        <v>4855</v>
      </c>
      <c r="B21" s="6" t="s">
        <v>167</v>
      </c>
      <c r="C21" s="6" t="s">
        <v>4848</v>
      </c>
      <c r="D21" s="6" t="s">
        <v>685</v>
      </c>
      <c r="E21" s="6" t="s">
        <v>685</v>
      </c>
      <c r="F21" s="6" t="s">
        <v>685</v>
      </c>
      <c r="G21" s="6" t="s">
        <v>153</v>
      </c>
      <c r="H21" s="6" t="s">
        <v>287</v>
      </c>
      <c r="I21" s="6" t="s">
        <v>4684</v>
      </c>
      <c r="J21" s="6" t="s">
        <v>411</v>
      </c>
      <c r="K21" s="6" t="s">
        <v>4679</v>
      </c>
      <c r="L21" s="2" t="s">
        <v>5389</v>
      </c>
      <c r="M21" s="2" t="s">
        <v>5390</v>
      </c>
      <c r="N21" s="9" t="s">
        <v>690</v>
      </c>
      <c r="O21" s="6" t="s">
        <v>411</v>
      </c>
      <c r="P21" s="6" t="s">
        <v>85</v>
      </c>
      <c r="Q21" s="6" t="s">
        <v>5385</v>
      </c>
      <c r="R21" s="6" t="s">
        <v>167</v>
      </c>
    </row>
    <row r="22" customFormat="false" ht="23.85" hidden="false" customHeight="false" outlineLevel="0" collapsed="false">
      <c r="A22" s="6" t="s">
        <v>4855</v>
      </c>
      <c r="B22" s="6" t="s">
        <v>167</v>
      </c>
      <c r="C22" s="6" t="s">
        <v>4848</v>
      </c>
      <c r="D22" s="6" t="s">
        <v>2334</v>
      </c>
      <c r="E22" s="6" t="s">
        <v>2334</v>
      </c>
      <c r="F22" s="6" t="s">
        <v>2335</v>
      </c>
      <c r="G22" s="6" t="s">
        <v>1215</v>
      </c>
      <c r="H22" s="6" t="s">
        <v>287</v>
      </c>
      <c r="I22" s="6" t="s">
        <v>4684</v>
      </c>
      <c r="J22" s="6" t="s">
        <v>1636</v>
      </c>
      <c r="K22" s="6" t="s">
        <v>4679</v>
      </c>
      <c r="L22" s="2" t="s">
        <v>2338</v>
      </c>
      <c r="M22" s="2" t="s">
        <v>2337</v>
      </c>
      <c r="N22" s="9" t="s">
        <v>2339</v>
      </c>
      <c r="O22" s="6" t="s">
        <v>1636</v>
      </c>
      <c r="P22" s="6" t="s">
        <v>106</v>
      </c>
      <c r="Q22" s="6" t="s">
        <v>5385</v>
      </c>
      <c r="R22" s="6" t="s">
        <v>167</v>
      </c>
    </row>
    <row r="23" customFormat="false" ht="15" hidden="false" customHeight="false" outlineLevel="0" collapsed="false">
      <c r="A23" s="6" t="s">
        <v>4855</v>
      </c>
      <c r="B23" s="6" t="s">
        <v>167</v>
      </c>
      <c r="C23" s="6" t="s">
        <v>4848</v>
      </c>
      <c r="D23" s="6" t="s">
        <v>2052</v>
      </c>
      <c r="E23" s="6" t="s">
        <v>2052</v>
      </c>
      <c r="F23" s="6" t="s">
        <v>2052</v>
      </c>
      <c r="G23" s="6" t="s">
        <v>239</v>
      </c>
      <c r="H23" s="6" t="s">
        <v>287</v>
      </c>
      <c r="I23" s="6" t="s">
        <v>4732</v>
      </c>
      <c r="J23" s="6" t="s">
        <v>5365</v>
      </c>
      <c r="K23" s="6" t="s">
        <v>4790</v>
      </c>
      <c r="L23" s="2" t="s">
        <v>5391</v>
      </c>
      <c r="M23" s="2" t="s">
        <v>5392</v>
      </c>
      <c r="N23" s="9" t="s">
        <v>2056</v>
      </c>
      <c r="O23" s="6" t="s">
        <v>130</v>
      </c>
      <c r="P23" s="6" t="s">
        <v>106</v>
      </c>
      <c r="Q23" s="6" t="s">
        <v>5393</v>
      </c>
      <c r="R23" s="6" t="s">
        <v>167</v>
      </c>
    </row>
    <row r="24" customFormat="false" ht="23.85" hidden="false" customHeight="false" outlineLevel="0" collapsed="false">
      <c r="A24" s="6" t="s">
        <v>4855</v>
      </c>
      <c r="B24" s="6" t="s">
        <v>167</v>
      </c>
      <c r="C24" s="6" t="s">
        <v>4870</v>
      </c>
      <c r="D24" s="6" t="s">
        <v>829</v>
      </c>
      <c r="E24" s="6" t="s">
        <v>829</v>
      </c>
      <c r="F24" s="6" t="s">
        <v>830</v>
      </c>
      <c r="G24" s="6" t="s">
        <v>76</v>
      </c>
      <c r="H24" s="6" t="s">
        <v>287</v>
      </c>
      <c r="I24" s="6" t="s">
        <v>4676</v>
      </c>
      <c r="J24" s="6" t="s">
        <v>5365</v>
      </c>
      <c r="K24" s="6" t="s">
        <v>4679</v>
      </c>
      <c r="L24" s="2" t="s">
        <v>833</v>
      </c>
      <c r="M24" s="2" t="s">
        <v>832</v>
      </c>
      <c r="N24" s="9" t="s">
        <v>835</v>
      </c>
      <c r="O24" s="6" t="s">
        <v>834</v>
      </c>
      <c r="P24" s="6" t="s">
        <v>106</v>
      </c>
      <c r="Q24" s="6" t="s">
        <v>5394</v>
      </c>
      <c r="R24" s="6" t="s">
        <v>167</v>
      </c>
    </row>
    <row r="25" customFormat="false" ht="46.25" hidden="false" customHeight="false" outlineLevel="0" collapsed="false">
      <c r="A25" s="6" t="s">
        <v>4855</v>
      </c>
      <c r="B25" s="6" t="s">
        <v>167</v>
      </c>
      <c r="C25" s="6" t="s">
        <v>4870</v>
      </c>
      <c r="D25" s="6" t="s">
        <v>466</v>
      </c>
      <c r="E25" s="6" t="s">
        <v>466</v>
      </c>
      <c r="F25" s="6" t="s">
        <v>467</v>
      </c>
      <c r="G25" s="6" t="s">
        <v>76</v>
      </c>
      <c r="H25" s="6" t="s">
        <v>287</v>
      </c>
      <c r="I25" s="6" t="s">
        <v>4684</v>
      </c>
      <c r="J25" s="6" t="s">
        <v>5365</v>
      </c>
      <c r="K25" s="6" t="s">
        <v>4790</v>
      </c>
      <c r="L25" s="2" t="s">
        <v>5395</v>
      </c>
      <c r="M25" s="2" t="s">
        <v>5396</v>
      </c>
      <c r="N25" s="9" t="s">
        <v>473</v>
      </c>
      <c r="O25" s="6" t="s">
        <v>332</v>
      </c>
      <c r="P25" s="6" t="s">
        <v>85</v>
      </c>
      <c r="Q25" s="6" t="s">
        <v>5394</v>
      </c>
      <c r="R25" s="6" t="s">
        <v>167</v>
      </c>
    </row>
    <row r="26" customFormat="false" ht="23.85" hidden="false" customHeight="false" outlineLevel="0" collapsed="false">
      <c r="A26" s="6" t="s">
        <v>4855</v>
      </c>
      <c r="B26" s="6" t="s">
        <v>167</v>
      </c>
      <c r="C26" s="6" t="s">
        <v>4848</v>
      </c>
      <c r="D26" s="6" t="s">
        <v>2351</v>
      </c>
      <c r="E26" s="6" t="s">
        <v>2351</v>
      </c>
      <c r="F26" s="6" t="s">
        <v>2317</v>
      </c>
      <c r="G26" s="6" t="s">
        <v>1598</v>
      </c>
      <c r="H26" s="6" t="s">
        <v>287</v>
      </c>
      <c r="I26" s="6" t="s">
        <v>4684</v>
      </c>
      <c r="J26" s="6" t="s">
        <v>84</v>
      </c>
      <c r="K26" s="6" t="s">
        <v>4790</v>
      </c>
      <c r="L26" s="2" t="s">
        <v>2353</v>
      </c>
      <c r="M26" s="2" t="s">
        <v>2352</v>
      </c>
      <c r="N26" s="9" t="s">
        <v>2321</v>
      </c>
      <c r="O26" s="6" t="s">
        <v>84</v>
      </c>
      <c r="P26" s="6" t="s">
        <v>85</v>
      </c>
      <c r="Q26" s="6" t="s">
        <v>5381</v>
      </c>
      <c r="R26" s="6" t="s">
        <v>5368</v>
      </c>
    </row>
    <row r="27" customFormat="false" ht="23.85" hidden="false" customHeight="false" outlineLevel="0" collapsed="false">
      <c r="A27" s="6" t="s">
        <v>4855</v>
      </c>
      <c r="B27" s="6" t="s">
        <v>167</v>
      </c>
      <c r="C27" s="6" t="s">
        <v>4848</v>
      </c>
      <c r="D27" s="6" t="s">
        <v>1090</v>
      </c>
      <c r="E27" s="6" t="s">
        <v>1090</v>
      </c>
      <c r="F27" s="6" t="s">
        <v>1091</v>
      </c>
      <c r="G27" s="6" t="s">
        <v>507</v>
      </c>
      <c r="H27" s="6" t="s">
        <v>1445</v>
      </c>
      <c r="I27" s="6" t="s">
        <v>4680</v>
      </c>
      <c r="J27" s="6" t="s">
        <v>5365</v>
      </c>
      <c r="K27" s="6" t="s">
        <v>4790</v>
      </c>
      <c r="L27" s="2" t="s">
        <v>1095</v>
      </c>
      <c r="M27" s="2" t="s">
        <v>832</v>
      </c>
      <c r="N27" s="9" t="s">
        <v>1096</v>
      </c>
      <c r="O27" s="6" t="s">
        <v>123</v>
      </c>
      <c r="P27" s="6" t="s">
        <v>85</v>
      </c>
      <c r="Q27" s="6" t="s">
        <v>5397</v>
      </c>
      <c r="R27" s="6" t="s">
        <v>167</v>
      </c>
    </row>
    <row r="28" customFormat="false" ht="23.85" hidden="false" customHeight="false" outlineLevel="0" collapsed="false">
      <c r="A28" s="6" t="s">
        <v>4855</v>
      </c>
      <c r="B28" s="6" t="s">
        <v>167</v>
      </c>
      <c r="C28" s="6" t="s">
        <v>4848</v>
      </c>
      <c r="D28" s="6" t="s">
        <v>3072</v>
      </c>
      <c r="E28" s="6" t="s">
        <v>3072</v>
      </c>
      <c r="F28" s="6" t="s">
        <v>3073</v>
      </c>
      <c r="G28" s="6" t="s">
        <v>507</v>
      </c>
      <c r="H28" s="6" t="s">
        <v>1445</v>
      </c>
      <c r="I28" s="6" t="s">
        <v>4680</v>
      </c>
      <c r="J28" s="6" t="s">
        <v>332</v>
      </c>
      <c r="K28" s="6" t="s">
        <v>4790</v>
      </c>
      <c r="L28" s="2" t="s">
        <v>3075</v>
      </c>
      <c r="M28" s="2" t="s">
        <v>832</v>
      </c>
      <c r="N28" s="9" t="s">
        <v>3076</v>
      </c>
      <c r="O28" s="6" t="s">
        <v>160</v>
      </c>
      <c r="P28" s="6" t="s">
        <v>85</v>
      </c>
      <c r="Q28" s="6" t="s">
        <v>5398</v>
      </c>
      <c r="R28" s="6" t="s">
        <v>167</v>
      </c>
    </row>
    <row r="29" customFormat="false" ht="46.25" hidden="false" customHeight="false" outlineLevel="0" collapsed="false">
      <c r="A29" s="6" t="s">
        <v>4855</v>
      </c>
      <c r="B29" s="6" t="s">
        <v>167</v>
      </c>
      <c r="C29" s="6" t="s">
        <v>4848</v>
      </c>
      <c r="D29" s="6" t="s">
        <v>3683</v>
      </c>
      <c r="E29" s="6" t="s">
        <v>3683</v>
      </c>
      <c r="F29" s="6" t="s">
        <v>918</v>
      </c>
      <c r="G29" s="6" t="s">
        <v>164</v>
      </c>
      <c r="H29" s="6" t="s">
        <v>1445</v>
      </c>
      <c r="I29" s="6" t="s">
        <v>4684</v>
      </c>
      <c r="J29" s="6" t="s">
        <v>130</v>
      </c>
      <c r="K29" s="6" t="s">
        <v>4675</v>
      </c>
      <c r="L29" s="2" t="s">
        <v>3686</v>
      </c>
      <c r="M29" s="2" t="s">
        <v>3685</v>
      </c>
      <c r="N29" s="9" t="s">
        <v>3687</v>
      </c>
      <c r="O29" s="6" t="s">
        <v>130</v>
      </c>
      <c r="P29" s="6" t="s">
        <v>85</v>
      </c>
      <c r="Q29" s="6" t="s">
        <v>5399</v>
      </c>
      <c r="R29" s="6" t="s">
        <v>5368</v>
      </c>
    </row>
    <row r="30" customFormat="false" ht="23.85" hidden="false" customHeight="false" outlineLevel="0" collapsed="false">
      <c r="A30" s="6" t="s">
        <v>4855</v>
      </c>
      <c r="B30" s="6" t="s">
        <v>167</v>
      </c>
      <c r="C30" s="6" t="s">
        <v>4848</v>
      </c>
      <c r="D30" s="6" t="s">
        <v>3555</v>
      </c>
      <c r="E30" s="6" t="s">
        <v>3555</v>
      </c>
      <c r="F30" s="6" t="s">
        <v>5400</v>
      </c>
      <c r="G30" s="6" t="s">
        <v>1215</v>
      </c>
      <c r="H30" s="6" t="s">
        <v>1445</v>
      </c>
      <c r="I30" s="6" t="s">
        <v>4680</v>
      </c>
      <c r="J30" s="6" t="s">
        <v>5365</v>
      </c>
      <c r="K30" s="6" t="s">
        <v>4679</v>
      </c>
      <c r="L30" s="2" t="s">
        <v>5401</v>
      </c>
      <c r="M30" s="2" t="s">
        <v>832</v>
      </c>
      <c r="N30" s="9" t="s">
        <v>3560</v>
      </c>
      <c r="O30" s="6" t="s">
        <v>999</v>
      </c>
      <c r="P30" s="6" t="s">
        <v>106</v>
      </c>
      <c r="Q30" s="6" t="s">
        <v>5402</v>
      </c>
      <c r="R30" s="6" t="s">
        <v>167</v>
      </c>
    </row>
    <row r="31" customFormat="false" ht="23.85" hidden="false" customHeight="false" outlineLevel="0" collapsed="false">
      <c r="A31" s="6" t="s">
        <v>4855</v>
      </c>
      <c r="B31" s="6" t="s">
        <v>167</v>
      </c>
      <c r="C31" s="6" t="s">
        <v>4848</v>
      </c>
      <c r="D31" s="6" t="s">
        <v>3566</v>
      </c>
      <c r="E31" s="6" t="s">
        <v>3566</v>
      </c>
      <c r="F31" s="6" t="s">
        <v>3567</v>
      </c>
      <c r="G31" s="6" t="s">
        <v>1598</v>
      </c>
      <c r="H31" s="6" t="s">
        <v>1445</v>
      </c>
      <c r="I31" s="6" t="s">
        <v>4684</v>
      </c>
      <c r="J31" s="6" t="s">
        <v>511</v>
      </c>
      <c r="K31" s="6" t="s">
        <v>4790</v>
      </c>
      <c r="L31" s="2" t="s">
        <v>3570</v>
      </c>
      <c r="M31" s="2" t="s">
        <v>2337</v>
      </c>
      <c r="N31" s="9" t="s">
        <v>3571</v>
      </c>
      <c r="O31" s="6" t="s">
        <v>511</v>
      </c>
      <c r="P31" s="6" t="s">
        <v>85</v>
      </c>
      <c r="Q31" s="6" t="s">
        <v>5385</v>
      </c>
      <c r="R31" s="6" t="s">
        <v>167</v>
      </c>
    </row>
    <row r="32" customFormat="false" ht="23.85" hidden="false" customHeight="false" outlineLevel="0" collapsed="false">
      <c r="A32" s="6" t="s">
        <v>4855</v>
      </c>
      <c r="B32" s="6" t="s">
        <v>167</v>
      </c>
      <c r="C32" s="6" t="s">
        <v>4848</v>
      </c>
      <c r="D32" s="6" t="s">
        <v>3601</v>
      </c>
      <c r="E32" s="6" t="s">
        <v>3601</v>
      </c>
      <c r="F32" s="6" t="s">
        <v>3602</v>
      </c>
      <c r="G32" s="6" t="s">
        <v>1598</v>
      </c>
      <c r="H32" s="6" t="s">
        <v>1445</v>
      </c>
      <c r="I32" s="6" t="s">
        <v>4684</v>
      </c>
      <c r="J32" s="6" t="s">
        <v>411</v>
      </c>
      <c r="K32" s="6" t="s">
        <v>4790</v>
      </c>
      <c r="L32" s="2" t="s">
        <v>3604</v>
      </c>
      <c r="M32" s="2" t="s">
        <v>2337</v>
      </c>
      <c r="N32" s="9" t="s">
        <v>3605</v>
      </c>
      <c r="O32" s="6" t="s">
        <v>84</v>
      </c>
      <c r="P32" s="6" t="s">
        <v>85</v>
      </c>
      <c r="Q32" s="6" t="s">
        <v>5385</v>
      </c>
      <c r="R32" s="6" t="s">
        <v>167</v>
      </c>
    </row>
    <row r="33" customFormat="false" ht="23.85" hidden="false" customHeight="false" outlineLevel="0" collapsed="false">
      <c r="A33" s="6" t="s">
        <v>4879</v>
      </c>
      <c r="B33" s="6" t="s">
        <v>167</v>
      </c>
      <c r="C33" s="6" t="s">
        <v>4870</v>
      </c>
      <c r="D33" s="6" t="s">
        <v>3077</v>
      </c>
      <c r="E33" s="6" t="s">
        <v>3077</v>
      </c>
      <c r="F33" s="6" t="s">
        <v>3078</v>
      </c>
      <c r="G33" s="6" t="s">
        <v>507</v>
      </c>
      <c r="H33" s="6" t="s">
        <v>1445</v>
      </c>
      <c r="I33" s="6" t="s">
        <v>4676</v>
      </c>
      <c r="J33" s="6" t="s">
        <v>5365</v>
      </c>
      <c r="K33" s="6" t="s">
        <v>4790</v>
      </c>
      <c r="L33" s="2" t="s">
        <v>3081</v>
      </c>
      <c r="M33" s="2" t="s">
        <v>3080</v>
      </c>
      <c r="N33" s="9" t="s">
        <v>3082</v>
      </c>
      <c r="O33" s="6" t="s">
        <v>504</v>
      </c>
      <c r="P33" s="6" t="s">
        <v>85</v>
      </c>
      <c r="Q33" s="6" t="s">
        <v>4880</v>
      </c>
      <c r="R33" s="6" t="s">
        <v>167</v>
      </c>
    </row>
    <row r="34" customFormat="false" ht="23.85" hidden="false" customHeight="false" outlineLevel="0" collapsed="false">
      <c r="A34" s="6" t="s">
        <v>4881</v>
      </c>
      <c r="B34" s="6" t="s">
        <v>167</v>
      </c>
      <c r="C34" s="6" t="s">
        <v>4848</v>
      </c>
      <c r="D34" s="6" t="s">
        <v>962</v>
      </c>
      <c r="E34" s="6" t="s">
        <v>962</v>
      </c>
      <c r="F34" s="6" t="s">
        <v>963</v>
      </c>
      <c r="G34" s="6" t="s">
        <v>90</v>
      </c>
      <c r="H34" s="6" t="s">
        <v>77</v>
      </c>
      <c r="I34" s="6" t="s">
        <v>4684</v>
      </c>
      <c r="J34" s="6" t="s">
        <v>967</v>
      </c>
      <c r="K34" s="6" t="s">
        <v>4679</v>
      </c>
      <c r="L34" s="2" t="s">
        <v>966</v>
      </c>
      <c r="M34" s="2" t="s">
        <v>965</v>
      </c>
      <c r="N34" s="9" t="s">
        <v>968</v>
      </c>
      <c r="O34" s="6" t="s">
        <v>967</v>
      </c>
      <c r="P34" s="6" t="s">
        <v>85</v>
      </c>
      <c r="Q34" s="6" t="s">
        <v>4881</v>
      </c>
      <c r="R34" s="6" t="s">
        <v>167</v>
      </c>
    </row>
    <row r="35" customFormat="false" ht="15" hidden="false" customHeight="false" outlineLevel="0" collapsed="false">
      <c r="A35" s="6" t="s">
        <v>4869</v>
      </c>
      <c r="B35" s="6" t="s">
        <v>167</v>
      </c>
      <c r="C35" s="6" t="s">
        <v>4870</v>
      </c>
      <c r="D35" s="6" t="s">
        <v>286</v>
      </c>
      <c r="E35" s="6" t="s">
        <v>286</v>
      </c>
      <c r="F35" s="6" t="s">
        <v>288</v>
      </c>
      <c r="G35" s="6" t="s">
        <v>118</v>
      </c>
      <c r="H35" s="6" t="s">
        <v>287</v>
      </c>
      <c r="I35" s="6" t="s">
        <v>4676</v>
      </c>
      <c r="J35" s="6" t="s">
        <v>2841</v>
      </c>
      <c r="K35" s="6" t="s">
        <v>4679</v>
      </c>
      <c r="L35" s="2" t="s">
        <v>5403</v>
      </c>
      <c r="M35" s="2" t="s">
        <v>5404</v>
      </c>
      <c r="N35" s="9" t="s">
        <v>295</v>
      </c>
      <c r="O35" s="6" t="s">
        <v>2841</v>
      </c>
      <c r="P35" s="6" t="s">
        <v>106</v>
      </c>
      <c r="Q35" s="6" t="s">
        <v>4869</v>
      </c>
      <c r="R35" s="6" t="s">
        <v>167</v>
      </c>
    </row>
    <row r="36" customFormat="false" ht="35.05" hidden="false" customHeight="false" outlineLevel="0" collapsed="false">
      <c r="A36" s="6" t="s">
        <v>4869</v>
      </c>
      <c r="B36" s="6" t="s">
        <v>167</v>
      </c>
      <c r="C36" s="6" t="s">
        <v>4870</v>
      </c>
      <c r="D36" s="6" t="s">
        <v>405</v>
      </c>
      <c r="E36" s="6" t="s">
        <v>405</v>
      </c>
      <c r="F36" s="6" t="s">
        <v>406</v>
      </c>
      <c r="G36" s="6" t="s">
        <v>239</v>
      </c>
      <c r="H36" s="6" t="s">
        <v>287</v>
      </c>
      <c r="I36" s="6" t="s">
        <v>4676</v>
      </c>
      <c r="J36" s="6" t="s">
        <v>4071</v>
      </c>
      <c r="K36" s="6" t="s">
        <v>4679</v>
      </c>
      <c r="L36" s="2" t="s">
        <v>5405</v>
      </c>
      <c r="M36" s="2" t="s">
        <v>5406</v>
      </c>
      <c r="N36" s="9" t="s">
        <v>412</v>
      </c>
      <c r="O36" s="6" t="s">
        <v>4071</v>
      </c>
      <c r="P36" s="6" t="s">
        <v>106</v>
      </c>
      <c r="Q36" s="6" t="s">
        <v>4873</v>
      </c>
      <c r="R36" s="6" t="s">
        <v>5368</v>
      </c>
    </row>
    <row r="37" customFormat="false" ht="23.85" hidden="false" customHeight="false" outlineLevel="0" collapsed="false">
      <c r="A37" s="6" t="s">
        <v>4869</v>
      </c>
      <c r="B37" s="6" t="s">
        <v>167</v>
      </c>
      <c r="C37" s="6" t="s">
        <v>4870</v>
      </c>
      <c r="D37" s="6" t="s">
        <v>3875</v>
      </c>
      <c r="E37" s="6" t="s">
        <v>3875</v>
      </c>
      <c r="F37" s="6" t="s">
        <v>5407</v>
      </c>
      <c r="G37" s="6" t="s">
        <v>507</v>
      </c>
      <c r="H37" s="6" t="s">
        <v>1445</v>
      </c>
      <c r="I37" s="6" t="s">
        <v>4676</v>
      </c>
      <c r="J37" s="6" t="s">
        <v>1455</v>
      </c>
      <c r="K37" s="6" t="s">
        <v>4790</v>
      </c>
      <c r="L37" s="2" t="s">
        <v>5408</v>
      </c>
      <c r="M37" s="2" t="s">
        <v>5409</v>
      </c>
      <c r="N37" s="9" t="s">
        <v>3880</v>
      </c>
      <c r="O37" s="6" t="s">
        <v>1455</v>
      </c>
      <c r="P37" s="6" t="s">
        <v>85</v>
      </c>
      <c r="Q37" s="6" t="s">
        <v>4869</v>
      </c>
      <c r="R37" s="6" t="s">
        <v>167</v>
      </c>
    </row>
    <row r="38" customFormat="false" ht="23.85" hidden="false" customHeight="false" outlineLevel="0" collapsed="false">
      <c r="A38" s="6" t="s">
        <v>4869</v>
      </c>
      <c r="B38" s="6" t="s">
        <v>167</v>
      </c>
      <c r="C38" s="6" t="s">
        <v>4870</v>
      </c>
      <c r="D38" s="6" t="s">
        <v>3153</v>
      </c>
      <c r="E38" s="6" t="s">
        <v>3153</v>
      </c>
      <c r="F38" s="6" t="s">
        <v>928</v>
      </c>
      <c r="G38" s="6" t="s">
        <v>90</v>
      </c>
      <c r="H38" s="6" t="s">
        <v>1445</v>
      </c>
      <c r="I38" s="6" t="s">
        <v>4676</v>
      </c>
      <c r="J38" s="6" t="s">
        <v>1401</v>
      </c>
      <c r="K38" s="6" t="s">
        <v>4790</v>
      </c>
      <c r="L38" s="2" t="s">
        <v>3156</v>
      </c>
      <c r="M38" s="2" t="s">
        <v>3155</v>
      </c>
      <c r="N38" s="9" t="s">
        <v>3157</v>
      </c>
      <c r="O38" s="6" t="s">
        <v>1401</v>
      </c>
      <c r="P38" s="6" t="s">
        <v>85</v>
      </c>
      <c r="Q38" s="6" t="s">
        <v>4869</v>
      </c>
      <c r="R38" s="6" t="s">
        <v>5357</v>
      </c>
    </row>
    <row r="39" customFormat="false" ht="23.85" hidden="false" customHeight="false" outlineLevel="0" collapsed="false">
      <c r="A39" s="6" t="s">
        <v>4798</v>
      </c>
      <c r="B39" s="6" t="s">
        <v>167</v>
      </c>
      <c r="C39" s="6" t="s">
        <v>4848</v>
      </c>
      <c r="D39" s="6" t="s">
        <v>2722</v>
      </c>
      <c r="E39" s="6" t="s">
        <v>2722</v>
      </c>
      <c r="F39" s="6" t="s">
        <v>2723</v>
      </c>
      <c r="G39" s="6" t="s">
        <v>1215</v>
      </c>
      <c r="H39" s="6" t="s">
        <v>77</v>
      </c>
      <c r="I39" s="6" t="s">
        <v>4684</v>
      </c>
      <c r="J39" s="6" t="s">
        <v>150</v>
      </c>
      <c r="K39" s="6" t="s">
        <v>4790</v>
      </c>
      <c r="L39" s="2" t="s">
        <v>2725</v>
      </c>
      <c r="M39" s="2"/>
      <c r="N39" s="9" t="s">
        <v>2726</v>
      </c>
      <c r="O39" s="6" t="s">
        <v>150</v>
      </c>
      <c r="P39" s="6" t="s">
        <v>85</v>
      </c>
      <c r="Q39" s="6" t="s">
        <v>5410</v>
      </c>
      <c r="R39" s="6" t="s">
        <v>167</v>
      </c>
    </row>
    <row r="40" customFormat="false" ht="23.85" hidden="false" customHeight="false" outlineLevel="0" collapsed="false">
      <c r="A40" s="6" t="s">
        <v>4798</v>
      </c>
      <c r="B40" s="6" t="s">
        <v>167</v>
      </c>
      <c r="C40" s="6" t="s">
        <v>4848</v>
      </c>
      <c r="D40" s="6" t="s">
        <v>2727</v>
      </c>
      <c r="E40" s="6" t="s">
        <v>2727</v>
      </c>
      <c r="F40" s="6" t="s">
        <v>2294</v>
      </c>
      <c r="G40" s="6" t="s">
        <v>1215</v>
      </c>
      <c r="H40" s="6" t="s">
        <v>77</v>
      </c>
      <c r="I40" s="6" t="s">
        <v>4684</v>
      </c>
      <c r="J40" s="6" t="s">
        <v>5365</v>
      </c>
      <c r="K40" s="6" t="s">
        <v>4790</v>
      </c>
      <c r="L40" s="2" t="s">
        <v>2729</v>
      </c>
      <c r="M40" s="2" t="s">
        <v>2728</v>
      </c>
      <c r="N40" s="9" t="s">
        <v>2730</v>
      </c>
      <c r="O40" s="6" t="s">
        <v>324</v>
      </c>
      <c r="P40" s="6" t="s">
        <v>85</v>
      </c>
      <c r="Q40" s="6" t="s">
        <v>4798</v>
      </c>
      <c r="R40" s="6" t="s">
        <v>167</v>
      </c>
    </row>
    <row r="41" customFormat="false" ht="15" hidden="false" customHeight="false" outlineLevel="0" collapsed="false">
      <c r="A41" s="6" t="s">
        <v>4798</v>
      </c>
      <c r="B41" s="6" t="s">
        <v>167</v>
      </c>
      <c r="C41" s="6" t="s">
        <v>4848</v>
      </c>
      <c r="D41" s="6" t="s">
        <v>2791</v>
      </c>
      <c r="E41" s="6" t="s">
        <v>2791</v>
      </c>
      <c r="F41" s="6" t="s">
        <v>288</v>
      </c>
      <c r="G41" s="6" t="s">
        <v>1085</v>
      </c>
      <c r="H41" s="6" t="s">
        <v>287</v>
      </c>
      <c r="I41" s="6" t="s">
        <v>4684</v>
      </c>
      <c r="J41" s="6" t="s">
        <v>5365</v>
      </c>
      <c r="K41" s="6" t="s">
        <v>4790</v>
      </c>
      <c r="L41" s="2" t="s">
        <v>2792</v>
      </c>
      <c r="M41" s="2"/>
      <c r="N41" s="9" t="s">
        <v>2793</v>
      </c>
      <c r="O41" s="6" t="s">
        <v>324</v>
      </c>
      <c r="P41" s="6" t="s">
        <v>85</v>
      </c>
      <c r="Q41" s="6" t="s">
        <v>4798</v>
      </c>
      <c r="R41" s="6" t="s">
        <v>167</v>
      </c>
    </row>
    <row r="42" customFormat="false" ht="23.85" hidden="false" customHeight="false" outlineLevel="0" collapsed="false">
      <c r="A42" s="6" t="s">
        <v>4798</v>
      </c>
      <c r="B42" s="6" t="s">
        <v>167</v>
      </c>
      <c r="C42" s="6" t="s">
        <v>4848</v>
      </c>
      <c r="D42" s="6" t="s">
        <v>1934</v>
      </c>
      <c r="E42" s="6" t="s">
        <v>1934</v>
      </c>
      <c r="F42" s="6" t="s">
        <v>811</v>
      </c>
      <c r="G42" s="6" t="s">
        <v>239</v>
      </c>
      <c r="H42" s="6" t="s">
        <v>287</v>
      </c>
      <c r="I42" s="6" t="s">
        <v>4684</v>
      </c>
      <c r="J42" s="6" t="s">
        <v>5370</v>
      </c>
      <c r="K42" s="6" t="s">
        <v>4790</v>
      </c>
      <c r="L42" s="2" t="s">
        <v>1937</v>
      </c>
      <c r="M42" s="2" t="s">
        <v>1936</v>
      </c>
      <c r="N42" s="9" t="s">
        <v>1938</v>
      </c>
      <c r="O42" s="6" t="s">
        <v>84</v>
      </c>
      <c r="P42" s="6" t="s">
        <v>85</v>
      </c>
      <c r="Q42" s="6" t="s">
        <v>5411</v>
      </c>
      <c r="R42" s="6" t="s">
        <v>5368</v>
      </c>
    </row>
    <row r="43" customFormat="false" ht="23.85" hidden="false" customHeight="false" outlineLevel="0" collapsed="false">
      <c r="A43" s="6" t="s">
        <v>4798</v>
      </c>
      <c r="B43" s="6" t="s">
        <v>167</v>
      </c>
      <c r="C43" s="6" t="s">
        <v>4848</v>
      </c>
      <c r="D43" s="6" t="s">
        <v>2293</v>
      </c>
      <c r="E43" s="6" t="s">
        <v>2293</v>
      </c>
      <c r="F43" s="6" t="s">
        <v>2294</v>
      </c>
      <c r="G43" s="6" t="s">
        <v>1215</v>
      </c>
      <c r="H43" s="6" t="s">
        <v>287</v>
      </c>
      <c r="I43" s="6" t="s">
        <v>4680</v>
      </c>
      <c r="J43" s="6" t="s">
        <v>5365</v>
      </c>
      <c r="K43" s="6" t="s">
        <v>4790</v>
      </c>
      <c r="L43" s="2" t="s">
        <v>2297</v>
      </c>
      <c r="M43" s="2" t="s">
        <v>2308</v>
      </c>
      <c r="N43" s="9" t="s">
        <v>2298</v>
      </c>
      <c r="O43" s="6" t="s">
        <v>308</v>
      </c>
      <c r="P43" s="6" t="s">
        <v>85</v>
      </c>
      <c r="Q43" s="6" t="s">
        <v>4798</v>
      </c>
      <c r="R43" s="6" t="s">
        <v>167</v>
      </c>
    </row>
    <row r="44" customFormat="false" ht="23.85" hidden="false" customHeight="false" outlineLevel="0" collapsed="false">
      <c r="A44" s="6" t="s">
        <v>4798</v>
      </c>
      <c r="B44" s="6" t="s">
        <v>167</v>
      </c>
      <c r="C44" s="6" t="s">
        <v>4848</v>
      </c>
      <c r="D44" s="6" t="s">
        <v>3224</v>
      </c>
      <c r="E44" s="6" t="s">
        <v>3224</v>
      </c>
      <c r="F44" s="6" t="s">
        <v>2294</v>
      </c>
      <c r="G44" s="6" t="s">
        <v>1215</v>
      </c>
      <c r="H44" s="6" t="s">
        <v>287</v>
      </c>
      <c r="I44" s="6" t="s">
        <v>4684</v>
      </c>
      <c r="J44" s="6" t="s">
        <v>5365</v>
      </c>
      <c r="K44" s="6" t="s">
        <v>4790</v>
      </c>
      <c r="L44" s="2" t="s">
        <v>3225</v>
      </c>
      <c r="M44" s="2"/>
      <c r="N44" s="9" t="s">
        <v>3226</v>
      </c>
      <c r="O44" s="6" t="s">
        <v>160</v>
      </c>
      <c r="P44" s="6" t="s">
        <v>85</v>
      </c>
      <c r="Q44" s="6" t="s">
        <v>4798</v>
      </c>
      <c r="R44" s="6" t="s">
        <v>167</v>
      </c>
    </row>
    <row r="45" customFormat="false" ht="23.85" hidden="false" customHeight="false" outlineLevel="0" collapsed="false">
      <c r="A45" s="6" t="s">
        <v>4798</v>
      </c>
      <c r="B45" s="6" t="s">
        <v>167</v>
      </c>
      <c r="C45" s="6" t="s">
        <v>4848</v>
      </c>
      <c r="D45" s="6" t="s">
        <v>3232</v>
      </c>
      <c r="E45" s="6" t="s">
        <v>3232</v>
      </c>
      <c r="F45" s="6" t="s">
        <v>708</v>
      </c>
      <c r="G45" s="6" t="s">
        <v>1598</v>
      </c>
      <c r="H45" s="6" t="s">
        <v>287</v>
      </c>
      <c r="I45" s="6" t="s">
        <v>4732</v>
      </c>
      <c r="J45" s="6" t="s">
        <v>5365</v>
      </c>
      <c r="K45" s="6" t="s">
        <v>4790</v>
      </c>
      <c r="L45" s="2" t="s">
        <v>3234</v>
      </c>
      <c r="M45" s="2"/>
      <c r="N45" s="9" t="s">
        <v>3235</v>
      </c>
      <c r="O45" s="6" t="s">
        <v>84</v>
      </c>
      <c r="P45" s="6" t="s">
        <v>85</v>
      </c>
      <c r="Q45" s="6" t="s">
        <v>4798</v>
      </c>
      <c r="R45" s="6" t="s">
        <v>167</v>
      </c>
    </row>
    <row r="46" customFormat="false" ht="23.85" hidden="false" customHeight="false" outlineLevel="0" collapsed="false">
      <c r="A46" s="6" t="s">
        <v>4798</v>
      </c>
      <c r="B46" s="6" t="s">
        <v>167</v>
      </c>
      <c r="C46" s="6" t="s">
        <v>4848</v>
      </c>
      <c r="D46" s="6" t="s">
        <v>2306</v>
      </c>
      <c r="E46" s="6" t="s">
        <v>2306</v>
      </c>
      <c r="F46" s="6" t="s">
        <v>2307</v>
      </c>
      <c r="G46" s="6" t="s">
        <v>1598</v>
      </c>
      <c r="H46" s="6" t="s">
        <v>287</v>
      </c>
      <c r="I46" s="6" t="s">
        <v>4684</v>
      </c>
      <c r="J46" s="6" t="s">
        <v>5365</v>
      </c>
      <c r="K46" s="6" t="s">
        <v>4790</v>
      </c>
      <c r="L46" s="2" t="s">
        <v>2309</v>
      </c>
      <c r="M46" s="2" t="s">
        <v>2308</v>
      </c>
      <c r="N46" s="9" t="s">
        <v>2310</v>
      </c>
      <c r="O46" s="6" t="s">
        <v>461</v>
      </c>
      <c r="P46" s="6" t="s">
        <v>85</v>
      </c>
      <c r="Q46" s="6" t="s">
        <v>4798</v>
      </c>
      <c r="R46" s="6" t="s">
        <v>167</v>
      </c>
    </row>
    <row r="47" customFormat="false" ht="23.85" hidden="false" customHeight="false" outlineLevel="0" collapsed="false">
      <c r="A47" s="6" t="s">
        <v>4798</v>
      </c>
      <c r="B47" s="6" t="s">
        <v>167</v>
      </c>
      <c r="C47" s="6" t="s">
        <v>4848</v>
      </c>
      <c r="D47" s="6" t="s">
        <v>351</v>
      </c>
      <c r="E47" s="6" t="s">
        <v>351</v>
      </c>
      <c r="F47" s="6" t="s">
        <v>352</v>
      </c>
      <c r="G47" s="6" t="s">
        <v>118</v>
      </c>
      <c r="H47" s="6" t="s">
        <v>287</v>
      </c>
      <c r="I47" s="6" t="s">
        <v>4676</v>
      </c>
      <c r="J47" s="6" t="s">
        <v>5412</v>
      </c>
      <c r="K47" s="6" t="s">
        <v>4679</v>
      </c>
      <c r="L47" s="2" t="s">
        <v>5413</v>
      </c>
      <c r="M47" s="2" t="s">
        <v>5414</v>
      </c>
      <c r="N47" s="9" t="s">
        <v>357</v>
      </c>
      <c r="O47" s="6" t="s">
        <v>5415</v>
      </c>
      <c r="P47" s="6" t="s">
        <v>106</v>
      </c>
      <c r="Q47" s="6" t="s">
        <v>4798</v>
      </c>
      <c r="R47" s="6" t="s">
        <v>167</v>
      </c>
    </row>
    <row r="48" customFormat="false" ht="23.85" hidden="false" customHeight="false" outlineLevel="0" collapsed="false">
      <c r="A48" s="6" t="s">
        <v>4798</v>
      </c>
      <c r="B48" s="6" t="s">
        <v>167</v>
      </c>
      <c r="C48" s="6" t="s">
        <v>4848</v>
      </c>
      <c r="D48" s="6" t="s">
        <v>987</v>
      </c>
      <c r="E48" s="6" t="s">
        <v>5416</v>
      </c>
      <c r="F48" s="6" t="s">
        <v>5417</v>
      </c>
      <c r="G48" s="6" t="s">
        <v>76</v>
      </c>
      <c r="H48" s="6" t="s">
        <v>287</v>
      </c>
      <c r="I48" s="6" t="s">
        <v>4680</v>
      </c>
      <c r="J48" s="6" t="s">
        <v>1431</v>
      </c>
      <c r="K48" s="6" t="s">
        <v>4790</v>
      </c>
      <c r="L48" s="2" t="s">
        <v>5418</v>
      </c>
      <c r="M48" s="2" t="s">
        <v>5419</v>
      </c>
      <c r="N48" s="9" t="s">
        <v>993</v>
      </c>
      <c r="O48" s="6" t="s">
        <v>504</v>
      </c>
      <c r="P48" s="6" t="s">
        <v>85</v>
      </c>
      <c r="Q48" s="6" t="s">
        <v>4798</v>
      </c>
      <c r="R48" s="6" t="s">
        <v>167</v>
      </c>
    </row>
    <row r="49" customFormat="false" ht="23.85" hidden="false" customHeight="false" outlineLevel="0" collapsed="false">
      <c r="A49" s="6" t="s">
        <v>4798</v>
      </c>
      <c r="B49" s="6" t="s">
        <v>167</v>
      </c>
      <c r="C49" s="6" t="s">
        <v>4848</v>
      </c>
      <c r="D49" s="6" t="s">
        <v>2493</v>
      </c>
      <c r="E49" s="6" t="s">
        <v>2493</v>
      </c>
      <c r="F49" s="6" t="s">
        <v>708</v>
      </c>
      <c r="G49" s="6" t="s">
        <v>182</v>
      </c>
      <c r="H49" s="6" t="s">
        <v>287</v>
      </c>
      <c r="I49" s="6" t="s">
        <v>4684</v>
      </c>
      <c r="J49" s="6" t="s">
        <v>5365</v>
      </c>
      <c r="K49" s="6" t="s">
        <v>4790</v>
      </c>
      <c r="L49" s="2" t="s">
        <v>2495</v>
      </c>
      <c r="M49" s="2" t="s">
        <v>2494</v>
      </c>
      <c r="N49" s="9" t="s">
        <v>2496</v>
      </c>
      <c r="O49" s="6" t="s">
        <v>281</v>
      </c>
      <c r="P49" s="6" t="s">
        <v>106</v>
      </c>
      <c r="Q49" s="6" t="s">
        <v>5420</v>
      </c>
      <c r="R49" s="6" t="s">
        <v>5368</v>
      </c>
    </row>
    <row r="50" customFormat="false" ht="23.85" hidden="false" customHeight="false" outlineLevel="0" collapsed="false">
      <c r="A50" s="6" t="s">
        <v>4798</v>
      </c>
      <c r="B50" s="6" t="s">
        <v>167</v>
      </c>
      <c r="C50" s="6" t="s">
        <v>4848</v>
      </c>
      <c r="D50" s="6" t="s">
        <v>2123</v>
      </c>
      <c r="E50" s="6" t="s">
        <v>2123</v>
      </c>
      <c r="F50" s="6" t="s">
        <v>2124</v>
      </c>
      <c r="G50" s="6" t="s">
        <v>118</v>
      </c>
      <c r="H50" s="6" t="s">
        <v>287</v>
      </c>
      <c r="I50" s="6" t="s">
        <v>4680</v>
      </c>
      <c r="J50" s="6" t="s">
        <v>5365</v>
      </c>
      <c r="K50" s="6" t="s">
        <v>4790</v>
      </c>
      <c r="L50" s="2" t="s">
        <v>2127</v>
      </c>
      <c r="M50" s="2" t="s">
        <v>2126</v>
      </c>
      <c r="N50" s="9" t="s">
        <v>2128</v>
      </c>
      <c r="O50" s="6" t="s">
        <v>256</v>
      </c>
      <c r="P50" s="6" t="s">
        <v>106</v>
      </c>
      <c r="Q50" s="6" t="s">
        <v>4798</v>
      </c>
      <c r="R50" s="6" t="s">
        <v>5357</v>
      </c>
    </row>
    <row r="51" customFormat="false" ht="35.05" hidden="false" customHeight="false" outlineLevel="0" collapsed="false">
      <c r="A51" s="6" t="s">
        <v>4798</v>
      </c>
      <c r="B51" s="6" t="s">
        <v>167</v>
      </c>
      <c r="C51" s="6" t="s">
        <v>4848</v>
      </c>
      <c r="D51" s="6" t="s">
        <v>855</v>
      </c>
      <c r="E51" s="6" t="s">
        <v>855</v>
      </c>
      <c r="F51" s="6" t="s">
        <v>467</v>
      </c>
      <c r="G51" s="6" t="s">
        <v>76</v>
      </c>
      <c r="H51" s="6" t="s">
        <v>287</v>
      </c>
      <c r="I51" s="6" t="s">
        <v>4684</v>
      </c>
      <c r="J51" s="6" t="s">
        <v>5365</v>
      </c>
      <c r="K51" s="6" t="s">
        <v>4790</v>
      </c>
      <c r="L51" s="2" t="s">
        <v>5421</v>
      </c>
      <c r="M51" s="2" t="s">
        <v>857</v>
      </c>
      <c r="N51" s="9" t="s">
        <v>860</v>
      </c>
      <c r="O51" s="6" t="s">
        <v>160</v>
      </c>
      <c r="P51" s="6" t="s">
        <v>106</v>
      </c>
      <c r="Q51" s="6" t="s">
        <v>5411</v>
      </c>
      <c r="R51" s="6" t="s">
        <v>5368</v>
      </c>
    </row>
    <row r="52" customFormat="false" ht="15" hidden="false" customHeight="false" outlineLevel="0" collapsed="false">
      <c r="A52" s="6" t="s">
        <v>4798</v>
      </c>
      <c r="B52" s="6" t="s">
        <v>167</v>
      </c>
      <c r="C52" s="6" t="s">
        <v>4848</v>
      </c>
      <c r="D52" s="6" t="s">
        <v>855</v>
      </c>
      <c r="E52" s="6" t="s">
        <v>855</v>
      </c>
      <c r="F52" s="6" t="s">
        <v>134</v>
      </c>
      <c r="G52" s="6" t="s">
        <v>76</v>
      </c>
      <c r="H52" s="6" t="s">
        <v>287</v>
      </c>
      <c r="I52" s="6" t="s">
        <v>4680</v>
      </c>
      <c r="J52" s="6" t="s">
        <v>5365</v>
      </c>
      <c r="K52" s="6" t="s">
        <v>4790</v>
      </c>
      <c r="L52" s="2" t="s">
        <v>858</v>
      </c>
      <c r="M52" s="2"/>
      <c r="N52" s="9" t="s">
        <v>859</v>
      </c>
      <c r="O52" s="6" t="s">
        <v>97</v>
      </c>
      <c r="P52" s="6" t="s">
        <v>85</v>
      </c>
      <c r="Q52" s="6" t="s">
        <v>5422</v>
      </c>
      <c r="R52" s="6" t="s">
        <v>167</v>
      </c>
    </row>
    <row r="53" customFormat="false" ht="23.85" hidden="false" customHeight="false" outlineLevel="0" collapsed="false">
      <c r="A53" s="6" t="s">
        <v>4798</v>
      </c>
      <c r="B53" s="6" t="s">
        <v>167</v>
      </c>
      <c r="C53" s="6" t="s">
        <v>4848</v>
      </c>
      <c r="D53" s="6" t="s">
        <v>1157</v>
      </c>
      <c r="E53" s="6" t="s">
        <v>1157</v>
      </c>
      <c r="F53" s="6" t="s">
        <v>1158</v>
      </c>
      <c r="G53" s="6" t="s">
        <v>1085</v>
      </c>
      <c r="H53" s="6" t="s">
        <v>287</v>
      </c>
      <c r="I53" s="6" t="s">
        <v>4684</v>
      </c>
      <c r="J53" s="6" t="s">
        <v>5423</v>
      </c>
      <c r="K53" s="6" t="s">
        <v>4726</v>
      </c>
      <c r="L53" s="2" t="s">
        <v>5424</v>
      </c>
      <c r="M53" s="2" t="s">
        <v>5425</v>
      </c>
      <c r="N53" s="9" t="s">
        <v>1163</v>
      </c>
      <c r="O53" s="6" t="s">
        <v>5423</v>
      </c>
      <c r="P53" s="6" t="s">
        <v>98</v>
      </c>
      <c r="Q53" s="6" t="s">
        <v>4798</v>
      </c>
      <c r="R53" s="6" t="s">
        <v>167</v>
      </c>
    </row>
    <row r="54" customFormat="false" ht="23.85" hidden="false" customHeight="false" outlineLevel="0" collapsed="false">
      <c r="A54" s="6" t="s">
        <v>4798</v>
      </c>
      <c r="B54" s="6" t="s">
        <v>167</v>
      </c>
      <c r="C54" s="6" t="s">
        <v>4848</v>
      </c>
      <c r="D54" s="6" t="s">
        <v>3815</v>
      </c>
      <c r="E54" s="6" t="s">
        <v>3815</v>
      </c>
      <c r="F54" s="6" t="s">
        <v>2774</v>
      </c>
      <c r="G54" s="6" t="s">
        <v>3000</v>
      </c>
      <c r="H54" s="6" t="s">
        <v>1445</v>
      </c>
      <c r="I54" s="6" t="s">
        <v>4680</v>
      </c>
      <c r="J54" s="6" t="s">
        <v>5365</v>
      </c>
      <c r="K54" s="6" t="s">
        <v>4790</v>
      </c>
      <c r="L54" s="2" t="s">
        <v>3819</v>
      </c>
      <c r="M54" s="2"/>
      <c r="N54" s="9" t="s">
        <v>3820</v>
      </c>
      <c r="O54" s="6" t="s">
        <v>150</v>
      </c>
      <c r="P54" s="6" t="s">
        <v>85</v>
      </c>
      <c r="Q54" s="6" t="s">
        <v>4798</v>
      </c>
      <c r="R54" s="6" t="s">
        <v>167</v>
      </c>
    </row>
    <row r="55" customFormat="false" ht="23.85" hidden="false" customHeight="false" outlineLevel="0" collapsed="false">
      <c r="A55" s="6" t="s">
        <v>4798</v>
      </c>
      <c r="B55" s="6" t="s">
        <v>167</v>
      </c>
      <c r="C55" s="6" t="s">
        <v>4848</v>
      </c>
      <c r="D55" s="6" t="s">
        <v>3103</v>
      </c>
      <c r="E55" s="6" t="s">
        <v>3103</v>
      </c>
      <c r="F55" s="6" t="s">
        <v>2601</v>
      </c>
      <c r="G55" s="6" t="s">
        <v>153</v>
      </c>
      <c r="H55" s="6" t="s">
        <v>1445</v>
      </c>
      <c r="I55" s="6" t="s">
        <v>4684</v>
      </c>
      <c r="J55" s="6" t="s">
        <v>5365</v>
      </c>
      <c r="K55" s="6" t="s">
        <v>4790</v>
      </c>
      <c r="L55" s="2" t="s">
        <v>5426</v>
      </c>
      <c r="M55" s="2" t="s">
        <v>5427</v>
      </c>
      <c r="N55" s="9" t="s">
        <v>3107</v>
      </c>
      <c r="O55" s="6" t="s">
        <v>97</v>
      </c>
      <c r="P55" s="6" t="s">
        <v>106</v>
      </c>
      <c r="Q55" s="6" t="s">
        <v>4798</v>
      </c>
      <c r="R55" s="6" t="s">
        <v>5357</v>
      </c>
    </row>
    <row r="56" customFormat="false" ht="15" hidden="false" customHeight="false" outlineLevel="0" collapsed="false">
      <c r="A56" s="6" t="s">
        <v>4798</v>
      </c>
      <c r="B56" s="6" t="s">
        <v>167</v>
      </c>
      <c r="C56" s="6" t="s">
        <v>4848</v>
      </c>
      <c r="D56" s="6" t="s">
        <v>3103</v>
      </c>
      <c r="E56" s="6" t="s">
        <v>3103</v>
      </c>
      <c r="F56" s="6" t="s">
        <v>2601</v>
      </c>
      <c r="G56" s="6" t="s">
        <v>153</v>
      </c>
      <c r="H56" s="6" t="s">
        <v>1445</v>
      </c>
      <c r="I56" s="6" t="s">
        <v>4680</v>
      </c>
      <c r="J56" s="6" t="s">
        <v>5428</v>
      </c>
      <c r="K56" s="6" t="s">
        <v>4790</v>
      </c>
      <c r="L56" s="2" t="s">
        <v>3106</v>
      </c>
      <c r="M56" s="2" t="s">
        <v>5429</v>
      </c>
      <c r="N56" s="9" t="s">
        <v>3107</v>
      </c>
      <c r="O56" s="6" t="s">
        <v>97</v>
      </c>
      <c r="P56" s="6" t="s">
        <v>85</v>
      </c>
      <c r="Q56" s="6" t="s">
        <v>4798</v>
      </c>
      <c r="R56" s="6" t="s">
        <v>167</v>
      </c>
    </row>
    <row r="57" customFormat="false" ht="15" hidden="false" customHeight="false" outlineLevel="0" collapsed="false">
      <c r="A57" s="6" t="s">
        <v>4798</v>
      </c>
      <c r="B57" s="6" t="s">
        <v>167</v>
      </c>
      <c r="C57" s="6" t="s">
        <v>4848</v>
      </c>
      <c r="D57" s="6" t="s">
        <v>4076</v>
      </c>
      <c r="E57" s="6" t="s">
        <v>4076</v>
      </c>
      <c r="F57" s="6" t="s">
        <v>2307</v>
      </c>
      <c r="G57" s="6" t="s">
        <v>1598</v>
      </c>
      <c r="H57" s="6" t="s">
        <v>1445</v>
      </c>
      <c r="I57" s="6" t="s">
        <v>4684</v>
      </c>
      <c r="J57" s="6" t="s">
        <v>5365</v>
      </c>
      <c r="K57" s="6" t="s">
        <v>4790</v>
      </c>
      <c r="L57" s="2" t="s">
        <v>4077</v>
      </c>
      <c r="M57" s="2"/>
      <c r="N57" s="9" t="s">
        <v>4078</v>
      </c>
      <c r="O57" s="6" t="s">
        <v>461</v>
      </c>
      <c r="P57" s="6" t="s">
        <v>85</v>
      </c>
      <c r="Q57" s="6" t="s">
        <v>4798</v>
      </c>
      <c r="R57" s="6" t="s">
        <v>167</v>
      </c>
    </row>
    <row r="58" customFormat="false" ht="15" hidden="false" customHeight="false" outlineLevel="0" collapsed="false">
      <c r="A58" s="6" t="s">
        <v>4798</v>
      </c>
      <c r="B58" s="6" t="s">
        <v>167</v>
      </c>
      <c r="C58" s="6" t="s">
        <v>4848</v>
      </c>
      <c r="D58" s="6" t="s">
        <v>4079</v>
      </c>
      <c r="E58" s="6" t="s">
        <v>4079</v>
      </c>
      <c r="F58" s="6" t="s">
        <v>2307</v>
      </c>
      <c r="G58" s="6" t="s">
        <v>1598</v>
      </c>
      <c r="H58" s="6" t="s">
        <v>1445</v>
      </c>
      <c r="I58" s="6" t="s">
        <v>4684</v>
      </c>
      <c r="J58" s="6" t="s">
        <v>5365</v>
      </c>
      <c r="K58" s="6" t="s">
        <v>4790</v>
      </c>
      <c r="L58" s="2" t="s">
        <v>4080</v>
      </c>
      <c r="M58" s="2"/>
      <c r="N58" s="9" t="s">
        <v>4081</v>
      </c>
      <c r="O58" s="6" t="s">
        <v>160</v>
      </c>
      <c r="P58" s="6" t="s">
        <v>85</v>
      </c>
      <c r="Q58" s="6" t="s">
        <v>4798</v>
      </c>
      <c r="R58" s="6" t="s">
        <v>167</v>
      </c>
    </row>
    <row r="59" customFormat="false" ht="23.85" hidden="false" customHeight="false" outlineLevel="0" collapsed="false">
      <c r="A59" s="6" t="s">
        <v>4798</v>
      </c>
      <c r="B59" s="6" t="s">
        <v>167</v>
      </c>
      <c r="C59" s="6" t="s">
        <v>4848</v>
      </c>
      <c r="D59" s="6" t="s">
        <v>3521</v>
      </c>
      <c r="E59" s="6" t="s">
        <v>3521</v>
      </c>
      <c r="F59" s="6" t="s">
        <v>2307</v>
      </c>
      <c r="G59" s="6" t="s">
        <v>1598</v>
      </c>
      <c r="H59" s="6" t="s">
        <v>1445</v>
      </c>
      <c r="I59" s="6" t="s">
        <v>4684</v>
      </c>
      <c r="J59" s="6" t="s">
        <v>5365</v>
      </c>
      <c r="K59" s="6" t="s">
        <v>4790</v>
      </c>
      <c r="L59" s="2" t="s">
        <v>3522</v>
      </c>
      <c r="M59" s="2" t="s">
        <v>2308</v>
      </c>
      <c r="N59" s="9" t="s">
        <v>3523</v>
      </c>
      <c r="O59" s="6" t="s">
        <v>332</v>
      </c>
      <c r="P59" s="6" t="s">
        <v>85</v>
      </c>
      <c r="Q59" s="6" t="s">
        <v>4798</v>
      </c>
      <c r="R59" s="6" t="s">
        <v>167</v>
      </c>
    </row>
    <row r="60" customFormat="false" ht="15" hidden="false" customHeight="false" outlineLevel="0" collapsed="false">
      <c r="A60" s="6" t="s">
        <v>4798</v>
      </c>
      <c r="B60" s="6" t="s">
        <v>167</v>
      </c>
      <c r="C60" s="6" t="s">
        <v>4848</v>
      </c>
      <c r="D60" s="6" t="s">
        <v>3650</v>
      </c>
      <c r="E60" s="6" t="s">
        <v>3650</v>
      </c>
      <c r="F60" s="6" t="s">
        <v>3651</v>
      </c>
      <c r="G60" s="6" t="s">
        <v>153</v>
      </c>
      <c r="H60" s="6" t="s">
        <v>1445</v>
      </c>
      <c r="I60" s="6" t="s">
        <v>4684</v>
      </c>
      <c r="J60" s="6" t="s">
        <v>5365</v>
      </c>
      <c r="K60" s="6" t="s">
        <v>4790</v>
      </c>
      <c r="L60" s="2" t="s">
        <v>3652</v>
      </c>
      <c r="M60" s="2"/>
      <c r="N60" s="9" t="s">
        <v>3653</v>
      </c>
      <c r="O60" s="6" t="s">
        <v>461</v>
      </c>
      <c r="P60" s="6" t="s">
        <v>85</v>
      </c>
      <c r="Q60" s="6" t="s">
        <v>4798</v>
      </c>
      <c r="R60" s="6" t="s">
        <v>167</v>
      </c>
    </row>
    <row r="61" customFormat="false" ht="23.85" hidden="false" customHeight="false" outlineLevel="0" collapsed="false">
      <c r="A61" s="6" t="s">
        <v>4798</v>
      </c>
      <c r="B61" s="6" t="s">
        <v>167</v>
      </c>
      <c r="C61" s="6" t="s">
        <v>4848</v>
      </c>
      <c r="D61" s="6" t="s">
        <v>4093</v>
      </c>
      <c r="E61" s="6" t="s">
        <v>4093</v>
      </c>
      <c r="F61" s="6" t="s">
        <v>3832</v>
      </c>
      <c r="G61" s="6" t="s">
        <v>1598</v>
      </c>
      <c r="H61" s="6" t="s">
        <v>1445</v>
      </c>
      <c r="I61" s="6" t="s">
        <v>4684</v>
      </c>
      <c r="J61" s="6" t="s">
        <v>5365</v>
      </c>
      <c r="K61" s="6" t="s">
        <v>4790</v>
      </c>
      <c r="L61" s="2" t="s">
        <v>4095</v>
      </c>
      <c r="M61" s="2" t="s">
        <v>4094</v>
      </c>
      <c r="N61" s="9" t="s">
        <v>4096</v>
      </c>
      <c r="O61" s="6" t="s">
        <v>226</v>
      </c>
      <c r="P61" s="6" t="s">
        <v>106</v>
      </c>
      <c r="Q61" s="6" t="s">
        <v>4798</v>
      </c>
      <c r="R61" s="6" t="s">
        <v>167</v>
      </c>
    </row>
    <row r="62" customFormat="false" ht="23.85" hidden="false" customHeight="false" outlineLevel="0" collapsed="false">
      <c r="A62" s="6" t="s">
        <v>4798</v>
      </c>
      <c r="B62" s="6" t="s">
        <v>167</v>
      </c>
      <c r="C62" s="6" t="s">
        <v>4848</v>
      </c>
      <c r="D62" s="6" t="s">
        <v>3832</v>
      </c>
      <c r="E62" s="6" t="s">
        <v>5430</v>
      </c>
      <c r="F62" s="6" t="s">
        <v>3832</v>
      </c>
      <c r="G62" s="6" t="s">
        <v>1598</v>
      </c>
      <c r="H62" s="6" t="s">
        <v>1445</v>
      </c>
      <c r="I62" s="6" t="s">
        <v>4706</v>
      </c>
      <c r="J62" s="6" t="s">
        <v>5365</v>
      </c>
      <c r="K62" s="6" t="s">
        <v>4790</v>
      </c>
      <c r="L62" s="2" t="s">
        <v>3835</v>
      </c>
      <c r="M62" s="2" t="s">
        <v>5431</v>
      </c>
      <c r="N62" s="9" t="s">
        <v>3836</v>
      </c>
      <c r="O62" s="6" t="s">
        <v>256</v>
      </c>
      <c r="P62" s="6" t="s">
        <v>85</v>
      </c>
      <c r="Q62" s="6" t="s">
        <v>4798</v>
      </c>
      <c r="R62" s="6" t="s">
        <v>167</v>
      </c>
    </row>
    <row r="63" customFormat="false" ht="15" hidden="false" customHeight="false" outlineLevel="0" collapsed="false">
      <c r="A63" s="6" t="s">
        <v>4798</v>
      </c>
      <c r="B63" s="6" t="s">
        <v>167</v>
      </c>
      <c r="C63" s="6" t="s">
        <v>4848</v>
      </c>
      <c r="D63" s="6" t="s">
        <v>4106</v>
      </c>
      <c r="E63" s="6" t="s">
        <v>4106</v>
      </c>
      <c r="F63" s="6" t="s">
        <v>3832</v>
      </c>
      <c r="G63" s="6" t="s">
        <v>1598</v>
      </c>
      <c r="H63" s="6" t="s">
        <v>1445</v>
      </c>
      <c r="I63" s="6" t="s">
        <v>4684</v>
      </c>
      <c r="J63" s="6" t="s">
        <v>5365</v>
      </c>
      <c r="K63" s="6" t="s">
        <v>4790</v>
      </c>
      <c r="L63" s="2" t="s">
        <v>4107</v>
      </c>
      <c r="M63" s="2"/>
      <c r="N63" s="9" t="s">
        <v>4108</v>
      </c>
      <c r="O63" s="6" t="s">
        <v>84</v>
      </c>
      <c r="P63" s="6" t="s">
        <v>85</v>
      </c>
      <c r="Q63" s="6" t="s">
        <v>4798</v>
      </c>
      <c r="R63" s="6" t="s">
        <v>167</v>
      </c>
    </row>
    <row r="64" customFormat="false" ht="15" hidden="false" customHeight="false" outlineLevel="0" collapsed="false">
      <c r="A64" s="6" t="s">
        <v>4798</v>
      </c>
      <c r="B64" s="6" t="s">
        <v>167</v>
      </c>
      <c r="C64" s="6" t="s">
        <v>4848</v>
      </c>
      <c r="D64" s="6" t="s">
        <v>3272</v>
      </c>
      <c r="E64" s="6" t="s">
        <v>3272</v>
      </c>
      <c r="F64" s="6" t="s">
        <v>3272</v>
      </c>
      <c r="G64" s="6" t="s">
        <v>1215</v>
      </c>
      <c r="H64" s="6" t="s">
        <v>1445</v>
      </c>
      <c r="I64" s="6" t="s">
        <v>4684</v>
      </c>
      <c r="J64" s="6" t="s">
        <v>5365</v>
      </c>
      <c r="K64" s="6" t="s">
        <v>4790</v>
      </c>
      <c r="L64" s="2" t="s">
        <v>3274</v>
      </c>
      <c r="M64" s="2"/>
      <c r="N64" s="9" t="s">
        <v>3275</v>
      </c>
      <c r="O64" s="6" t="s">
        <v>461</v>
      </c>
      <c r="P64" s="6" t="s">
        <v>85</v>
      </c>
      <c r="Q64" s="6" t="s">
        <v>4798</v>
      </c>
      <c r="R64" s="6" t="s">
        <v>167</v>
      </c>
    </row>
    <row r="65" customFormat="false" ht="23.85" hidden="false" customHeight="false" outlineLevel="0" collapsed="false">
      <c r="A65" s="6" t="s">
        <v>4798</v>
      </c>
      <c r="B65" s="6" t="s">
        <v>167</v>
      </c>
      <c r="C65" s="6" t="s">
        <v>4848</v>
      </c>
      <c r="D65" s="6" t="s">
        <v>4155</v>
      </c>
      <c r="E65" s="6" t="s">
        <v>4155</v>
      </c>
      <c r="F65" s="6" t="s">
        <v>4150</v>
      </c>
      <c r="G65" s="6" t="s">
        <v>1215</v>
      </c>
      <c r="H65" s="6" t="s">
        <v>1445</v>
      </c>
      <c r="I65" s="6" t="s">
        <v>4732</v>
      </c>
      <c r="J65" s="6" t="s">
        <v>4188</v>
      </c>
      <c r="K65" s="6" t="s">
        <v>4790</v>
      </c>
      <c r="L65" s="2" t="s">
        <v>4157</v>
      </c>
      <c r="M65" s="2"/>
      <c r="N65" s="9" t="s">
        <v>4158</v>
      </c>
      <c r="O65" s="6" t="s">
        <v>143</v>
      </c>
      <c r="P65" s="6" t="s">
        <v>85</v>
      </c>
      <c r="Q65" s="6" t="s">
        <v>5432</v>
      </c>
      <c r="R65" s="6" t="s">
        <v>167</v>
      </c>
    </row>
    <row r="66" customFormat="false" ht="23.85" hidden="false" customHeight="false" outlineLevel="0" collapsed="false">
      <c r="A66" s="6" t="s">
        <v>4798</v>
      </c>
      <c r="B66" s="6" t="s">
        <v>167</v>
      </c>
      <c r="C66" s="6" t="s">
        <v>4848</v>
      </c>
      <c r="D66" s="6" t="s">
        <v>3541</v>
      </c>
      <c r="E66" s="6" t="s">
        <v>3541</v>
      </c>
      <c r="F66" s="6" t="s">
        <v>3542</v>
      </c>
      <c r="G66" s="6" t="s">
        <v>1215</v>
      </c>
      <c r="H66" s="6" t="s">
        <v>1445</v>
      </c>
      <c r="I66" s="6" t="s">
        <v>4684</v>
      </c>
      <c r="J66" s="6" t="s">
        <v>5365</v>
      </c>
      <c r="K66" s="6" t="s">
        <v>4790</v>
      </c>
      <c r="L66" s="2" t="s">
        <v>3543</v>
      </c>
      <c r="M66" s="2" t="s">
        <v>2308</v>
      </c>
      <c r="N66" s="9" t="s">
        <v>3544</v>
      </c>
      <c r="O66" s="6" t="s">
        <v>308</v>
      </c>
      <c r="P66" s="6" t="s">
        <v>106</v>
      </c>
      <c r="Q66" s="6" t="s">
        <v>4798</v>
      </c>
      <c r="R66" s="6" t="s">
        <v>167</v>
      </c>
    </row>
    <row r="67" customFormat="false" ht="15" hidden="false" customHeight="false" outlineLevel="0" collapsed="false">
      <c r="A67" s="6" t="s">
        <v>4798</v>
      </c>
      <c r="B67" s="6" t="s">
        <v>167</v>
      </c>
      <c r="C67" s="6" t="s">
        <v>4848</v>
      </c>
      <c r="D67" s="6" t="s">
        <v>3308</v>
      </c>
      <c r="E67" s="6" t="s">
        <v>3308</v>
      </c>
      <c r="F67" s="6" t="s">
        <v>2750</v>
      </c>
      <c r="G67" s="6" t="s">
        <v>1583</v>
      </c>
      <c r="H67" s="6" t="s">
        <v>1445</v>
      </c>
      <c r="I67" s="6" t="s">
        <v>4684</v>
      </c>
      <c r="J67" s="6" t="s">
        <v>5365</v>
      </c>
      <c r="K67" s="6" t="s">
        <v>4790</v>
      </c>
      <c r="L67" s="2" t="s">
        <v>4183</v>
      </c>
      <c r="M67" s="2"/>
      <c r="N67" s="9" t="s">
        <v>4184</v>
      </c>
      <c r="O67" s="6" t="s">
        <v>411</v>
      </c>
      <c r="P67" s="6" t="s">
        <v>85</v>
      </c>
      <c r="Q67" s="6" t="s">
        <v>4798</v>
      </c>
      <c r="R67" s="6" t="s">
        <v>167</v>
      </c>
    </row>
    <row r="68" customFormat="false" ht="15" hidden="false" customHeight="false" outlineLevel="0" collapsed="false">
      <c r="A68" s="6" t="s">
        <v>4798</v>
      </c>
      <c r="B68" s="6" t="s">
        <v>167</v>
      </c>
      <c r="C68" s="6" t="s">
        <v>4848</v>
      </c>
      <c r="D68" s="6" t="s">
        <v>4240</v>
      </c>
      <c r="E68" s="6" t="s">
        <v>4240</v>
      </c>
      <c r="F68" s="6" t="s">
        <v>4241</v>
      </c>
      <c r="G68" s="6" t="s">
        <v>1215</v>
      </c>
      <c r="H68" s="6" t="s">
        <v>1445</v>
      </c>
      <c r="I68" s="6" t="s">
        <v>4684</v>
      </c>
      <c r="J68" s="6" t="s">
        <v>5365</v>
      </c>
      <c r="K68" s="6" t="s">
        <v>4790</v>
      </c>
      <c r="L68" s="2" t="s">
        <v>4243</v>
      </c>
      <c r="M68" s="2"/>
      <c r="N68" s="9" t="s">
        <v>4244</v>
      </c>
      <c r="O68" s="6" t="s">
        <v>226</v>
      </c>
      <c r="P68" s="6" t="s">
        <v>85</v>
      </c>
      <c r="Q68" s="6" t="s">
        <v>4798</v>
      </c>
      <c r="R68" s="6" t="s">
        <v>167</v>
      </c>
    </row>
    <row r="69" customFormat="false" ht="23.85" hidden="false" customHeight="false" outlineLevel="0" collapsed="false">
      <c r="A69" s="6" t="s">
        <v>4798</v>
      </c>
      <c r="B69" s="6" t="s">
        <v>167</v>
      </c>
      <c r="C69" s="6" t="s">
        <v>4848</v>
      </c>
      <c r="D69" s="6" t="s">
        <v>3031</v>
      </c>
      <c r="E69" s="6" t="s">
        <v>3031</v>
      </c>
      <c r="F69" s="6" t="s">
        <v>3029</v>
      </c>
      <c r="G69" s="6" t="s">
        <v>1215</v>
      </c>
      <c r="H69" s="6" t="s">
        <v>1445</v>
      </c>
      <c r="I69" s="6" t="s">
        <v>4684</v>
      </c>
      <c r="J69" s="6" t="s">
        <v>5365</v>
      </c>
      <c r="K69" s="6" t="s">
        <v>4718</v>
      </c>
      <c r="L69" s="2" t="s">
        <v>3034</v>
      </c>
      <c r="M69" s="2" t="s">
        <v>3033</v>
      </c>
      <c r="N69" s="9" t="s">
        <v>3035</v>
      </c>
      <c r="O69" s="6" t="s">
        <v>308</v>
      </c>
      <c r="P69" s="6" t="s">
        <v>85</v>
      </c>
      <c r="Q69" s="6" t="s">
        <v>4798</v>
      </c>
      <c r="R69" s="6" t="s">
        <v>5433</v>
      </c>
    </row>
    <row r="70" customFormat="false" ht="23.85" hidden="false" customHeight="false" outlineLevel="0" collapsed="false">
      <c r="A70" s="6" t="s">
        <v>4798</v>
      </c>
      <c r="B70" s="6" t="s">
        <v>167</v>
      </c>
      <c r="C70" s="6" t="s">
        <v>4848</v>
      </c>
      <c r="D70" s="6" t="s">
        <v>2982</v>
      </c>
      <c r="E70" s="6" t="s">
        <v>2982</v>
      </c>
      <c r="F70" s="6" t="s">
        <v>4348</v>
      </c>
      <c r="G70" s="6" t="s">
        <v>1598</v>
      </c>
      <c r="H70" s="6" t="s">
        <v>1445</v>
      </c>
      <c r="I70" s="6" t="s">
        <v>4680</v>
      </c>
      <c r="J70" s="6" t="s">
        <v>5365</v>
      </c>
      <c r="K70" s="6" t="s">
        <v>4790</v>
      </c>
      <c r="L70" s="2" t="s">
        <v>4349</v>
      </c>
      <c r="M70" s="2"/>
      <c r="N70" s="9" t="s">
        <v>4350</v>
      </c>
      <c r="O70" s="6" t="s">
        <v>130</v>
      </c>
      <c r="P70" s="6" t="s">
        <v>85</v>
      </c>
      <c r="Q70" s="6" t="s">
        <v>4798</v>
      </c>
      <c r="R70" s="6" t="s">
        <v>167</v>
      </c>
    </row>
    <row r="71" customFormat="false" ht="15" hidden="false" customHeight="false" outlineLevel="0" collapsed="false">
      <c r="A71" s="6" t="s">
        <v>4798</v>
      </c>
      <c r="B71" s="6" t="s">
        <v>167</v>
      </c>
      <c r="C71" s="6" t="s">
        <v>4848</v>
      </c>
      <c r="D71" s="6" t="s">
        <v>3953</v>
      </c>
      <c r="E71" s="6" t="s">
        <v>3953</v>
      </c>
      <c r="F71" s="6" t="s">
        <v>3954</v>
      </c>
      <c r="G71" s="6" t="s">
        <v>507</v>
      </c>
      <c r="H71" s="6" t="s">
        <v>1445</v>
      </c>
      <c r="I71" s="6" t="s">
        <v>4684</v>
      </c>
      <c r="J71" s="6" t="s">
        <v>5365</v>
      </c>
      <c r="K71" s="6" t="s">
        <v>4790</v>
      </c>
      <c r="L71" s="2" t="s">
        <v>3955</v>
      </c>
      <c r="M71" s="2"/>
      <c r="N71" s="9" t="s">
        <v>3956</v>
      </c>
      <c r="O71" s="6" t="s">
        <v>281</v>
      </c>
      <c r="P71" s="6" t="s">
        <v>85</v>
      </c>
      <c r="Q71" s="6" t="s">
        <v>4798</v>
      </c>
      <c r="R71" s="6" t="s">
        <v>167</v>
      </c>
    </row>
    <row r="72" customFormat="false" ht="15" hidden="false" customHeight="false" outlineLevel="0" collapsed="false">
      <c r="A72" s="6" t="s">
        <v>4798</v>
      </c>
      <c r="B72" s="6" t="s">
        <v>167</v>
      </c>
      <c r="C72" s="6" t="s">
        <v>4848</v>
      </c>
      <c r="D72" s="6" t="s">
        <v>3743</v>
      </c>
      <c r="E72" s="6" t="s">
        <v>3743</v>
      </c>
      <c r="F72" s="6" t="s">
        <v>708</v>
      </c>
      <c r="G72" s="6" t="s">
        <v>182</v>
      </c>
      <c r="H72" s="6" t="s">
        <v>1445</v>
      </c>
      <c r="I72" s="6" t="s">
        <v>4684</v>
      </c>
      <c r="J72" s="6" t="s">
        <v>5365</v>
      </c>
      <c r="K72" s="6" t="s">
        <v>4790</v>
      </c>
      <c r="L72" s="2" t="s">
        <v>3744</v>
      </c>
      <c r="M72" s="2"/>
      <c r="N72" s="9" t="s">
        <v>3745</v>
      </c>
      <c r="O72" s="6" t="s">
        <v>256</v>
      </c>
      <c r="P72" s="6" t="s">
        <v>85</v>
      </c>
      <c r="Q72" s="6" t="s">
        <v>4798</v>
      </c>
      <c r="R72" s="6" t="s">
        <v>167</v>
      </c>
    </row>
    <row r="73" customFormat="false" ht="23.85" hidden="false" customHeight="false" outlineLevel="0" collapsed="false">
      <c r="A73" s="6" t="s">
        <v>4798</v>
      </c>
      <c r="B73" s="6" t="s">
        <v>167</v>
      </c>
      <c r="C73" s="6" t="s">
        <v>4848</v>
      </c>
      <c r="D73" s="6" t="s">
        <v>4420</v>
      </c>
      <c r="E73" s="6" t="s">
        <v>4420</v>
      </c>
      <c r="F73" s="6" t="s">
        <v>3832</v>
      </c>
      <c r="G73" s="6" t="s">
        <v>1598</v>
      </c>
      <c r="H73" s="6" t="s">
        <v>1445</v>
      </c>
      <c r="I73" s="6" t="s">
        <v>4680</v>
      </c>
      <c r="J73" s="6" t="s">
        <v>461</v>
      </c>
      <c r="K73" s="6" t="s">
        <v>4675</v>
      </c>
      <c r="L73" s="2" t="s">
        <v>4422</v>
      </c>
      <c r="M73" s="2"/>
      <c r="N73" s="9" t="s">
        <v>4423</v>
      </c>
      <c r="O73" s="6" t="s">
        <v>461</v>
      </c>
      <c r="P73" s="6" t="s">
        <v>85</v>
      </c>
      <c r="Q73" s="6" t="s">
        <v>4798</v>
      </c>
      <c r="R73" s="6" t="s">
        <v>167</v>
      </c>
    </row>
    <row r="74" customFormat="false" ht="15" hidden="false" customHeight="false" outlineLevel="0" collapsed="false">
      <c r="A74" s="6" t="s">
        <v>4798</v>
      </c>
      <c r="B74" s="6" t="s">
        <v>167</v>
      </c>
      <c r="C74" s="6" t="s">
        <v>4848</v>
      </c>
      <c r="D74" s="6" t="s">
        <v>4469</v>
      </c>
      <c r="E74" s="6" t="s">
        <v>4469</v>
      </c>
      <c r="F74" s="6" t="s">
        <v>4470</v>
      </c>
      <c r="G74" s="6" t="s">
        <v>2312</v>
      </c>
      <c r="H74" s="6" t="s">
        <v>1445</v>
      </c>
      <c r="I74" s="6" t="s">
        <v>4684</v>
      </c>
      <c r="J74" s="6" t="s">
        <v>5365</v>
      </c>
      <c r="K74" s="6" t="s">
        <v>4790</v>
      </c>
      <c r="L74" s="2" t="s">
        <v>4471</v>
      </c>
      <c r="M74" s="2"/>
      <c r="N74" s="9" t="s">
        <v>4472</v>
      </c>
      <c r="O74" s="6" t="s">
        <v>256</v>
      </c>
      <c r="P74" s="6" t="s">
        <v>106</v>
      </c>
      <c r="Q74" s="6" t="s">
        <v>4798</v>
      </c>
      <c r="R74" s="6" t="s">
        <v>167</v>
      </c>
    </row>
    <row r="75" customFormat="false" ht="23.85" hidden="false" customHeight="false" outlineLevel="0" collapsed="false">
      <c r="A75" s="6" t="s">
        <v>4798</v>
      </c>
      <c r="B75" s="6" t="s">
        <v>167</v>
      </c>
      <c r="C75" s="6" t="s">
        <v>4848</v>
      </c>
      <c r="D75" s="6" t="s">
        <v>3760</v>
      </c>
      <c r="E75" s="6" t="s">
        <v>3760</v>
      </c>
      <c r="F75" s="6" t="s">
        <v>3761</v>
      </c>
      <c r="G75" s="6" t="s">
        <v>182</v>
      </c>
      <c r="H75" s="6" t="s">
        <v>1445</v>
      </c>
      <c r="I75" s="6" t="s">
        <v>4680</v>
      </c>
      <c r="J75" s="6" t="s">
        <v>5365</v>
      </c>
      <c r="K75" s="6" t="s">
        <v>4679</v>
      </c>
      <c r="L75" s="2" t="s">
        <v>4800</v>
      </c>
      <c r="M75" s="2" t="s">
        <v>4799</v>
      </c>
      <c r="N75" s="9" t="s">
        <v>3766</v>
      </c>
      <c r="O75" s="6" t="s">
        <v>308</v>
      </c>
      <c r="P75" s="6" t="s">
        <v>85</v>
      </c>
      <c r="Q75" s="6" t="s">
        <v>4798</v>
      </c>
      <c r="R75" s="6" t="s">
        <v>5433</v>
      </c>
    </row>
    <row r="76" customFormat="false" ht="15" hidden="false" customHeight="false" outlineLevel="0" collapsed="false">
      <c r="A76" s="6" t="s">
        <v>4798</v>
      </c>
      <c r="B76" s="6" t="s">
        <v>167</v>
      </c>
      <c r="C76" s="6" t="s">
        <v>4848</v>
      </c>
      <c r="D76" s="6" t="s">
        <v>4528</v>
      </c>
      <c r="E76" s="6" t="s">
        <v>4528</v>
      </c>
      <c r="F76" s="6" t="s">
        <v>4044</v>
      </c>
      <c r="G76" s="6" t="s">
        <v>1598</v>
      </c>
      <c r="H76" s="6" t="s">
        <v>1445</v>
      </c>
      <c r="I76" s="6" t="s">
        <v>4684</v>
      </c>
      <c r="J76" s="6" t="s">
        <v>5365</v>
      </c>
      <c r="K76" s="6" t="s">
        <v>4790</v>
      </c>
      <c r="L76" s="2" t="s">
        <v>4529</v>
      </c>
      <c r="M76" s="2"/>
      <c r="N76" s="9" t="s">
        <v>4530</v>
      </c>
      <c r="O76" s="6" t="s">
        <v>461</v>
      </c>
      <c r="P76" s="6" t="s">
        <v>85</v>
      </c>
      <c r="Q76" s="6" t="s">
        <v>4798</v>
      </c>
      <c r="R76" s="6" t="s">
        <v>167</v>
      </c>
    </row>
    <row r="77" customFormat="false" ht="15" hidden="false" customHeight="false" outlineLevel="0" collapsed="false">
      <c r="A77" s="6" t="s">
        <v>4798</v>
      </c>
      <c r="B77" s="6" t="s">
        <v>167</v>
      </c>
      <c r="C77" s="6" t="s">
        <v>4848</v>
      </c>
      <c r="D77" s="6" t="s">
        <v>3775</v>
      </c>
      <c r="E77" s="6" t="s">
        <v>3775</v>
      </c>
      <c r="F77" s="6" t="s">
        <v>751</v>
      </c>
      <c r="G77" s="6" t="s">
        <v>153</v>
      </c>
      <c r="H77" s="6" t="s">
        <v>1445</v>
      </c>
      <c r="I77" s="6" t="s">
        <v>4684</v>
      </c>
      <c r="J77" s="6" t="s">
        <v>5365</v>
      </c>
      <c r="K77" s="6" t="s">
        <v>4790</v>
      </c>
      <c r="L77" s="2" t="s">
        <v>3776</v>
      </c>
      <c r="M77" s="2"/>
      <c r="N77" s="9" t="s">
        <v>3777</v>
      </c>
      <c r="O77" s="6" t="s">
        <v>461</v>
      </c>
      <c r="P77" s="6" t="s">
        <v>85</v>
      </c>
      <c r="Q77" s="6" t="s">
        <v>4798</v>
      </c>
      <c r="R77" s="6" t="s">
        <v>167</v>
      </c>
    </row>
    <row r="78" customFormat="false" ht="15" hidden="false" customHeight="false" outlineLevel="0" collapsed="false">
      <c r="A78" s="6" t="s">
        <v>4798</v>
      </c>
      <c r="B78" s="6" t="s">
        <v>167</v>
      </c>
      <c r="C78" s="6" t="s">
        <v>4848</v>
      </c>
      <c r="D78" s="6" t="s">
        <v>3585</v>
      </c>
      <c r="E78" s="6" t="s">
        <v>3585</v>
      </c>
      <c r="F78" s="6" t="s">
        <v>3586</v>
      </c>
      <c r="G78" s="6" t="s">
        <v>1644</v>
      </c>
      <c r="H78" s="6" t="s">
        <v>1445</v>
      </c>
      <c r="I78" s="6" t="s">
        <v>4684</v>
      </c>
      <c r="J78" s="6" t="s">
        <v>5365</v>
      </c>
      <c r="K78" s="6" t="s">
        <v>4790</v>
      </c>
      <c r="L78" s="2" t="s">
        <v>3589</v>
      </c>
      <c r="M78" s="2" t="s">
        <v>5434</v>
      </c>
      <c r="N78" s="9" t="s">
        <v>3590</v>
      </c>
      <c r="O78" s="6" t="s">
        <v>160</v>
      </c>
      <c r="P78" s="6" t="s">
        <v>85</v>
      </c>
      <c r="Q78" s="6" t="s">
        <v>4798</v>
      </c>
      <c r="R78" s="6" t="s">
        <v>167</v>
      </c>
    </row>
    <row r="79" customFormat="false" ht="23.85" hidden="false" customHeight="false" outlineLevel="0" collapsed="false">
      <c r="A79" s="6" t="s">
        <v>4798</v>
      </c>
      <c r="B79" s="6" t="s">
        <v>167</v>
      </c>
      <c r="C79" s="6" t="s">
        <v>4848</v>
      </c>
      <c r="D79" s="6" t="s">
        <v>4557</v>
      </c>
      <c r="E79" s="6" t="s">
        <v>4557</v>
      </c>
      <c r="F79" s="6" t="s">
        <v>134</v>
      </c>
      <c r="G79" s="6" t="s">
        <v>2312</v>
      </c>
      <c r="H79" s="6" t="s">
        <v>1445</v>
      </c>
      <c r="I79" s="6" t="s">
        <v>4684</v>
      </c>
      <c r="J79" s="6" t="s">
        <v>5365</v>
      </c>
      <c r="K79" s="6" t="s">
        <v>4790</v>
      </c>
      <c r="L79" s="2" t="s">
        <v>4558</v>
      </c>
      <c r="M79" s="2"/>
      <c r="N79" s="9" t="s">
        <v>2056</v>
      </c>
      <c r="O79" s="6" t="s">
        <v>130</v>
      </c>
      <c r="P79" s="6" t="s">
        <v>106</v>
      </c>
      <c r="Q79" s="6" t="s">
        <v>5435</v>
      </c>
      <c r="R79" s="6" t="s">
        <v>167</v>
      </c>
    </row>
    <row r="80" customFormat="false" ht="23.85" hidden="false" customHeight="false" outlineLevel="0" collapsed="false">
      <c r="A80" s="6" t="s">
        <v>4798</v>
      </c>
      <c r="B80" s="6" t="s">
        <v>167</v>
      </c>
      <c r="C80" s="6" t="s">
        <v>4848</v>
      </c>
      <c r="D80" s="6" t="s">
        <v>3606</v>
      </c>
      <c r="E80" s="6" t="s">
        <v>3606</v>
      </c>
      <c r="F80" s="6" t="s">
        <v>3607</v>
      </c>
      <c r="G80" s="6" t="s">
        <v>1644</v>
      </c>
      <c r="H80" s="6" t="s">
        <v>1445</v>
      </c>
      <c r="I80" s="6" t="s">
        <v>4680</v>
      </c>
      <c r="J80" s="6" t="s">
        <v>5365</v>
      </c>
      <c r="K80" s="6" t="s">
        <v>4790</v>
      </c>
      <c r="L80" s="2" t="s">
        <v>3608</v>
      </c>
      <c r="M80" s="2" t="s">
        <v>2308</v>
      </c>
      <c r="N80" s="9" t="s">
        <v>3609</v>
      </c>
      <c r="O80" s="6" t="s">
        <v>97</v>
      </c>
      <c r="P80" s="6" t="s">
        <v>85</v>
      </c>
      <c r="Q80" s="6" t="s">
        <v>4798</v>
      </c>
      <c r="R80" s="6" t="s">
        <v>167</v>
      </c>
    </row>
    <row r="81" customFormat="false" ht="35.05" hidden="false" customHeight="false" outlineLevel="0" collapsed="false">
      <c r="A81" s="6" t="s">
        <v>4874</v>
      </c>
      <c r="B81" s="6" t="s">
        <v>167</v>
      </c>
      <c r="C81" s="6" t="s">
        <v>4870</v>
      </c>
      <c r="D81" s="6" t="s">
        <v>163</v>
      </c>
      <c r="E81" s="6" t="s">
        <v>5436</v>
      </c>
      <c r="F81" s="6" t="s">
        <v>165</v>
      </c>
      <c r="G81" s="6" t="s">
        <v>164</v>
      </c>
      <c r="H81" s="6" t="s">
        <v>77</v>
      </c>
      <c r="I81" s="6" t="s">
        <v>4680</v>
      </c>
      <c r="J81" s="6" t="s">
        <v>5437</v>
      </c>
      <c r="K81" s="6" t="s">
        <v>4679</v>
      </c>
      <c r="L81" s="2" t="s">
        <v>170</v>
      </c>
      <c r="M81" s="2" t="s">
        <v>169</v>
      </c>
      <c r="N81" s="9" t="s">
        <v>172</v>
      </c>
      <c r="O81" s="6" t="s">
        <v>171</v>
      </c>
      <c r="P81" s="6" t="s">
        <v>106</v>
      </c>
      <c r="Q81" s="6" t="s">
        <v>4874</v>
      </c>
      <c r="R81" s="6" t="s">
        <v>167</v>
      </c>
    </row>
    <row r="82" customFormat="false" ht="15" hidden="false" customHeight="false" outlineLevel="0" collapsed="false">
      <c r="A82" s="6" t="s">
        <v>4874</v>
      </c>
      <c r="B82" s="6" t="s">
        <v>167</v>
      </c>
      <c r="C82" s="6" t="s">
        <v>5006</v>
      </c>
      <c r="D82" s="6" t="s">
        <v>2438</v>
      </c>
      <c r="E82" s="6" t="s">
        <v>2438</v>
      </c>
      <c r="F82" s="6" t="s">
        <v>729</v>
      </c>
      <c r="G82" s="6" t="s">
        <v>164</v>
      </c>
      <c r="H82" s="6" t="s">
        <v>287</v>
      </c>
      <c r="I82" s="6" t="s">
        <v>4680</v>
      </c>
      <c r="J82" s="6" t="s">
        <v>171</v>
      </c>
      <c r="K82" s="6" t="s">
        <v>4679</v>
      </c>
      <c r="L82" s="2" t="s">
        <v>2441</v>
      </c>
      <c r="M82" s="2" t="s">
        <v>2440</v>
      </c>
      <c r="N82" s="9" t="s">
        <v>2442</v>
      </c>
      <c r="O82" s="6" t="s">
        <v>171</v>
      </c>
      <c r="P82" s="6" t="s">
        <v>98</v>
      </c>
      <c r="Q82" s="6" t="s">
        <v>4876</v>
      </c>
      <c r="R82" s="6" t="s">
        <v>5368</v>
      </c>
    </row>
    <row r="83" customFormat="false" ht="23.85" hidden="false" customHeight="false" outlineLevel="0" collapsed="false">
      <c r="A83" s="6" t="s">
        <v>4874</v>
      </c>
      <c r="B83" s="6" t="s">
        <v>167</v>
      </c>
      <c r="C83" s="6" t="s">
        <v>4870</v>
      </c>
      <c r="D83" s="6" t="s">
        <v>1200</v>
      </c>
      <c r="E83" s="6" t="s">
        <v>1200</v>
      </c>
      <c r="F83" s="6" t="s">
        <v>708</v>
      </c>
      <c r="G83" s="6" t="s">
        <v>182</v>
      </c>
      <c r="H83" s="6" t="s">
        <v>287</v>
      </c>
      <c r="I83" s="6" t="s">
        <v>4706</v>
      </c>
      <c r="J83" s="6" t="s">
        <v>5365</v>
      </c>
      <c r="K83" s="6" t="s">
        <v>4679</v>
      </c>
      <c r="L83" s="2" t="s">
        <v>1203</v>
      </c>
      <c r="M83" s="2" t="s">
        <v>1202</v>
      </c>
      <c r="N83" s="9" t="s">
        <v>1204</v>
      </c>
      <c r="O83" s="6" t="s">
        <v>655</v>
      </c>
      <c r="P83" s="6" t="s">
        <v>85</v>
      </c>
      <c r="Q83" s="6" t="s">
        <v>4874</v>
      </c>
      <c r="R83" s="6" t="s">
        <v>167</v>
      </c>
    </row>
    <row r="84" customFormat="false" ht="23.85" hidden="false" customHeight="false" outlineLevel="0" collapsed="false">
      <c r="A84" s="6" t="s">
        <v>4874</v>
      </c>
      <c r="B84" s="6" t="s">
        <v>167</v>
      </c>
      <c r="C84" s="6" t="s">
        <v>4870</v>
      </c>
      <c r="D84" s="6" t="s">
        <v>326</v>
      </c>
      <c r="E84" s="6" t="s">
        <v>326</v>
      </c>
      <c r="F84" s="6" t="s">
        <v>326</v>
      </c>
      <c r="G84" s="6" t="s">
        <v>239</v>
      </c>
      <c r="H84" s="6" t="s">
        <v>287</v>
      </c>
      <c r="I84" s="6" t="s">
        <v>4680</v>
      </c>
      <c r="J84" s="6" t="s">
        <v>2166</v>
      </c>
      <c r="K84" s="6" t="s">
        <v>4679</v>
      </c>
      <c r="L84" s="2" t="s">
        <v>5438</v>
      </c>
      <c r="M84" s="2" t="s">
        <v>1202</v>
      </c>
      <c r="N84" s="9" t="s">
        <v>5439</v>
      </c>
      <c r="O84" s="6" t="s">
        <v>2166</v>
      </c>
      <c r="P84" s="6" t="s">
        <v>106</v>
      </c>
      <c r="Q84" s="6" t="s">
        <v>4874</v>
      </c>
      <c r="R84" s="6" t="s">
        <v>167</v>
      </c>
    </row>
    <row r="85" customFormat="false" ht="23.85" hidden="false" customHeight="false" outlineLevel="0" collapsed="false">
      <c r="A85" s="6" t="s">
        <v>4809</v>
      </c>
      <c r="B85" s="6" t="s">
        <v>167</v>
      </c>
      <c r="C85" s="6" t="s">
        <v>4870</v>
      </c>
      <c r="D85" s="6" t="s">
        <v>527</v>
      </c>
      <c r="E85" s="6" t="s">
        <v>527</v>
      </c>
      <c r="F85" s="6" t="s">
        <v>528</v>
      </c>
      <c r="G85" s="6" t="s">
        <v>239</v>
      </c>
      <c r="H85" s="6" t="s">
        <v>77</v>
      </c>
      <c r="I85" s="6" t="s">
        <v>4676</v>
      </c>
      <c r="J85" s="6" t="s">
        <v>533</v>
      </c>
      <c r="K85" s="6" t="s">
        <v>4679</v>
      </c>
      <c r="L85" s="2" t="s">
        <v>532</v>
      </c>
      <c r="M85" s="2" t="s">
        <v>531</v>
      </c>
      <c r="N85" s="9" t="s">
        <v>534</v>
      </c>
      <c r="O85" s="6" t="s">
        <v>533</v>
      </c>
      <c r="P85" s="6" t="s">
        <v>98</v>
      </c>
      <c r="Q85" s="6" t="s">
        <v>5440</v>
      </c>
      <c r="R85" s="6" t="s">
        <v>5368</v>
      </c>
    </row>
    <row r="86" customFormat="false" ht="23.85" hidden="false" customHeight="false" outlineLevel="0" collapsed="false">
      <c r="A86" s="6" t="s">
        <v>4809</v>
      </c>
      <c r="B86" s="6" t="s">
        <v>167</v>
      </c>
      <c r="C86" s="6" t="s">
        <v>4848</v>
      </c>
      <c r="D86" s="6" t="s">
        <v>195</v>
      </c>
      <c r="E86" s="6" t="s">
        <v>195</v>
      </c>
      <c r="F86" s="6" t="s">
        <v>5441</v>
      </c>
      <c r="G86" s="6" t="s">
        <v>153</v>
      </c>
      <c r="H86" s="6" t="s">
        <v>77</v>
      </c>
      <c r="I86" s="6" t="s">
        <v>4680</v>
      </c>
      <c r="J86" s="6" t="s">
        <v>5365</v>
      </c>
      <c r="K86" s="6" t="s">
        <v>4790</v>
      </c>
      <c r="L86" s="2" t="s">
        <v>5442</v>
      </c>
      <c r="M86" s="2" t="s">
        <v>1669</v>
      </c>
      <c r="N86" s="9" t="s">
        <v>5443</v>
      </c>
      <c r="O86" s="6" t="s">
        <v>130</v>
      </c>
      <c r="P86" s="6" t="s">
        <v>106</v>
      </c>
      <c r="Q86" s="6" t="s">
        <v>4809</v>
      </c>
      <c r="R86" s="6" t="s">
        <v>167</v>
      </c>
    </row>
    <row r="87" customFormat="false" ht="23.85" hidden="false" customHeight="false" outlineLevel="0" collapsed="false">
      <c r="A87" s="6" t="s">
        <v>4809</v>
      </c>
      <c r="B87" s="6" t="s">
        <v>167</v>
      </c>
      <c r="C87" s="6" t="s">
        <v>4848</v>
      </c>
      <c r="D87" s="6" t="s">
        <v>3247</v>
      </c>
      <c r="E87" s="6" t="s">
        <v>3247</v>
      </c>
      <c r="F87" s="6" t="s">
        <v>3248</v>
      </c>
      <c r="G87" s="6" t="s">
        <v>1215</v>
      </c>
      <c r="H87" s="6" t="s">
        <v>287</v>
      </c>
      <c r="I87" s="6" t="s">
        <v>4680</v>
      </c>
      <c r="J87" s="6" t="s">
        <v>5365</v>
      </c>
      <c r="K87" s="6" t="s">
        <v>4790</v>
      </c>
      <c r="L87" s="2" t="s">
        <v>3250</v>
      </c>
      <c r="M87" s="2"/>
      <c r="N87" s="9" t="s">
        <v>3251</v>
      </c>
      <c r="O87" s="6" t="s">
        <v>160</v>
      </c>
      <c r="P87" s="6" t="s">
        <v>85</v>
      </c>
      <c r="Q87" s="6" t="s">
        <v>4809</v>
      </c>
      <c r="R87" s="6" t="s">
        <v>167</v>
      </c>
    </row>
    <row r="88" customFormat="false" ht="15" hidden="false" customHeight="false" outlineLevel="0" collapsed="false">
      <c r="A88" s="6" t="s">
        <v>4809</v>
      </c>
      <c r="B88" s="6" t="s">
        <v>167</v>
      </c>
      <c r="C88" s="6" t="s">
        <v>4848</v>
      </c>
      <c r="D88" s="6" t="s">
        <v>3252</v>
      </c>
      <c r="E88" s="6" t="s">
        <v>3252</v>
      </c>
      <c r="F88" s="6" t="s">
        <v>5444</v>
      </c>
      <c r="G88" s="6" t="s">
        <v>1215</v>
      </c>
      <c r="H88" s="6" t="s">
        <v>287</v>
      </c>
      <c r="I88" s="6" t="s">
        <v>4684</v>
      </c>
      <c r="J88" s="6" t="s">
        <v>2281</v>
      </c>
      <c r="K88" s="6" t="s">
        <v>4679</v>
      </c>
      <c r="L88" s="2" t="s">
        <v>5445</v>
      </c>
      <c r="M88" s="2" t="s">
        <v>5446</v>
      </c>
      <c r="N88" s="9" t="s">
        <v>3257</v>
      </c>
      <c r="O88" s="6" t="s">
        <v>2281</v>
      </c>
      <c r="P88" s="6" t="s">
        <v>106</v>
      </c>
      <c r="Q88" s="6" t="s">
        <v>5447</v>
      </c>
      <c r="R88" s="6" t="s">
        <v>167</v>
      </c>
    </row>
    <row r="89" customFormat="false" ht="23.85" hidden="false" customHeight="false" outlineLevel="0" collapsed="false">
      <c r="A89" s="6" t="s">
        <v>4809</v>
      </c>
      <c r="B89" s="6" t="s">
        <v>167</v>
      </c>
      <c r="C89" s="6" t="s">
        <v>4848</v>
      </c>
      <c r="D89" s="6" t="s">
        <v>2433</v>
      </c>
      <c r="E89" s="6" t="s">
        <v>5448</v>
      </c>
      <c r="F89" s="6" t="s">
        <v>1805</v>
      </c>
      <c r="G89" s="6" t="s">
        <v>626</v>
      </c>
      <c r="H89" s="6" t="s">
        <v>287</v>
      </c>
      <c r="I89" s="6" t="s">
        <v>4684</v>
      </c>
      <c r="J89" s="6" t="s">
        <v>2000</v>
      </c>
      <c r="K89" s="6" t="s">
        <v>4679</v>
      </c>
      <c r="L89" s="2" t="s">
        <v>2436</v>
      </c>
      <c r="M89" s="2" t="s">
        <v>2435</v>
      </c>
      <c r="N89" s="9" t="s">
        <v>2437</v>
      </c>
      <c r="O89" s="6" t="s">
        <v>2000</v>
      </c>
      <c r="P89" s="6" t="s">
        <v>106</v>
      </c>
      <c r="Q89" s="6" t="s">
        <v>5449</v>
      </c>
      <c r="R89" s="6" t="s">
        <v>5368</v>
      </c>
    </row>
    <row r="90" customFormat="false" ht="23.85" hidden="false" customHeight="false" outlineLevel="0" collapsed="false">
      <c r="A90" s="6" t="s">
        <v>4809</v>
      </c>
      <c r="B90" s="6" t="s">
        <v>167</v>
      </c>
      <c r="C90" s="6" t="s">
        <v>4848</v>
      </c>
      <c r="D90" s="6" t="s">
        <v>2052</v>
      </c>
      <c r="E90" s="6" t="s">
        <v>2052</v>
      </c>
      <c r="F90" s="6" t="s">
        <v>2052</v>
      </c>
      <c r="G90" s="6" t="s">
        <v>239</v>
      </c>
      <c r="H90" s="6" t="s">
        <v>287</v>
      </c>
      <c r="I90" s="6" t="s">
        <v>4684</v>
      </c>
      <c r="J90" s="6" t="s">
        <v>5365</v>
      </c>
      <c r="K90" s="6" t="s">
        <v>4790</v>
      </c>
      <c r="L90" s="2" t="s">
        <v>2055</v>
      </c>
      <c r="M90" s="2" t="s">
        <v>5450</v>
      </c>
      <c r="N90" s="9" t="s">
        <v>2056</v>
      </c>
      <c r="O90" s="6" t="s">
        <v>130</v>
      </c>
      <c r="P90" s="6" t="s">
        <v>106</v>
      </c>
      <c r="Q90" s="6" t="s">
        <v>4809</v>
      </c>
      <c r="R90" s="6" t="s">
        <v>167</v>
      </c>
    </row>
    <row r="91" customFormat="false" ht="23.85" hidden="false" customHeight="false" outlineLevel="0" collapsed="false">
      <c r="A91" s="6" t="s">
        <v>4809</v>
      </c>
      <c r="B91" s="6" t="s">
        <v>167</v>
      </c>
      <c r="C91" s="6" t="s">
        <v>4848</v>
      </c>
      <c r="D91" s="6" t="s">
        <v>1665</v>
      </c>
      <c r="E91" s="6" t="s">
        <v>1665</v>
      </c>
      <c r="F91" s="6" t="s">
        <v>1666</v>
      </c>
      <c r="G91" s="6" t="s">
        <v>1215</v>
      </c>
      <c r="H91" s="6" t="s">
        <v>287</v>
      </c>
      <c r="I91" s="6" t="s">
        <v>4684</v>
      </c>
      <c r="J91" s="6" t="s">
        <v>5365</v>
      </c>
      <c r="K91" s="6" t="s">
        <v>4790</v>
      </c>
      <c r="L91" s="2" t="s">
        <v>1670</v>
      </c>
      <c r="M91" s="2" t="s">
        <v>1669</v>
      </c>
      <c r="N91" s="9" t="s">
        <v>1671</v>
      </c>
      <c r="O91" s="6" t="s">
        <v>178</v>
      </c>
      <c r="P91" s="6" t="s">
        <v>85</v>
      </c>
      <c r="Q91" s="6" t="s">
        <v>4809</v>
      </c>
      <c r="R91" s="6" t="s">
        <v>167</v>
      </c>
    </row>
    <row r="92" customFormat="false" ht="23.85" hidden="false" customHeight="false" outlineLevel="0" collapsed="false">
      <c r="A92" s="6" t="s">
        <v>4809</v>
      </c>
      <c r="B92" s="6" t="s">
        <v>167</v>
      </c>
      <c r="C92" s="6" t="s">
        <v>4848</v>
      </c>
      <c r="D92" s="6" t="s">
        <v>741</v>
      </c>
      <c r="E92" s="6" t="s">
        <v>741</v>
      </c>
      <c r="F92" s="6" t="s">
        <v>742</v>
      </c>
      <c r="G92" s="6" t="s">
        <v>153</v>
      </c>
      <c r="H92" s="6" t="s">
        <v>287</v>
      </c>
      <c r="I92" s="6" t="s">
        <v>4684</v>
      </c>
      <c r="J92" s="6" t="s">
        <v>4188</v>
      </c>
      <c r="K92" s="6" t="s">
        <v>4679</v>
      </c>
      <c r="L92" s="2" t="s">
        <v>5451</v>
      </c>
      <c r="M92" s="2" t="s">
        <v>5452</v>
      </c>
      <c r="N92" s="9" t="s">
        <v>749</v>
      </c>
      <c r="O92" s="6" t="s">
        <v>4188</v>
      </c>
      <c r="P92" s="6" t="s">
        <v>106</v>
      </c>
      <c r="Q92" s="6" t="s">
        <v>5447</v>
      </c>
      <c r="R92" s="6" t="s">
        <v>167</v>
      </c>
    </row>
    <row r="93" customFormat="false" ht="23.85" hidden="false" customHeight="false" outlineLevel="0" collapsed="false">
      <c r="A93" s="6" t="s">
        <v>4809</v>
      </c>
      <c r="B93" s="6" t="s">
        <v>167</v>
      </c>
      <c r="C93" s="6" t="s">
        <v>4848</v>
      </c>
      <c r="D93" s="6" t="s">
        <v>1688</v>
      </c>
      <c r="E93" s="6" t="s">
        <v>1688</v>
      </c>
      <c r="F93" s="6" t="s">
        <v>1689</v>
      </c>
      <c r="G93" s="6" t="s">
        <v>1583</v>
      </c>
      <c r="H93" s="6" t="s">
        <v>287</v>
      </c>
      <c r="I93" s="6" t="s">
        <v>4680</v>
      </c>
      <c r="J93" s="6" t="s">
        <v>2000</v>
      </c>
      <c r="K93" s="6" t="s">
        <v>4790</v>
      </c>
      <c r="L93" s="2" t="s">
        <v>5453</v>
      </c>
      <c r="M93" s="2" t="s">
        <v>1669</v>
      </c>
      <c r="N93" s="9" t="s">
        <v>1694</v>
      </c>
      <c r="O93" s="6" t="s">
        <v>150</v>
      </c>
      <c r="P93" s="6" t="s">
        <v>85</v>
      </c>
      <c r="Q93" s="6" t="s">
        <v>4809</v>
      </c>
      <c r="R93" s="6" t="s">
        <v>167</v>
      </c>
    </row>
    <row r="94" customFormat="false" ht="23.85" hidden="false" customHeight="false" outlineLevel="0" collapsed="false">
      <c r="A94" s="6" t="s">
        <v>4809</v>
      </c>
      <c r="B94" s="6" t="s">
        <v>167</v>
      </c>
      <c r="C94" s="6" t="s">
        <v>4848</v>
      </c>
      <c r="D94" s="6" t="s">
        <v>3630</v>
      </c>
      <c r="E94" s="6" t="s">
        <v>3630</v>
      </c>
      <c r="F94" s="6" t="s">
        <v>3631</v>
      </c>
      <c r="G94" s="6" t="s">
        <v>153</v>
      </c>
      <c r="H94" s="6" t="s">
        <v>1445</v>
      </c>
      <c r="I94" s="6" t="s">
        <v>4684</v>
      </c>
      <c r="J94" s="6" t="s">
        <v>5365</v>
      </c>
      <c r="K94" s="6" t="s">
        <v>4790</v>
      </c>
      <c r="L94" s="2" t="s">
        <v>3632</v>
      </c>
      <c r="M94" s="2"/>
      <c r="N94" s="9" t="s">
        <v>3633</v>
      </c>
      <c r="O94" s="6" t="s">
        <v>84</v>
      </c>
      <c r="P94" s="6" t="s">
        <v>85</v>
      </c>
      <c r="Q94" s="6" t="s">
        <v>4809</v>
      </c>
      <c r="R94" s="6" t="s">
        <v>167</v>
      </c>
    </row>
    <row r="95" customFormat="false" ht="23.85" hidden="false" customHeight="false" outlineLevel="0" collapsed="false">
      <c r="A95" s="6" t="s">
        <v>4809</v>
      </c>
      <c r="B95" s="6" t="s">
        <v>167</v>
      </c>
      <c r="C95" s="6" t="s">
        <v>4848</v>
      </c>
      <c r="D95" s="6" t="s">
        <v>4073</v>
      </c>
      <c r="E95" s="6" t="s">
        <v>4073</v>
      </c>
      <c r="F95" s="6" t="s">
        <v>708</v>
      </c>
      <c r="G95" s="6" t="s">
        <v>1598</v>
      </c>
      <c r="H95" s="6" t="s">
        <v>1445</v>
      </c>
      <c r="I95" s="6" t="s">
        <v>4684</v>
      </c>
      <c r="J95" s="6" t="s">
        <v>5365</v>
      </c>
      <c r="K95" s="6" t="s">
        <v>4790</v>
      </c>
      <c r="L95" s="2" t="s">
        <v>4074</v>
      </c>
      <c r="M95" s="2"/>
      <c r="N95" s="9" t="s">
        <v>4075</v>
      </c>
      <c r="O95" s="6" t="s">
        <v>308</v>
      </c>
      <c r="P95" s="6" t="s">
        <v>85</v>
      </c>
      <c r="Q95" s="6" t="s">
        <v>4809</v>
      </c>
      <c r="R95" s="6" t="s">
        <v>167</v>
      </c>
    </row>
    <row r="96" customFormat="false" ht="23.85" hidden="false" customHeight="false" outlineLevel="0" collapsed="false">
      <c r="A96" s="6" t="s">
        <v>4809</v>
      </c>
      <c r="B96" s="6" t="s">
        <v>167</v>
      </c>
      <c r="C96" s="6" t="s">
        <v>4848</v>
      </c>
      <c r="D96" s="6" t="s">
        <v>3832</v>
      </c>
      <c r="E96" s="6" t="s">
        <v>5454</v>
      </c>
      <c r="F96" s="6" t="s">
        <v>3832</v>
      </c>
      <c r="G96" s="6" t="s">
        <v>1598</v>
      </c>
      <c r="H96" s="6" t="s">
        <v>1445</v>
      </c>
      <c r="I96" s="6" t="s">
        <v>4732</v>
      </c>
      <c r="J96" s="6" t="s">
        <v>5365</v>
      </c>
      <c r="K96" s="6" t="s">
        <v>4790</v>
      </c>
      <c r="L96" s="2" t="s">
        <v>5455</v>
      </c>
      <c r="M96" s="2" t="s">
        <v>5456</v>
      </c>
      <c r="N96" s="9" t="s">
        <v>5457</v>
      </c>
      <c r="O96" s="6" t="s">
        <v>130</v>
      </c>
      <c r="P96" s="6" t="s">
        <v>106</v>
      </c>
      <c r="Q96" s="6" t="s">
        <v>4809</v>
      </c>
      <c r="R96" s="6" t="s">
        <v>167</v>
      </c>
    </row>
    <row r="97" customFormat="false" ht="15" hidden="false" customHeight="false" outlineLevel="0" collapsed="false">
      <c r="A97" s="6" t="s">
        <v>4809</v>
      </c>
      <c r="B97" s="6" t="s">
        <v>167</v>
      </c>
      <c r="C97" s="6" t="s">
        <v>4848</v>
      </c>
      <c r="D97" s="6" t="s">
        <v>4142</v>
      </c>
      <c r="E97" s="6" t="s">
        <v>4142</v>
      </c>
      <c r="F97" s="6" t="s">
        <v>3793</v>
      </c>
      <c r="G97" s="6" t="s">
        <v>2312</v>
      </c>
      <c r="H97" s="6" t="s">
        <v>1445</v>
      </c>
      <c r="I97" s="6" t="s">
        <v>4684</v>
      </c>
      <c r="J97" s="6" t="s">
        <v>5365</v>
      </c>
      <c r="K97" s="6" t="s">
        <v>4790</v>
      </c>
      <c r="L97" s="2" t="s">
        <v>4143</v>
      </c>
      <c r="M97" s="2"/>
      <c r="N97" s="9" t="s">
        <v>4144</v>
      </c>
      <c r="O97" s="6" t="s">
        <v>511</v>
      </c>
      <c r="P97" s="6" t="s">
        <v>85</v>
      </c>
      <c r="Q97" s="6" t="s">
        <v>4809</v>
      </c>
      <c r="R97" s="6" t="s">
        <v>167</v>
      </c>
    </row>
    <row r="98" customFormat="false" ht="23.85" hidden="false" customHeight="false" outlineLevel="0" collapsed="false">
      <c r="A98" s="6" t="s">
        <v>4809</v>
      </c>
      <c r="B98" s="6" t="s">
        <v>167</v>
      </c>
      <c r="C98" s="6" t="s">
        <v>4848</v>
      </c>
      <c r="D98" s="6" t="s">
        <v>2700</v>
      </c>
      <c r="E98" s="6" t="s">
        <v>2700</v>
      </c>
      <c r="F98" s="6" t="s">
        <v>1821</v>
      </c>
      <c r="G98" s="6" t="s">
        <v>164</v>
      </c>
      <c r="H98" s="6" t="s">
        <v>1445</v>
      </c>
      <c r="I98" s="6" t="s">
        <v>4684</v>
      </c>
      <c r="J98" s="6" t="s">
        <v>5365</v>
      </c>
      <c r="K98" s="6" t="s">
        <v>4679</v>
      </c>
      <c r="L98" s="2" t="s">
        <v>5458</v>
      </c>
      <c r="M98" s="2" t="s">
        <v>5459</v>
      </c>
      <c r="N98" s="9" t="s">
        <v>2705</v>
      </c>
      <c r="O98" s="6" t="s">
        <v>5460</v>
      </c>
      <c r="P98" s="6" t="s">
        <v>98</v>
      </c>
      <c r="Q98" s="6" t="s">
        <v>5461</v>
      </c>
      <c r="R98" s="6" t="s">
        <v>5368</v>
      </c>
    </row>
    <row r="99" customFormat="false" ht="23.85" hidden="false" customHeight="false" outlineLevel="0" collapsed="false">
      <c r="A99" s="6" t="s">
        <v>4809</v>
      </c>
      <c r="B99" s="6" t="s">
        <v>167</v>
      </c>
      <c r="C99" s="6" t="s">
        <v>4848</v>
      </c>
      <c r="D99" s="6" t="s">
        <v>4267</v>
      </c>
      <c r="E99" s="6" t="s">
        <v>4267</v>
      </c>
      <c r="F99" s="6" t="s">
        <v>3562</v>
      </c>
      <c r="G99" s="6" t="s">
        <v>1598</v>
      </c>
      <c r="H99" s="6" t="s">
        <v>1445</v>
      </c>
      <c r="I99" s="6" t="s">
        <v>4680</v>
      </c>
      <c r="J99" s="6" t="s">
        <v>5365</v>
      </c>
      <c r="K99" s="6" t="s">
        <v>4790</v>
      </c>
      <c r="L99" s="2" t="s">
        <v>4268</v>
      </c>
      <c r="M99" s="2"/>
      <c r="N99" s="9" t="s">
        <v>4269</v>
      </c>
      <c r="O99" s="6" t="s">
        <v>308</v>
      </c>
      <c r="P99" s="6" t="s">
        <v>85</v>
      </c>
      <c r="Q99" s="6" t="s">
        <v>4809</v>
      </c>
      <c r="R99" s="6" t="s">
        <v>167</v>
      </c>
    </row>
    <row r="100" customFormat="false" ht="15" hidden="false" customHeight="false" outlineLevel="0" collapsed="false">
      <c r="A100" s="6" t="s">
        <v>4809</v>
      </c>
      <c r="B100" s="6" t="s">
        <v>167</v>
      </c>
      <c r="C100" s="6" t="s">
        <v>4848</v>
      </c>
      <c r="D100" s="6" t="s">
        <v>4294</v>
      </c>
      <c r="E100" s="6" t="s">
        <v>4294</v>
      </c>
      <c r="F100" s="6" t="s">
        <v>3832</v>
      </c>
      <c r="G100" s="6" t="s">
        <v>1598</v>
      </c>
      <c r="H100" s="6" t="s">
        <v>1445</v>
      </c>
      <c r="I100" s="6" t="s">
        <v>4684</v>
      </c>
      <c r="J100" s="6" t="s">
        <v>5365</v>
      </c>
      <c r="K100" s="6" t="s">
        <v>4726</v>
      </c>
      <c r="L100" s="2" t="s">
        <v>4810</v>
      </c>
      <c r="M100" s="2" t="s">
        <v>4808</v>
      </c>
      <c r="N100" s="9" t="s">
        <v>4298</v>
      </c>
      <c r="O100" s="6" t="s">
        <v>281</v>
      </c>
      <c r="P100" s="6" t="s">
        <v>85</v>
      </c>
      <c r="Q100" s="6" t="s">
        <v>5462</v>
      </c>
      <c r="R100" s="6" t="s">
        <v>5433</v>
      </c>
    </row>
    <row r="101" customFormat="false" ht="15" hidden="false" customHeight="false" outlineLevel="0" collapsed="false">
      <c r="A101" s="6" t="s">
        <v>4809</v>
      </c>
      <c r="B101" s="6" t="s">
        <v>167</v>
      </c>
      <c r="C101" s="6" t="s">
        <v>4848</v>
      </c>
      <c r="D101" s="6" t="s">
        <v>4506</v>
      </c>
      <c r="E101" s="6" t="s">
        <v>4506</v>
      </c>
      <c r="F101" s="6" t="s">
        <v>3832</v>
      </c>
      <c r="G101" s="6" t="s">
        <v>1598</v>
      </c>
      <c r="H101" s="6" t="s">
        <v>1445</v>
      </c>
      <c r="I101" s="6" t="s">
        <v>4684</v>
      </c>
      <c r="J101" s="6" t="s">
        <v>5365</v>
      </c>
      <c r="K101" s="6" t="s">
        <v>4790</v>
      </c>
      <c r="L101" s="2" t="s">
        <v>4508</v>
      </c>
      <c r="M101" s="2"/>
      <c r="N101" s="9" t="s">
        <v>4509</v>
      </c>
      <c r="O101" s="6" t="s">
        <v>178</v>
      </c>
      <c r="P101" s="6" t="s">
        <v>106</v>
      </c>
      <c r="Q101" s="6" t="s">
        <v>4809</v>
      </c>
      <c r="R101" s="6" t="s">
        <v>167</v>
      </c>
    </row>
    <row r="102" customFormat="false" ht="15" hidden="false" customHeight="false" outlineLevel="0" collapsed="false">
      <c r="A102" s="6" t="s">
        <v>4809</v>
      </c>
      <c r="B102" s="6" t="s">
        <v>167</v>
      </c>
      <c r="C102" s="6" t="s">
        <v>4848</v>
      </c>
      <c r="D102" s="6" t="s">
        <v>4511</v>
      </c>
      <c r="E102" s="6" t="s">
        <v>4511</v>
      </c>
      <c r="F102" s="6" t="s">
        <v>4512</v>
      </c>
      <c r="G102" s="6" t="s">
        <v>1215</v>
      </c>
      <c r="H102" s="6" t="s">
        <v>1445</v>
      </c>
      <c r="I102" s="6" t="s">
        <v>4684</v>
      </c>
      <c r="J102" s="6" t="s">
        <v>411</v>
      </c>
      <c r="K102" s="6" t="s">
        <v>4790</v>
      </c>
      <c r="L102" s="2" t="s">
        <v>4514</v>
      </c>
      <c r="M102" s="2"/>
      <c r="N102" s="9" t="s">
        <v>4515</v>
      </c>
      <c r="O102" s="6" t="s">
        <v>332</v>
      </c>
      <c r="P102" s="6" t="s">
        <v>85</v>
      </c>
      <c r="Q102" s="6" t="s">
        <v>4809</v>
      </c>
      <c r="R102" s="6" t="s">
        <v>167</v>
      </c>
    </row>
    <row r="103" customFormat="false" ht="15" hidden="false" customHeight="false" outlineLevel="0" collapsed="false">
      <c r="A103" s="6" t="s">
        <v>4809</v>
      </c>
      <c r="B103" s="6" t="s">
        <v>167</v>
      </c>
      <c r="C103" s="6" t="s">
        <v>4848</v>
      </c>
      <c r="D103" s="6" t="s">
        <v>4525</v>
      </c>
      <c r="E103" s="6" t="s">
        <v>4525</v>
      </c>
      <c r="F103" s="6" t="s">
        <v>3525</v>
      </c>
      <c r="G103" s="6" t="s">
        <v>2312</v>
      </c>
      <c r="H103" s="6" t="s">
        <v>1445</v>
      </c>
      <c r="I103" s="6" t="s">
        <v>4684</v>
      </c>
      <c r="J103" s="6" t="s">
        <v>5365</v>
      </c>
      <c r="K103" s="6" t="s">
        <v>4790</v>
      </c>
      <c r="L103" s="2" t="s">
        <v>4526</v>
      </c>
      <c r="M103" s="2"/>
      <c r="N103" s="9" t="s">
        <v>4527</v>
      </c>
      <c r="O103" s="6" t="s">
        <v>440</v>
      </c>
      <c r="P103" s="6" t="s">
        <v>85</v>
      </c>
      <c r="Q103" s="6" t="s">
        <v>4809</v>
      </c>
      <c r="R103" s="6" t="s">
        <v>167</v>
      </c>
    </row>
    <row r="104" customFormat="false" ht="15" hidden="false" customHeight="false" outlineLevel="0" collapsed="false">
      <c r="A104" s="6" t="s">
        <v>4809</v>
      </c>
      <c r="B104" s="6" t="s">
        <v>167</v>
      </c>
      <c r="C104" s="6" t="s">
        <v>4848</v>
      </c>
      <c r="D104" s="6" t="s">
        <v>4544</v>
      </c>
      <c r="E104" s="6" t="s">
        <v>4544</v>
      </c>
      <c r="F104" s="6" t="s">
        <v>3832</v>
      </c>
      <c r="G104" s="6" t="s">
        <v>1598</v>
      </c>
      <c r="H104" s="6" t="s">
        <v>1445</v>
      </c>
      <c r="I104" s="6" t="s">
        <v>4684</v>
      </c>
      <c r="J104" s="6" t="s">
        <v>5365</v>
      </c>
      <c r="K104" s="6" t="s">
        <v>4790</v>
      </c>
      <c r="L104" s="2" t="s">
        <v>4546</v>
      </c>
      <c r="M104" s="2" t="s">
        <v>4545</v>
      </c>
      <c r="N104" s="9" t="s">
        <v>4547</v>
      </c>
      <c r="O104" s="6" t="s">
        <v>504</v>
      </c>
      <c r="P104" s="6" t="s">
        <v>85</v>
      </c>
      <c r="Q104" s="6" t="s">
        <v>4809</v>
      </c>
      <c r="R104" s="6" t="s">
        <v>167</v>
      </c>
    </row>
    <row r="105" customFormat="false" ht="15" hidden="false" customHeight="false" outlineLevel="0" collapsed="false">
      <c r="A105" s="6" t="s">
        <v>4809</v>
      </c>
      <c r="B105" s="6" t="s">
        <v>167</v>
      </c>
      <c r="C105" s="6" t="s">
        <v>4848</v>
      </c>
      <c r="D105" s="6" t="s">
        <v>4553</v>
      </c>
      <c r="E105" s="6" t="s">
        <v>4553</v>
      </c>
      <c r="F105" s="6" t="s">
        <v>4554</v>
      </c>
      <c r="G105" s="6" t="s">
        <v>1598</v>
      </c>
      <c r="H105" s="6" t="s">
        <v>1445</v>
      </c>
      <c r="I105" s="6" t="s">
        <v>4684</v>
      </c>
      <c r="J105" s="6" t="s">
        <v>5365</v>
      </c>
      <c r="K105" s="6" t="s">
        <v>4790</v>
      </c>
      <c r="L105" s="2" t="s">
        <v>4555</v>
      </c>
      <c r="M105" s="2"/>
      <c r="N105" s="9" t="s">
        <v>4556</v>
      </c>
      <c r="O105" s="6" t="s">
        <v>143</v>
      </c>
      <c r="P105" s="6" t="s">
        <v>85</v>
      </c>
      <c r="Q105" s="6" t="s">
        <v>4809</v>
      </c>
      <c r="R105" s="6" t="s">
        <v>167</v>
      </c>
    </row>
    <row r="106" customFormat="false" ht="23.85" hidden="false" customHeight="false" outlineLevel="0" collapsed="false">
      <c r="A106" s="6" t="s">
        <v>4765</v>
      </c>
      <c r="B106" s="6" t="s">
        <v>167</v>
      </c>
      <c r="C106" s="6" t="s">
        <v>4697</v>
      </c>
      <c r="D106" s="6" t="s">
        <v>1120</v>
      </c>
      <c r="E106" s="6" t="s">
        <v>2387</v>
      </c>
      <c r="F106" s="6" t="s">
        <v>1120</v>
      </c>
      <c r="G106" s="6" t="s">
        <v>507</v>
      </c>
      <c r="H106" s="6" t="s">
        <v>287</v>
      </c>
      <c r="I106" s="6" t="s">
        <v>4697</v>
      </c>
      <c r="J106" s="6" t="s">
        <v>5365</v>
      </c>
      <c r="K106" s="6" t="s">
        <v>4718</v>
      </c>
      <c r="L106" s="2" t="s">
        <v>4838</v>
      </c>
      <c r="M106" s="2" t="s">
        <v>4837</v>
      </c>
      <c r="N106" s="9" t="s">
        <v>1124</v>
      </c>
      <c r="O106" s="6" t="s">
        <v>1431</v>
      </c>
      <c r="P106" s="6" t="s">
        <v>106</v>
      </c>
      <c r="Q106" s="6" t="s">
        <v>5463</v>
      </c>
      <c r="R106" s="6" t="s">
        <v>5357</v>
      </c>
    </row>
    <row r="107" customFormat="false" ht="23.85" hidden="false" customHeight="false" outlineLevel="0" collapsed="false">
      <c r="A107" s="6" t="s">
        <v>4765</v>
      </c>
      <c r="B107" s="6" t="s">
        <v>167</v>
      </c>
      <c r="C107" s="6" t="s">
        <v>4697</v>
      </c>
      <c r="D107" s="6" t="s">
        <v>4655</v>
      </c>
      <c r="E107" s="6" t="s">
        <v>4655</v>
      </c>
      <c r="F107" s="6" t="s">
        <v>4660</v>
      </c>
      <c r="G107" s="6" t="s">
        <v>182</v>
      </c>
      <c r="H107" s="6" t="s">
        <v>287</v>
      </c>
      <c r="I107" s="6" t="s">
        <v>4697</v>
      </c>
      <c r="J107" s="6" t="s">
        <v>5365</v>
      </c>
      <c r="K107" s="6" t="s">
        <v>4726</v>
      </c>
      <c r="L107" s="2" t="s">
        <v>4766</v>
      </c>
      <c r="M107" s="2" t="s">
        <v>4764</v>
      </c>
      <c r="N107" s="9" t="s">
        <v>4665</v>
      </c>
      <c r="O107" s="6" t="s">
        <v>178</v>
      </c>
      <c r="P107" s="6" t="s">
        <v>85</v>
      </c>
      <c r="Q107" s="6" t="s">
        <v>5463</v>
      </c>
      <c r="R107" s="6" t="s">
        <v>5433</v>
      </c>
    </row>
    <row r="108" customFormat="false" ht="15" hidden="false" customHeight="false" outlineLevel="0" collapsed="false">
      <c r="A108" s="6" t="s">
        <v>4765</v>
      </c>
      <c r="B108" s="6" t="s">
        <v>167</v>
      </c>
      <c r="C108" s="6" t="s">
        <v>4697</v>
      </c>
      <c r="D108" s="6" t="s">
        <v>1643</v>
      </c>
      <c r="E108" s="6" t="s">
        <v>1643</v>
      </c>
      <c r="F108" s="6" t="s">
        <v>1645</v>
      </c>
      <c r="G108" s="6" t="s">
        <v>1644</v>
      </c>
      <c r="H108" s="6" t="s">
        <v>287</v>
      </c>
      <c r="I108" s="6" t="s">
        <v>4697</v>
      </c>
      <c r="J108" s="6" t="s">
        <v>5365</v>
      </c>
      <c r="K108" s="6" t="s">
        <v>4726</v>
      </c>
      <c r="L108" s="2" t="s">
        <v>4768</v>
      </c>
      <c r="M108" s="2" t="s">
        <v>4767</v>
      </c>
      <c r="N108" s="9" t="s">
        <v>1651</v>
      </c>
      <c r="O108" s="6" t="s">
        <v>178</v>
      </c>
      <c r="P108" s="6" t="s">
        <v>85</v>
      </c>
      <c r="Q108" s="6" t="s">
        <v>5463</v>
      </c>
      <c r="R108" s="6" t="s">
        <v>5433</v>
      </c>
    </row>
    <row r="109" customFormat="false" ht="15" hidden="false" customHeight="false" outlineLevel="0" collapsed="false">
      <c r="A109" s="6" t="s">
        <v>4765</v>
      </c>
      <c r="B109" s="6" t="s">
        <v>167</v>
      </c>
      <c r="C109" s="6" t="s">
        <v>4697</v>
      </c>
      <c r="D109" s="6" t="s">
        <v>645</v>
      </c>
      <c r="E109" s="6" t="s">
        <v>5464</v>
      </c>
      <c r="F109" s="6" t="s">
        <v>645</v>
      </c>
      <c r="G109" s="6" t="s">
        <v>164</v>
      </c>
      <c r="H109" s="6" t="s">
        <v>287</v>
      </c>
      <c r="I109" s="6" t="s">
        <v>4697</v>
      </c>
      <c r="J109" s="6" t="s">
        <v>5365</v>
      </c>
      <c r="K109" s="6" t="s">
        <v>4790</v>
      </c>
      <c r="L109" s="2" t="s">
        <v>719</v>
      </c>
      <c r="M109" s="2" t="s">
        <v>5465</v>
      </c>
      <c r="N109" s="9" t="s">
        <v>720</v>
      </c>
      <c r="O109" s="6" t="s">
        <v>2856</v>
      </c>
      <c r="P109" s="6" t="s">
        <v>106</v>
      </c>
      <c r="Q109" s="6" t="s">
        <v>5466</v>
      </c>
      <c r="R109" s="6" t="s">
        <v>5368</v>
      </c>
    </row>
    <row r="110" customFormat="false" ht="23.85" hidden="false" customHeight="false" outlineLevel="0" collapsed="false">
      <c r="A110" s="6" t="s">
        <v>4765</v>
      </c>
      <c r="B110" s="6" t="s">
        <v>167</v>
      </c>
      <c r="C110" s="6" t="s">
        <v>4697</v>
      </c>
      <c r="D110" s="6" t="s">
        <v>3422</v>
      </c>
      <c r="E110" s="6" t="s">
        <v>3422</v>
      </c>
      <c r="F110" s="6" t="s">
        <v>3423</v>
      </c>
      <c r="G110" s="6" t="s">
        <v>1598</v>
      </c>
      <c r="H110" s="6" t="s">
        <v>287</v>
      </c>
      <c r="I110" s="6" t="s">
        <v>4697</v>
      </c>
      <c r="J110" s="6" t="s">
        <v>5365</v>
      </c>
      <c r="K110" s="6" t="s">
        <v>4790</v>
      </c>
      <c r="L110" s="2" t="s">
        <v>3425</v>
      </c>
      <c r="M110" s="2" t="s">
        <v>3424</v>
      </c>
      <c r="N110" s="9" t="s">
        <v>3426</v>
      </c>
      <c r="O110" s="6" t="s">
        <v>308</v>
      </c>
      <c r="P110" s="6" t="s">
        <v>85</v>
      </c>
      <c r="Q110" s="6" t="s">
        <v>5463</v>
      </c>
      <c r="R110" s="6" t="s">
        <v>5433</v>
      </c>
    </row>
    <row r="111" customFormat="false" ht="15" hidden="false" customHeight="false" outlineLevel="0" collapsed="false">
      <c r="A111" s="6" t="s">
        <v>4765</v>
      </c>
      <c r="B111" s="6" t="s">
        <v>167</v>
      </c>
      <c r="C111" s="6" t="s">
        <v>4697</v>
      </c>
      <c r="D111" s="6" t="s">
        <v>3464</v>
      </c>
      <c r="E111" s="6" t="s">
        <v>3464</v>
      </c>
      <c r="F111" s="6" t="s">
        <v>2317</v>
      </c>
      <c r="G111" s="6" t="s">
        <v>1598</v>
      </c>
      <c r="H111" s="6" t="s">
        <v>287</v>
      </c>
      <c r="I111" s="6" t="s">
        <v>4697</v>
      </c>
      <c r="J111" s="6" t="s">
        <v>5365</v>
      </c>
      <c r="K111" s="6" t="s">
        <v>4790</v>
      </c>
      <c r="L111" s="2" t="s">
        <v>3466</v>
      </c>
      <c r="M111" s="2" t="s">
        <v>3465</v>
      </c>
      <c r="N111" s="9" t="s">
        <v>3467</v>
      </c>
      <c r="O111" s="6" t="s">
        <v>1431</v>
      </c>
      <c r="P111" s="6" t="s">
        <v>85</v>
      </c>
      <c r="Q111" s="6" t="s">
        <v>5466</v>
      </c>
      <c r="R111" s="6" t="s">
        <v>5368</v>
      </c>
    </row>
    <row r="112" customFormat="false" ht="23.85" hidden="false" customHeight="false" outlineLevel="0" collapsed="false">
      <c r="A112" s="6" t="s">
        <v>4765</v>
      </c>
      <c r="B112" s="6" t="s">
        <v>167</v>
      </c>
      <c r="C112" s="6" t="s">
        <v>4697</v>
      </c>
      <c r="D112" s="6" t="s">
        <v>4593</v>
      </c>
      <c r="E112" s="6" t="s">
        <v>4593</v>
      </c>
      <c r="F112" s="6" t="s">
        <v>4594</v>
      </c>
      <c r="G112" s="6" t="s">
        <v>1598</v>
      </c>
      <c r="H112" s="6" t="s">
        <v>1445</v>
      </c>
      <c r="I112" s="6" t="s">
        <v>4697</v>
      </c>
      <c r="J112" s="6" t="s">
        <v>308</v>
      </c>
      <c r="K112" s="6" t="s">
        <v>4675</v>
      </c>
      <c r="L112" s="2" t="s">
        <v>4597</v>
      </c>
      <c r="M112" s="2" t="s">
        <v>4596</v>
      </c>
      <c r="N112" s="9" t="s">
        <v>4598</v>
      </c>
      <c r="O112" s="6" t="s">
        <v>308</v>
      </c>
      <c r="P112" s="6" t="s">
        <v>85</v>
      </c>
      <c r="Q112" s="6" t="s">
        <v>5463</v>
      </c>
      <c r="R112" s="6" t="s">
        <v>5433</v>
      </c>
    </row>
    <row r="113" customFormat="false" ht="35.05" hidden="false" customHeight="false" outlineLevel="0" collapsed="false">
      <c r="A113" s="6" t="s">
        <v>4883</v>
      </c>
      <c r="B113" s="6" t="s">
        <v>167</v>
      </c>
      <c r="C113" s="6" t="s">
        <v>4848</v>
      </c>
      <c r="D113" s="6" t="s">
        <v>1522</v>
      </c>
      <c r="E113" s="6" t="s">
        <v>1522</v>
      </c>
      <c r="F113" s="6" t="s">
        <v>1523</v>
      </c>
      <c r="G113" s="6" t="s">
        <v>153</v>
      </c>
      <c r="H113" s="6" t="s">
        <v>77</v>
      </c>
      <c r="I113" s="6" t="s">
        <v>4680</v>
      </c>
      <c r="J113" s="6" t="s">
        <v>178</v>
      </c>
      <c r="K113" s="6" t="s">
        <v>4675</v>
      </c>
      <c r="L113" s="2" t="s">
        <v>1528</v>
      </c>
      <c r="M113" s="2" t="s">
        <v>5467</v>
      </c>
      <c r="N113" s="9" t="s">
        <v>1529</v>
      </c>
      <c r="O113" s="6" t="s">
        <v>178</v>
      </c>
      <c r="P113" s="6" t="s">
        <v>85</v>
      </c>
      <c r="Q113" s="6" t="s">
        <v>167</v>
      </c>
      <c r="R113" s="6" t="s">
        <v>5357</v>
      </c>
    </row>
    <row r="114" customFormat="false" ht="15" hidden="false" customHeight="false" outlineLevel="0" collapsed="false">
      <c r="A114" s="6" t="s">
        <v>4696</v>
      </c>
      <c r="B114" s="6" t="s">
        <v>167</v>
      </c>
      <c r="C114" s="6" t="s">
        <v>4697</v>
      </c>
      <c r="D114" s="6" t="s">
        <v>3259</v>
      </c>
      <c r="E114" s="6" t="s">
        <v>3259</v>
      </c>
      <c r="F114" s="6" t="s">
        <v>3260</v>
      </c>
      <c r="G114" s="6" t="s">
        <v>1598</v>
      </c>
      <c r="H114" s="6" t="s">
        <v>287</v>
      </c>
      <c r="I114" s="6" t="s">
        <v>4697</v>
      </c>
      <c r="J114" s="6" t="s">
        <v>160</v>
      </c>
      <c r="K114" s="6" t="s">
        <v>4675</v>
      </c>
      <c r="L114" s="2" t="s">
        <v>3263</v>
      </c>
      <c r="M114" s="2" t="s">
        <v>4695</v>
      </c>
      <c r="N114" s="9" t="s">
        <v>4698</v>
      </c>
      <c r="O114" s="6" t="s">
        <v>160</v>
      </c>
      <c r="P114" s="6" t="s">
        <v>85</v>
      </c>
      <c r="Q114" s="6" t="s">
        <v>4696</v>
      </c>
      <c r="R114" s="6" t="s">
        <v>5433</v>
      </c>
    </row>
    <row r="115" customFormat="false" ht="23.85" hidden="false" customHeight="false" outlineLevel="0" collapsed="false">
      <c r="A115" s="6" t="s">
        <v>4696</v>
      </c>
      <c r="B115" s="6" t="s">
        <v>167</v>
      </c>
      <c r="C115" s="6" t="s">
        <v>4697</v>
      </c>
      <c r="D115" s="6" t="s">
        <v>405</v>
      </c>
      <c r="E115" s="6" t="s">
        <v>405</v>
      </c>
      <c r="F115" s="6" t="s">
        <v>406</v>
      </c>
      <c r="G115" s="6" t="s">
        <v>239</v>
      </c>
      <c r="H115" s="6" t="s">
        <v>287</v>
      </c>
      <c r="I115" s="6" t="s">
        <v>4697</v>
      </c>
      <c r="J115" s="6" t="s">
        <v>383</v>
      </c>
      <c r="K115" s="6" t="s">
        <v>4679</v>
      </c>
      <c r="L115" s="2" t="s">
        <v>5468</v>
      </c>
      <c r="M115" s="2" t="s">
        <v>5469</v>
      </c>
      <c r="N115" s="9" t="s">
        <v>413</v>
      </c>
      <c r="O115" s="6" t="s">
        <v>383</v>
      </c>
      <c r="P115" s="6" t="s">
        <v>106</v>
      </c>
      <c r="Q115" s="6" t="s">
        <v>5470</v>
      </c>
      <c r="R115" s="6" t="s">
        <v>5368</v>
      </c>
    </row>
    <row r="116" customFormat="false" ht="15" hidden="false" customHeight="false" outlineLevel="0" collapsed="false">
      <c r="A116" s="6" t="s">
        <v>4696</v>
      </c>
      <c r="B116" s="6" t="s">
        <v>167</v>
      </c>
      <c r="C116" s="6" t="s">
        <v>4697</v>
      </c>
      <c r="D116" s="6" t="s">
        <v>2999</v>
      </c>
      <c r="E116" s="6" t="s">
        <v>2999</v>
      </c>
      <c r="F116" s="6" t="s">
        <v>5471</v>
      </c>
      <c r="G116" s="6" t="s">
        <v>3000</v>
      </c>
      <c r="H116" s="6" t="s">
        <v>1445</v>
      </c>
      <c r="I116" s="6" t="s">
        <v>4697</v>
      </c>
      <c r="J116" s="6" t="s">
        <v>5365</v>
      </c>
      <c r="K116" s="6" t="s">
        <v>4726</v>
      </c>
      <c r="L116" s="2" t="s">
        <v>4822</v>
      </c>
      <c r="M116" s="2" t="s">
        <v>4821</v>
      </c>
      <c r="N116" s="9" t="s">
        <v>3007</v>
      </c>
      <c r="O116" s="6" t="s">
        <v>123</v>
      </c>
      <c r="P116" s="6" t="s">
        <v>85</v>
      </c>
      <c r="Q116" s="6" t="s">
        <v>5472</v>
      </c>
      <c r="R116" s="6" t="s">
        <v>5433</v>
      </c>
    </row>
    <row r="117" customFormat="false" ht="23.85" hidden="false" customHeight="false" outlineLevel="0" collapsed="false">
      <c r="A117" s="6" t="s">
        <v>4817</v>
      </c>
      <c r="B117" s="6" t="s">
        <v>652</v>
      </c>
      <c r="C117" s="6" t="s">
        <v>4848</v>
      </c>
      <c r="D117" s="6" t="s">
        <v>597</v>
      </c>
      <c r="E117" s="6" t="s">
        <v>5473</v>
      </c>
      <c r="F117" s="6" t="s">
        <v>5474</v>
      </c>
      <c r="G117" s="6" t="s">
        <v>90</v>
      </c>
      <c r="H117" s="6" t="s">
        <v>77</v>
      </c>
      <c r="I117" s="6" t="s">
        <v>4684</v>
      </c>
      <c r="J117" s="6" t="s">
        <v>5365</v>
      </c>
      <c r="K117" s="6" t="s">
        <v>4679</v>
      </c>
      <c r="L117" s="2" t="s">
        <v>5475</v>
      </c>
      <c r="M117" s="2" t="s">
        <v>5476</v>
      </c>
      <c r="N117" s="9" t="s">
        <v>605</v>
      </c>
      <c r="O117" s="6" t="s">
        <v>84</v>
      </c>
      <c r="P117" s="6" t="s">
        <v>106</v>
      </c>
      <c r="Q117" s="6" t="s">
        <v>4817</v>
      </c>
      <c r="R117" s="6" t="s">
        <v>652</v>
      </c>
    </row>
    <row r="118" customFormat="false" ht="35.05" hidden="false" customHeight="false" outlineLevel="0" collapsed="false">
      <c r="A118" s="6" t="s">
        <v>4817</v>
      </c>
      <c r="B118" s="6" t="s">
        <v>652</v>
      </c>
      <c r="C118" s="6" t="s">
        <v>4848</v>
      </c>
      <c r="D118" s="6" t="s">
        <v>1980</v>
      </c>
      <c r="E118" s="6" t="s">
        <v>1980</v>
      </c>
      <c r="F118" s="6" t="s">
        <v>467</v>
      </c>
      <c r="G118" s="6" t="s">
        <v>76</v>
      </c>
      <c r="H118" s="6" t="s">
        <v>287</v>
      </c>
      <c r="I118" s="6" t="s">
        <v>4684</v>
      </c>
      <c r="J118" s="6" t="s">
        <v>5477</v>
      </c>
      <c r="K118" s="6" t="s">
        <v>4790</v>
      </c>
      <c r="L118" s="2" t="s">
        <v>1983</v>
      </c>
      <c r="M118" s="2" t="s">
        <v>1982</v>
      </c>
      <c r="N118" s="9" t="s">
        <v>5478</v>
      </c>
      <c r="O118" s="6" t="s">
        <v>389</v>
      </c>
      <c r="P118" s="6" t="s">
        <v>85</v>
      </c>
      <c r="Q118" s="6" t="s">
        <v>4817</v>
      </c>
      <c r="R118" s="6" t="s">
        <v>652</v>
      </c>
    </row>
    <row r="119" customFormat="false" ht="15" hidden="false" customHeight="false" outlineLevel="0" collapsed="false">
      <c r="A119" s="6" t="s">
        <v>4817</v>
      </c>
      <c r="B119" s="6" t="s">
        <v>652</v>
      </c>
      <c r="C119" s="6" t="s">
        <v>4848</v>
      </c>
      <c r="D119" s="6" t="s">
        <v>3272</v>
      </c>
      <c r="E119" s="6" t="s">
        <v>3272</v>
      </c>
      <c r="F119" s="6" t="s">
        <v>3272</v>
      </c>
      <c r="G119" s="6" t="s">
        <v>1215</v>
      </c>
      <c r="H119" s="6" t="s">
        <v>287</v>
      </c>
      <c r="I119" s="6" t="s">
        <v>4684</v>
      </c>
      <c r="J119" s="6" t="s">
        <v>5365</v>
      </c>
      <c r="K119" s="6" t="s">
        <v>4679</v>
      </c>
      <c r="L119" s="2" t="s">
        <v>5479</v>
      </c>
      <c r="M119" s="2"/>
      <c r="N119" s="9" t="s">
        <v>3276</v>
      </c>
      <c r="O119" s="6" t="s">
        <v>1774</v>
      </c>
      <c r="P119" s="6" t="s">
        <v>106</v>
      </c>
      <c r="Q119" s="6" t="s">
        <v>4817</v>
      </c>
      <c r="R119" s="6" t="s">
        <v>652</v>
      </c>
    </row>
    <row r="120" customFormat="false" ht="23.85" hidden="false" customHeight="false" outlineLevel="0" collapsed="false">
      <c r="A120" s="6" t="s">
        <v>4817</v>
      </c>
      <c r="B120" s="6" t="s">
        <v>652</v>
      </c>
      <c r="C120" s="6" t="s">
        <v>4848</v>
      </c>
      <c r="D120" s="6" t="s">
        <v>2535</v>
      </c>
      <c r="E120" s="6" t="s">
        <v>2535</v>
      </c>
      <c r="F120" s="6" t="s">
        <v>1802</v>
      </c>
      <c r="G120" s="6" t="s">
        <v>164</v>
      </c>
      <c r="H120" s="6" t="s">
        <v>287</v>
      </c>
      <c r="I120" s="6" t="s">
        <v>4684</v>
      </c>
      <c r="J120" s="6" t="s">
        <v>5477</v>
      </c>
      <c r="K120" s="6" t="s">
        <v>4790</v>
      </c>
      <c r="L120" s="2" t="s">
        <v>2537</v>
      </c>
      <c r="M120" s="2" t="s">
        <v>2536</v>
      </c>
      <c r="N120" s="9" t="s">
        <v>2538</v>
      </c>
      <c r="O120" s="6" t="s">
        <v>642</v>
      </c>
      <c r="P120" s="6" t="s">
        <v>106</v>
      </c>
      <c r="Q120" s="6" t="s">
        <v>4817</v>
      </c>
      <c r="R120" s="6" t="s">
        <v>652</v>
      </c>
    </row>
    <row r="121" customFormat="false" ht="23.85" hidden="false" customHeight="false" outlineLevel="0" collapsed="false">
      <c r="A121" s="6" t="s">
        <v>4817</v>
      </c>
      <c r="B121" s="6" t="s">
        <v>652</v>
      </c>
      <c r="C121" s="6" t="s">
        <v>4848</v>
      </c>
      <c r="D121" s="6" t="s">
        <v>741</v>
      </c>
      <c r="E121" s="6" t="s">
        <v>741</v>
      </c>
      <c r="F121" s="6" t="s">
        <v>742</v>
      </c>
      <c r="G121" s="6" t="s">
        <v>153</v>
      </c>
      <c r="H121" s="6" t="s">
        <v>287</v>
      </c>
      <c r="I121" s="6" t="s">
        <v>4684</v>
      </c>
      <c r="J121" s="6" t="s">
        <v>461</v>
      </c>
      <c r="K121" s="6" t="s">
        <v>4790</v>
      </c>
      <c r="L121" s="2" t="s">
        <v>5480</v>
      </c>
      <c r="M121" s="2" t="s">
        <v>5481</v>
      </c>
      <c r="N121" s="9" t="s">
        <v>5482</v>
      </c>
      <c r="O121" s="6" t="s">
        <v>97</v>
      </c>
      <c r="P121" s="6" t="s">
        <v>106</v>
      </c>
      <c r="Q121" s="6" t="s">
        <v>4817</v>
      </c>
      <c r="R121" s="6" t="s">
        <v>5357</v>
      </c>
    </row>
    <row r="122" customFormat="false" ht="23.85" hidden="false" customHeight="false" outlineLevel="0" collapsed="false">
      <c r="A122" s="6" t="s">
        <v>4817</v>
      </c>
      <c r="B122" s="6" t="s">
        <v>652</v>
      </c>
      <c r="C122" s="6" t="s">
        <v>4848</v>
      </c>
      <c r="D122" s="6" t="s">
        <v>741</v>
      </c>
      <c r="E122" s="6" t="s">
        <v>741</v>
      </c>
      <c r="F122" s="6" t="s">
        <v>742</v>
      </c>
      <c r="G122" s="6" t="s">
        <v>153</v>
      </c>
      <c r="H122" s="6" t="s">
        <v>287</v>
      </c>
      <c r="I122" s="6" t="s">
        <v>4680</v>
      </c>
      <c r="J122" s="6" t="s">
        <v>5483</v>
      </c>
      <c r="K122" s="6" t="s">
        <v>4790</v>
      </c>
      <c r="L122" s="2" t="s">
        <v>747</v>
      </c>
      <c r="M122" s="2" t="s">
        <v>5484</v>
      </c>
      <c r="N122" s="9" t="s">
        <v>748</v>
      </c>
      <c r="O122" s="6" t="s">
        <v>97</v>
      </c>
      <c r="P122" s="6" t="s">
        <v>85</v>
      </c>
      <c r="Q122" s="6" t="s">
        <v>4817</v>
      </c>
      <c r="R122" s="6" t="s">
        <v>652</v>
      </c>
    </row>
    <row r="123" customFormat="false" ht="23.85" hidden="false" customHeight="false" outlineLevel="0" collapsed="false">
      <c r="A123" s="6" t="s">
        <v>4817</v>
      </c>
      <c r="B123" s="6" t="s">
        <v>652</v>
      </c>
      <c r="C123" s="6" t="s">
        <v>4848</v>
      </c>
      <c r="D123" s="6" t="s">
        <v>3530</v>
      </c>
      <c r="E123" s="6" t="s">
        <v>3530</v>
      </c>
      <c r="F123" s="6" t="s">
        <v>3531</v>
      </c>
      <c r="G123" s="6" t="s">
        <v>1583</v>
      </c>
      <c r="H123" s="6" t="s">
        <v>1445</v>
      </c>
      <c r="I123" s="6" t="s">
        <v>4680</v>
      </c>
      <c r="J123" s="6" t="s">
        <v>461</v>
      </c>
      <c r="K123" s="6" t="s">
        <v>4675</v>
      </c>
      <c r="L123" s="2" t="s">
        <v>3534</v>
      </c>
      <c r="M123" s="2" t="s">
        <v>3533</v>
      </c>
      <c r="N123" s="9" t="s">
        <v>3535</v>
      </c>
      <c r="O123" s="6" t="s">
        <v>461</v>
      </c>
      <c r="P123" s="6" t="s">
        <v>85</v>
      </c>
      <c r="Q123" s="6" t="s">
        <v>4817</v>
      </c>
      <c r="R123" s="6" t="s">
        <v>5433</v>
      </c>
    </row>
    <row r="124" customFormat="false" ht="23.85" hidden="false" customHeight="false" outlineLevel="0" collapsed="false">
      <c r="A124" s="6" t="s">
        <v>4817</v>
      </c>
      <c r="B124" s="6" t="s">
        <v>652</v>
      </c>
      <c r="C124" s="6" t="s">
        <v>4848</v>
      </c>
      <c r="D124" s="6" t="s">
        <v>4654</v>
      </c>
      <c r="E124" s="6" t="s">
        <v>4654</v>
      </c>
      <c r="F124" s="6" t="s">
        <v>4655</v>
      </c>
      <c r="G124" s="6" t="s">
        <v>182</v>
      </c>
      <c r="H124" s="6" t="s">
        <v>1445</v>
      </c>
      <c r="I124" s="6" t="s">
        <v>4706</v>
      </c>
      <c r="J124" s="6" t="s">
        <v>5365</v>
      </c>
      <c r="K124" s="6" t="s">
        <v>4790</v>
      </c>
      <c r="L124" s="2" t="s">
        <v>4658</v>
      </c>
      <c r="M124" s="2" t="s">
        <v>4657</v>
      </c>
      <c r="N124" s="9" t="s">
        <v>4659</v>
      </c>
      <c r="O124" s="6" t="s">
        <v>150</v>
      </c>
      <c r="P124" s="6" t="s">
        <v>106</v>
      </c>
      <c r="Q124" s="6" t="s">
        <v>4817</v>
      </c>
      <c r="R124" s="6" t="s">
        <v>652</v>
      </c>
    </row>
    <row r="125" customFormat="false" ht="23.85" hidden="false" customHeight="false" outlineLevel="0" collapsed="false">
      <c r="A125" s="6" t="s">
        <v>4817</v>
      </c>
      <c r="B125" s="6" t="s">
        <v>652</v>
      </c>
      <c r="C125" s="6" t="s">
        <v>4848</v>
      </c>
      <c r="D125" s="6" t="s">
        <v>3922</v>
      </c>
      <c r="E125" s="6" t="s">
        <v>3922</v>
      </c>
      <c r="F125" s="6" t="s">
        <v>3923</v>
      </c>
      <c r="G125" s="6" t="s">
        <v>507</v>
      </c>
      <c r="H125" s="6" t="s">
        <v>1445</v>
      </c>
      <c r="I125" s="6" t="s">
        <v>4684</v>
      </c>
      <c r="J125" s="6" t="s">
        <v>5477</v>
      </c>
      <c r="K125" s="6" t="s">
        <v>4790</v>
      </c>
      <c r="L125" s="2" t="s">
        <v>3924</v>
      </c>
      <c r="M125" s="2"/>
      <c r="N125" s="9" t="s">
        <v>605</v>
      </c>
      <c r="O125" s="6" t="s">
        <v>84</v>
      </c>
      <c r="P125" s="6" t="s">
        <v>106</v>
      </c>
      <c r="Q125" s="6" t="s">
        <v>4817</v>
      </c>
      <c r="R125" s="6" t="s">
        <v>652</v>
      </c>
    </row>
    <row r="126" customFormat="false" ht="15" hidden="false" customHeight="false" outlineLevel="0" collapsed="false">
      <c r="A126" s="6" t="s">
        <v>4817</v>
      </c>
      <c r="B126" s="6" t="s">
        <v>652</v>
      </c>
      <c r="C126" s="6" t="s">
        <v>4848</v>
      </c>
      <c r="D126" s="6" t="s">
        <v>4227</v>
      </c>
      <c r="E126" s="6" t="s">
        <v>4227</v>
      </c>
      <c r="F126" s="6" t="s">
        <v>4228</v>
      </c>
      <c r="G126" s="6" t="s">
        <v>1598</v>
      </c>
      <c r="H126" s="6" t="s">
        <v>1445</v>
      </c>
      <c r="I126" s="6" t="s">
        <v>4684</v>
      </c>
      <c r="J126" s="6" t="s">
        <v>2000</v>
      </c>
      <c r="K126" s="6" t="s">
        <v>4679</v>
      </c>
      <c r="L126" s="2" t="s">
        <v>4230</v>
      </c>
      <c r="M126" s="2"/>
      <c r="N126" s="9" t="s">
        <v>4231</v>
      </c>
      <c r="O126" s="6" t="s">
        <v>2000</v>
      </c>
      <c r="P126" s="6" t="s">
        <v>106</v>
      </c>
      <c r="Q126" s="6" t="s">
        <v>4817</v>
      </c>
      <c r="R126" s="6" t="s">
        <v>652</v>
      </c>
    </row>
    <row r="127" customFormat="false" ht="23.85" hidden="false" customHeight="false" outlineLevel="0" collapsed="false">
      <c r="A127" s="6" t="s">
        <v>4817</v>
      </c>
      <c r="B127" s="6" t="s">
        <v>652</v>
      </c>
      <c r="C127" s="6" t="s">
        <v>4848</v>
      </c>
      <c r="D127" s="6" t="s">
        <v>4334</v>
      </c>
      <c r="E127" s="6" t="s">
        <v>4334</v>
      </c>
      <c r="F127" s="6" t="s">
        <v>4335</v>
      </c>
      <c r="G127" s="6" t="s">
        <v>1215</v>
      </c>
      <c r="H127" s="6" t="s">
        <v>1445</v>
      </c>
      <c r="I127" s="6" t="s">
        <v>4680</v>
      </c>
      <c r="J127" s="6" t="s">
        <v>1636</v>
      </c>
      <c r="K127" s="6" t="s">
        <v>4790</v>
      </c>
      <c r="L127" s="2" t="s">
        <v>4337</v>
      </c>
      <c r="M127" s="2"/>
      <c r="N127" s="9" t="s">
        <v>4338</v>
      </c>
      <c r="O127" s="6" t="s">
        <v>1636</v>
      </c>
      <c r="P127" s="6" t="s">
        <v>106</v>
      </c>
      <c r="Q127" s="6" t="s">
        <v>4817</v>
      </c>
      <c r="R127" s="6" t="s">
        <v>652</v>
      </c>
    </row>
    <row r="128" customFormat="false" ht="15" hidden="false" customHeight="false" outlineLevel="0" collapsed="false">
      <c r="A128" s="6" t="s">
        <v>4817</v>
      </c>
      <c r="B128" s="6" t="s">
        <v>652</v>
      </c>
      <c r="C128" s="6" t="s">
        <v>4848</v>
      </c>
      <c r="D128" s="6" t="s">
        <v>4389</v>
      </c>
      <c r="E128" s="6" t="s">
        <v>4389</v>
      </c>
      <c r="F128" s="6" t="s">
        <v>3562</v>
      </c>
      <c r="G128" s="6" t="s">
        <v>1598</v>
      </c>
      <c r="H128" s="6" t="s">
        <v>1445</v>
      </c>
      <c r="I128" s="6" t="s">
        <v>4684</v>
      </c>
      <c r="J128" s="6" t="s">
        <v>5365</v>
      </c>
      <c r="K128" s="6" t="s">
        <v>4679</v>
      </c>
      <c r="L128" s="2" t="s">
        <v>4391</v>
      </c>
      <c r="M128" s="2"/>
      <c r="N128" s="9" t="s">
        <v>605</v>
      </c>
      <c r="O128" s="6" t="s">
        <v>84</v>
      </c>
      <c r="P128" s="6" t="s">
        <v>106</v>
      </c>
      <c r="Q128" s="6" t="s">
        <v>4817</v>
      </c>
      <c r="R128" s="6" t="s">
        <v>652</v>
      </c>
    </row>
    <row r="129" customFormat="false" ht="15" hidden="false" customHeight="false" outlineLevel="0" collapsed="false">
      <c r="A129" s="6" t="s">
        <v>4817</v>
      </c>
      <c r="B129" s="6" t="s">
        <v>652</v>
      </c>
      <c r="C129" s="6" t="s">
        <v>4848</v>
      </c>
      <c r="D129" s="6" t="s">
        <v>4637</v>
      </c>
      <c r="E129" s="6" t="s">
        <v>4637</v>
      </c>
      <c r="F129" s="6" t="s">
        <v>4637</v>
      </c>
      <c r="G129" s="6" t="s">
        <v>2284</v>
      </c>
      <c r="H129" s="6" t="s">
        <v>1445</v>
      </c>
      <c r="I129" s="6" t="s">
        <v>4684</v>
      </c>
      <c r="J129" s="6" t="s">
        <v>2000</v>
      </c>
      <c r="K129" s="6" t="s">
        <v>4679</v>
      </c>
      <c r="L129" s="2" t="s">
        <v>4638</v>
      </c>
      <c r="M129" s="2"/>
      <c r="N129" s="9" t="s">
        <v>4639</v>
      </c>
      <c r="O129" s="6" t="s">
        <v>2000</v>
      </c>
      <c r="P129" s="6" t="s">
        <v>106</v>
      </c>
      <c r="Q129" s="6" t="s">
        <v>4817</v>
      </c>
      <c r="R129" s="6" t="s">
        <v>652</v>
      </c>
    </row>
    <row r="130" customFormat="false" ht="15" hidden="false" customHeight="false" outlineLevel="0" collapsed="false">
      <c r="A130" s="6" t="s">
        <v>4817</v>
      </c>
      <c r="B130" s="6" t="s">
        <v>652</v>
      </c>
      <c r="C130" s="6" t="s">
        <v>4848</v>
      </c>
      <c r="D130" s="6" t="s">
        <v>4644</v>
      </c>
      <c r="E130" s="6" t="s">
        <v>4644</v>
      </c>
      <c r="F130" s="6" t="s">
        <v>4645</v>
      </c>
      <c r="G130" s="6" t="s">
        <v>2284</v>
      </c>
      <c r="H130" s="6" t="s">
        <v>1445</v>
      </c>
      <c r="I130" s="6" t="s">
        <v>4684</v>
      </c>
      <c r="J130" s="6" t="s">
        <v>1774</v>
      </c>
      <c r="K130" s="6" t="s">
        <v>4679</v>
      </c>
      <c r="L130" s="2" t="s">
        <v>5485</v>
      </c>
      <c r="M130" s="2"/>
      <c r="N130" s="9" t="s">
        <v>4648</v>
      </c>
      <c r="O130" s="6" t="s">
        <v>1774</v>
      </c>
      <c r="P130" s="6" t="s">
        <v>106</v>
      </c>
      <c r="Q130" s="6" t="s">
        <v>4817</v>
      </c>
      <c r="R130" s="6" t="s">
        <v>652</v>
      </c>
    </row>
    <row r="131" customFormat="false" ht="23.85" hidden="false" customHeight="false" outlineLevel="0" collapsed="false">
      <c r="A131" s="6" t="s">
        <v>4899</v>
      </c>
      <c r="B131" s="6" t="s">
        <v>652</v>
      </c>
      <c r="C131" s="6" t="s">
        <v>4848</v>
      </c>
      <c r="D131" s="6" t="s">
        <v>301</v>
      </c>
      <c r="E131" s="6" t="s">
        <v>301</v>
      </c>
      <c r="F131" s="6" t="s">
        <v>5486</v>
      </c>
      <c r="G131" s="6" t="s">
        <v>239</v>
      </c>
      <c r="H131" s="6" t="s">
        <v>287</v>
      </c>
      <c r="I131" s="6" t="s">
        <v>4684</v>
      </c>
      <c r="J131" s="6" t="s">
        <v>5487</v>
      </c>
      <c r="K131" s="6" t="s">
        <v>4726</v>
      </c>
      <c r="L131" s="2" t="s">
        <v>5488</v>
      </c>
      <c r="M131" s="2" t="s">
        <v>5489</v>
      </c>
      <c r="N131" s="9" t="s">
        <v>310</v>
      </c>
      <c r="O131" s="6" t="s">
        <v>873</v>
      </c>
      <c r="P131" s="6" t="s">
        <v>106</v>
      </c>
      <c r="Q131" s="6" t="s">
        <v>4902</v>
      </c>
      <c r="R131" s="6" t="s">
        <v>652</v>
      </c>
    </row>
    <row r="132" customFormat="false" ht="23.85" hidden="false" customHeight="false" outlineLevel="0" collapsed="false">
      <c r="A132" s="6" t="s">
        <v>4899</v>
      </c>
      <c r="B132" s="6" t="s">
        <v>652</v>
      </c>
      <c r="C132" s="6" t="s">
        <v>4848</v>
      </c>
      <c r="D132" s="6" t="s">
        <v>326</v>
      </c>
      <c r="E132" s="6" t="s">
        <v>326</v>
      </c>
      <c r="F132" s="6" t="s">
        <v>327</v>
      </c>
      <c r="G132" s="6" t="s">
        <v>239</v>
      </c>
      <c r="H132" s="6" t="s">
        <v>287</v>
      </c>
      <c r="I132" s="6" t="s">
        <v>4684</v>
      </c>
      <c r="J132" s="6" t="s">
        <v>5490</v>
      </c>
      <c r="K132" s="6" t="s">
        <v>4726</v>
      </c>
      <c r="L132" s="2" t="s">
        <v>5491</v>
      </c>
      <c r="M132" s="2" t="s">
        <v>5492</v>
      </c>
      <c r="N132" s="9" t="s">
        <v>334</v>
      </c>
      <c r="O132" s="6" t="s">
        <v>332</v>
      </c>
      <c r="P132" s="6" t="s">
        <v>85</v>
      </c>
      <c r="Q132" s="6" t="s">
        <v>4902</v>
      </c>
      <c r="R132" s="6" t="s">
        <v>652</v>
      </c>
    </row>
    <row r="133" customFormat="false" ht="23.85" hidden="false" customHeight="false" outlineLevel="0" collapsed="false">
      <c r="A133" s="6" t="s">
        <v>4899</v>
      </c>
      <c r="B133" s="6" t="s">
        <v>652</v>
      </c>
      <c r="C133" s="6" t="s">
        <v>4848</v>
      </c>
      <c r="D133" s="6" t="s">
        <v>1114</v>
      </c>
      <c r="E133" s="6" t="s">
        <v>1114</v>
      </c>
      <c r="F133" s="6" t="s">
        <v>1115</v>
      </c>
      <c r="G133" s="6" t="s">
        <v>507</v>
      </c>
      <c r="H133" s="6" t="s">
        <v>287</v>
      </c>
      <c r="I133" s="6" t="s">
        <v>4684</v>
      </c>
      <c r="J133" s="6" t="s">
        <v>5365</v>
      </c>
      <c r="K133" s="6" t="s">
        <v>4790</v>
      </c>
      <c r="L133" s="2" t="s">
        <v>1117</v>
      </c>
      <c r="M133" s="2" t="s">
        <v>5493</v>
      </c>
      <c r="N133" s="9" t="s">
        <v>1118</v>
      </c>
      <c r="O133" s="6" t="s">
        <v>84</v>
      </c>
      <c r="P133" s="6" t="s">
        <v>106</v>
      </c>
      <c r="Q133" s="6" t="s">
        <v>4902</v>
      </c>
      <c r="R133" s="6" t="s">
        <v>652</v>
      </c>
    </row>
    <row r="134" customFormat="false" ht="15" hidden="false" customHeight="false" outlineLevel="0" collapsed="false">
      <c r="A134" s="6" t="s">
        <v>4899</v>
      </c>
      <c r="B134" s="6" t="s">
        <v>652</v>
      </c>
      <c r="C134" s="6" t="s">
        <v>4848</v>
      </c>
      <c r="D134" s="6" t="s">
        <v>4365</v>
      </c>
      <c r="E134" s="6" t="s">
        <v>4365</v>
      </c>
      <c r="F134" s="6" t="s">
        <v>4366</v>
      </c>
      <c r="G134" s="6" t="s">
        <v>1598</v>
      </c>
      <c r="H134" s="6" t="s">
        <v>1445</v>
      </c>
      <c r="I134" s="6" t="s">
        <v>4684</v>
      </c>
      <c r="J134" s="6" t="s">
        <v>4370</v>
      </c>
      <c r="K134" s="6" t="s">
        <v>4679</v>
      </c>
      <c r="L134" s="2" t="s">
        <v>4369</v>
      </c>
      <c r="M134" s="2" t="s">
        <v>4368</v>
      </c>
      <c r="N134" s="9" t="s">
        <v>4371</v>
      </c>
      <c r="O134" s="6" t="s">
        <v>4370</v>
      </c>
      <c r="P134" s="6" t="s">
        <v>106</v>
      </c>
      <c r="Q134" s="6" t="s">
        <v>4902</v>
      </c>
      <c r="R134" s="6" t="s">
        <v>652</v>
      </c>
    </row>
    <row r="135" customFormat="false" ht="23.85" hidden="false" customHeight="false" outlineLevel="0" collapsed="false">
      <c r="A135" s="6" t="s">
        <v>4899</v>
      </c>
      <c r="B135" s="6" t="s">
        <v>652</v>
      </c>
      <c r="C135" s="6" t="s">
        <v>4848</v>
      </c>
      <c r="D135" s="6" t="s">
        <v>4378</v>
      </c>
      <c r="E135" s="6" t="s">
        <v>4378</v>
      </c>
      <c r="F135" s="6" t="s">
        <v>3360</v>
      </c>
      <c r="G135" s="6" t="s">
        <v>1215</v>
      </c>
      <c r="H135" s="6" t="s">
        <v>1445</v>
      </c>
      <c r="I135" s="6" t="s">
        <v>4684</v>
      </c>
      <c r="J135" s="6" t="s">
        <v>5365</v>
      </c>
      <c r="K135" s="6" t="s">
        <v>4679</v>
      </c>
      <c r="L135" s="2" t="s">
        <v>4381</v>
      </c>
      <c r="M135" s="2" t="s">
        <v>4380</v>
      </c>
      <c r="N135" s="9" t="s">
        <v>4382</v>
      </c>
      <c r="O135" s="6" t="s">
        <v>123</v>
      </c>
      <c r="P135" s="6" t="s">
        <v>98</v>
      </c>
      <c r="Q135" s="6" t="s">
        <v>4902</v>
      </c>
      <c r="R135" s="6" t="s">
        <v>652</v>
      </c>
    </row>
    <row r="136" customFormat="false" ht="23.85" hidden="false" customHeight="false" outlineLevel="0" collapsed="false">
      <c r="A136" s="6" t="s">
        <v>4899</v>
      </c>
      <c r="B136" s="6" t="s">
        <v>652</v>
      </c>
      <c r="C136" s="6" t="s">
        <v>4848</v>
      </c>
      <c r="D136" s="6" t="s">
        <v>3093</v>
      </c>
      <c r="E136" s="6" t="s">
        <v>3093</v>
      </c>
      <c r="F136" s="6" t="s">
        <v>3093</v>
      </c>
      <c r="G136" s="6" t="s">
        <v>507</v>
      </c>
      <c r="H136" s="6" t="s">
        <v>1445</v>
      </c>
      <c r="I136" s="6" t="s">
        <v>4680</v>
      </c>
      <c r="J136" s="6" t="s">
        <v>383</v>
      </c>
      <c r="K136" s="6" t="s">
        <v>4790</v>
      </c>
      <c r="L136" s="2" t="s">
        <v>3096</v>
      </c>
      <c r="M136" s="2" t="s">
        <v>3095</v>
      </c>
      <c r="N136" s="9" t="s">
        <v>3097</v>
      </c>
      <c r="O136" s="6" t="s">
        <v>383</v>
      </c>
      <c r="P136" s="6" t="s">
        <v>106</v>
      </c>
      <c r="Q136" s="6" t="s">
        <v>4902</v>
      </c>
      <c r="R136" s="6" t="s">
        <v>652</v>
      </c>
    </row>
    <row r="137" customFormat="false" ht="23.85" hidden="false" customHeight="false" outlineLevel="0" collapsed="false">
      <c r="A137" s="6" t="s">
        <v>4899</v>
      </c>
      <c r="B137" s="6" t="s">
        <v>652</v>
      </c>
      <c r="C137" s="6" t="s">
        <v>4848</v>
      </c>
      <c r="D137" s="6" t="s">
        <v>3063</v>
      </c>
      <c r="E137" s="6" t="s">
        <v>3063</v>
      </c>
      <c r="F137" s="6" t="s">
        <v>3064</v>
      </c>
      <c r="G137" s="6" t="s">
        <v>1644</v>
      </c>
      <c r="H137" s="6" t="s">
        <v>1445</v>
      </c>
      <c r="I137" s="6" t="s">
        <v>4684</v>
      </c>
      <c r="J137" s="6" t="s">
        <v>5494</v>
      </c>
      <c r="K137" s="6" t="s">
        <v>4790</v>
      </c>
      <c r="L137" s="2" t="s">
        <v>3067</v>
      </c>
      <c r="M137" s="2" t="s">
        <v>3066</v>
      </c>
      <c r="N137" s="9" t="s">
        <v>3068</v>
      </c>
      <c r="O137" s="6" t="s">
        <v>642</v>
      </c>
      <c r="P137" s="6" t="s">
        <v>106</v>
      </c>
      <c r="Q137" s="6" t="s">
        <v>4902</v>
      </c>
      <c r="R137" s="6" t="s">
        <v>652</v>
      </c>
    </row>
    <row r="138" customFormat="false" ht="23.85" hidden="false" customHeight="false" outlineLevel="0" collapsed="false">
      <c r="A138" s="6" t="s">
        <v>4899</v>
      </c>
      <c r="B138" s="6" t="s">
        <v>652</v>
      </c>
      <c r="C138" s="6" t="s">
        <v>4848</v>
      </c>
      <c r="D138" s="6" t="s">
        <v>4605</v>
      </c>
      <c r="E138" s="6" t="s">
        <v>4605</v>
      </c>
      <c r="F138" s="6" t="s">
        <v>3064</v>
      </c>
      <c r="G138" s="6" t="s">
        <v>1644</v>
      </c>
      <c r="H138" s="6" t="s">
        <v>1445</v>
      </c>
      <c r="I138" s="6" t="s">
        <v>4684</v>
      </c>
      <c r="J138" s="6" t="s">
        <v>4609</v>
      </c>
      <c r="K138" s="6" t="s">
        <v>4679</v>
      </c>
      <c r="L138" s="2" t="s">
        <v>4608</v>
      </c>
      <c r="M138" s="2" t="s">
        <v>4607</v>
      </c>
      <c r="N138" s="9" t="s">
        <v>4610</v>
      </c>
      <c r="O138" s="6" t="s">
        <v>4609</v>
      </c>
      <c r="P138" s="6" t="s">
        <v>106</v>
      </c>
      <c r="Q138" s="6" t="s">
        <v>4902</v>
      </c>
      <c r="R138" s="6" t="s">
        <v>652</v>
      </c>
    </row>
    <row r="139" customFormat="false" ht="35.05" hidden="false" customHeight="false" outlineLevel="0" collapsed="false">
      <c r="A139" s="6" t="s">
        <v>4909</v>
      </c>
      <c r="B139" s="6" t="s">
        <v>652</v>
      </c>
      <c r="C139" s="6" t="s">
        <v>4848</v>
      </c>
      <c r="D139" s="6" t="s">
        <v>1014</v>
      </c>
      <c r="E139" s="6" t="s">
        <v>1014</v>
      </c>
      <c r="F139" s="6" t="s">
        <v>824</v>
      </c>
      <c r="G139" s="6" t="s">
        <v>90</v>
      </c>
      <c r="H139" s="6" t="s">
        <v>77</v>
      </c>
      <c r="I139" s="6" t="s">
        <v>4684</v>
      </c>
      <c r="J139" s="6" t="s">
        <v>5365</v>
      </c>
      <c r="K139" s="6" t="s">
        <v>4790</v>
      </c>
      <c r="L139" s="2" t="s">
        <v>1017</v>
      </c>
      <c r="M139" s="2" t="s">
        <v>1016</v>
      </c>
      <c r="N139" s="9" t="s">
        <v>1018</v>
      </c>
      <c r="O139" s="6" t="s">
        <v>281</v>
      </c>
      <c r="P139" s="6" t="s">
        <v>106</v>
      </c>
      <c r="Q139" s="6" t="s">
        <v>4909</v>
      </c>
      <c r="R139" s="6" t="s">
        <v>5357</v>
      </c>
    </row>
    <row r="140" customFormat="false" ht="23.85" hidden="false" customHeight="false" outlineLevel="0" collapsed="false">
      <c r="A140" s="6" t="s">
        <v>4885</v>
      </c>
      <c r="B140" s="6" t="s">
        <v>652</v>
      </c>
      <c r="C140" s="6" t="s">
        <v>4848</v>
      </c>
      <c r="D140" s="6" t="s">
        <v>1574</v>
      </c>
      <c r="E140" s="6" t="s">
        <v>1574</v>
      </c>
      <c r="F140" s="6" t="s">
        <v>1575</v>
      </c>
      <c r="G140" s="6" t="s">
        <v>1215</v>
      </c>
      <c r="H140" s="6" t="s">
        <v>287</v>
      </c>
      <c r="I140" s="6" t="s">
        <v>4684</v>
      </c>
      <c r="J140" s="6" t="s">
        <v>683</v>
      </c>
      <c r="K140" s="6" t="s">
        <v>4790</v>
      </c>
      <c r="L140" s="2" t="s">
        <v>5495</v>
      </c>
      <c r="M140" s="2" t="s">
        <v>5496</v>
      </c>
      <c r="N140" s="9" t="s">
        <v>1580</v>
      </c>
      <c r="O140" s="6" t="s">
        <v>683</v>
      </c>
      <c r="P140" s="6" t="s">
        <v>85</v>
      </c>
      <c r="Q140" s="6" t="s">
        <v>4885</v>
      </c>
      <c r="R140" s="6" t="s">
        <v>652</v>
      </c>
    </row>
    <row r="141" customFormat="false" ht="23.85" hidden="false" customHeight="false" outlineLevel="0" collapsed="false">
      <c r="A141" s="6" t="s">
        <v>4885</v>
      </c>
      <c r="B141" s="6" t="s">
        <v>652</v>
      </c>
      <c r="C141" s="6" t="s">
        <v>4870</v>
      </c>
      <c r="D141" s="6" t="s">
        <v>2816</v>
      </c>
      <c r="E141" s="6" t="s">
        <v>2816</v>
      </c>
      <c r="F141" s="6" t="s">
        <v>2817</v>
      </c>
      <c r="G141" s="6" t="s">
        <v>1127</v>
      </c>
      <c r="H141" s="6" t="s">
        <v>287</v>
      </c>
      <c r="I141" s="6" t="s">
        <v>4676</v>
      </c>
      <c r="J141" s="6" t="s">
        <v>5365</v>
      </c>
      <c r="K141" s="6" t="s">
        <v>4790</v>
      </c>
      <c r="L141" s="2" t="s">
        <v>2820</v>
      </c>
      <c r="M141" s="2" t="s">
        <v>2819</v>
      </c>
      <c r="N141" s="9" t="s">
        <v>2821</v>
      </c>
      <c r="O141" s="6" t="s">
        <v>256</v>
      </c>
      <c r="P141" s="6" t="s">
        <v>85</v>
      </c>
      <c r="Q141" s="6" t="s">
        <v>4885</v>
      </c>
      <c r="R141" s="6" t="s">
        <v>652</v>
      </c>
    </row>
    <row r="142" customFormat="false" ht="15" hidden="false" customHeight="false" outlineLevel="0" collapsed="false">
      <c r="A142" s="6" t="s">
        <v>4885</v>
      </c>
      <c r="B142" s="6" t="s">
        <v>652</v>
      </c>
      <c r="C142" s="6" t="s">
        <v>4870</v>
      </c>
      <c r="D142" s="6" t="s">
        <v>3327</v>
      </c>
      <c r="E142" s="6" t="s">
        <v>3327</v>
      </c>
      <c r="F142" s="6" t="s">
        <v>3327</v>
      </c>
      <c r="G142" s="6" t="s">
        <v>1215</v>
      </c>
      <c r="H142" s="6" t="s">
        <v>287</v>
      </c>
      <c r="I142" s="6" t="s">
        <v>4676</v>
      </c>
      <c r="J142" s="6" t="s">
        <v>5365</v>
      </c>
      <c r="K142" s="6" t="s">
        <v>4790</v>
      </c>
      <c r="L142" s="2" t="s">
        <v>3329</v>
      </c>
      <c r="M142" s="2" t="s">
        <v>3328</v>
      </c>
      <c r="N142" s="9" t="s">
        <v>2821</v>
      </c>
      <c r="O142" s="6" t="s">
        <v>256</v>
      </c>
      <c r="P142" s="6" t="s">
        <v>85</v>
      </c>
      <c r="Q142" s="6" t="s">
        <v>4885</v>
      </c>
      <c r="R142" s="6" t="s">
        <v>652</v>
      </c>
    </row>
    <row r="143" customFormat="false" ht="23.85" hidden="false" customHeight="false" outlineLevel="0" collapsed="false">
      <c r="A143" s="6" t="s">
        <v>4885</v>
      </c>
      <c r="B143" s="6" t="s">
        <v>652</v>
      </c>
      <c r="C143" s="6" t="s">
        <v>4848</v>
      </c>
      <c r="D143" s="6" t="s">
        <v>1105</v>
      </c>
      <c r="E143" s="6" t="s">
        <v>1105</v>
      </c>
      <c r="F143" s="6" t="s">
        <v>1106</v>
      </c>
      <c r="G143" s="6" t="s">
        <v>507</v>
      </c>
      <c r="H143" s="6" t="s">
        <v>287</v>
      </c>
      <c r="I143" s="6" t="s">
        <v>4684</v>
      </c>
      <c r="J143" s="6" t="s">
        <v>5365</v>
      </c>
      <c r="K143" s="6" t="s">
        <v>4790</v>
      </c>
      <c r="L143" s="2" t="s">
        <v>5497</v>
      </c>
      <c r="M143" s="2" t="s">
        <v>5498</v>
      </c>
      <c r="N143" s="9" t="s">
        <v>1113</v>
      </c>
      <c r="O143" s="6" t="s">
        <v>123</v>
      </c>
      <c r="P143" s="6" t="s">
        <v>106</v>
      </c>
      <c r="Q143" s="6" t="s">
        <v>4885</v>
      </c>
      <c r="R143" s="6" t="s">
        <v>652</v>
      </c>
    </row>
    <row r="144" customFormat="false" ht="23.85" hidden="false" customHeight="false" outlineLevel="0" collapsed="false">
      <c r="A144" s="6" t="s">
        <v>4885</v>
      </c>
      <c r="B144" s="6" t="s">
        <v>652</v>
      </c>
      <c r="C144" s="6" t="s">
        <v>4848</v>
      </c>
      <c r="D144" s="6" t="s">
        <v>2328</v>
      </c>
      <c r="E144" s="6" t="s">
        <v>2328</v>
      </c>
      <c r="F144" s="6" t="s">
        <v>2329</v>
      </c>
      <c r="G144" s="6" t="s">
        <v>1215</v>
      </c>
      <c r="H144" s="6" t="s">
        <v>287</v>
      </c>
      <c r="I144" s="6" t="s">
        <v>4684</v>
      </c>
      <c r="J144" s="6" t="s">
        <v>5365</v>
      </c>
      <c r="K144" s="6" t="s">
        <v>4790</v>
      </c>
      <c r="L144" s="2" t="s">
        <v>2332</v>
      </c>
      <c r="M144" s="2" t="s">
        <v>2331</v>
      </c>
      <c r="N144" s="9" t="s">
        <v>2333</v>
      </c>
      <c r="O144" s="6" t="s">
        <v>461</v>
      </c>
      <c r="P144" s="6" t="s">
        <v>106</v>
      </c>
      <c r="Q144" s="6" t="s">
        <v>4885</v>
      </c>
      <c r="R144" s="6" t="s">
        <v>652</v>
      </c>
    </row>
    <row r="145" customFormat="false" ht="23.85" hidden="false" customHeight="false" outlineLevel="0" collapsed="false">
      <c r="A145" s="6" t="s">
        <v>4885</v>
      </c>
      <c r="B145" s="6" t="s">
        <v>652</v>
      </c>
      <c r="C145" s="6" t="s">
        <v>4848</v>
      </c>
      <c r="D145" s="6" t="s">
        <v>1732</v>
      </c>
      <c r="E145" s="6" t="s">
        <v>1732</v>
      </c>
      <c r="F145" s="6" t="s">
        <v>1732</v>
      </c>
      <c r="G145" s="6" t="s">
        <v>507</v>
      </c>
      <c r="H145" s="6" t="s">
        <v>287</v>
      </c>
      <c r="I145" s="6" t="s">
        <v>4684</v>
      </c>
      <c r="J145" s="6" t="s">
        <v>5365</v>
      </c>
      <c r="K145" s="6" t="s">
        <v>4679</v>
      </c>
      <c r="L145" s="2" t="s">
        <v>5499</v>
      </c>
      <c r="M145" s="2" t="s">
        <v>4330</v>
      </c>
      <c r="N145" s="9" t="s">
        <v>1737</v>
      </c>
      <c r="O145" s="6" t="s">
        <v>1774</v>
      </c>
      <c r="P145" s="6" t="s">
        <v>106</v>
      </c>
      <c r="Q145" s="6" t="s">
        <v>4885</v>
      </c>
      <c r="R145" s="6" t="s">
        <v>652</v>
      </c>
    </row>
    <row r="146" customFormat="false" ht="23.85" hidden="false" customHeight="false" outlineLevel="0" collapsed="false">
      <c r="A146" s="6" t="s">
        <v>4885</v>
      </c>
      <c r="B146" s="6" t="s">
        <v>652</v>
      </c>
      <c r="C146" s="6" t="s">
        <v>4848</v>
      </c>
      <c r="D146" s="6" t="s">
        <v>2070</v>
      </c>
      <c r="E146" s="6" t="s">
        <v>2070</v>
      </c>
      <c r="F146" s="6" t="s">
        <v>2071</v>
      </c>
      <c r="G146" s="6" t="s">
        <v>239</v>
      </c>
      <c r="H146" s="6" t="s">
        <v>287</v>
      </c>
      <c r="I146" s="6" t="s">
        <v>4684</v>
      </c>
      <c r="J146" s="6" t="s">
        <v>2075</v>
      </c>
      <c r="K146" s="6" t="s">
        <v>4679</v>
      </c>
      <c r="L146" s="2" t="s">
        <v>2074</v>
      </c>
      <c r="M146" s="2" t="s">
        <v>2073</v>
      </c>
      <c r="N146" s="9" t="s">
        <v>2076</v>
      </c>
      <c r="O146" s="6" t="s">
        <v>2075</v>
      </c>
      <c r="P146" s="6" t="s">
        <v>106</v>
      </c>
      <c r="Q146" s="6" t="s">
        <v>4888</v>
      </c>
      <c r="R146" s="6" t="s">
        <v>652</v>
      </c>
    </row>
    <row r="147" customFormat="false" ht="23.85" hidden="false" customHeight="false" outlineLevel="0" collapsed="false">
      <c r="A147" s="6" t="s">
        <v>4885</v>
      </c>
      <c r="B147" s="6" t="s">
        <v>652</v>
      </c>
      <c r="C147" s="6" t="s">
        <v>4848</v>
      </c>
      <c r="D147" s="6" t="s">
        <v>3374</v>
      </c>
      <c r="E147" s="6" t="s">
        <v>5500</v>
      </c>
      <c r="F147" s="6" t="s">
        <v>3375</v>
      </c>
      <c r="G147" s="6" t="s">
        <v>1583</v>
      </c>
      <c r="H147" s="6" t="s">
        <v>287</v>
      </c>
      <c r="I147" s="6" t="s">
        <v>4684</v>
      </c>
      <c r="J147" s="6" t="s">
        <v>5365</v>
      </c>
      <c r="K147" s="6" t="s">
        <v>4790</v>
      </c>
      <c r="L147" s="2" t="s">
        <v>3377</v>
      </c>
      <c r="M147" s="2"/>
      <c r="N147" s="9" t="s">
        <v>3379</v>
      </c>
      <c r="O147" s="6" t="s">
        <v>84</v>
      </c>
      <c r="P147" s="6" t="s">
        <v>106</v>
      </c>
      <c r="Q147" s="6" t="s">
        <v>4885</v>
      </c>
      <c r="R147" s="6" t="s">
        <v>652</v>
      </c>
    </row>
    <row r="148" customFormat="false" ht="15" hidden="false" customHeight="false" outlineLevel="0" collapsed="false">
      <c r="A148" s="6" t="s">
        <v>4885</v>
      </c>
      <c r="B148" s="6" t="s">
        <v>652</v>
      </c>
      <c r="C148" s="6" t="s">
        <v>4848</v>
      </c>
      <c r="D148" s="6" t="s">
        <v>3386</v>
      </c>
      <c r="E148" s="6" t="s">
        <v>3386</v>
      </c>
      <c r="F148" s="6" t="s">
        <v>3387</v>
      </c>
      <c r="G148" s="6" t="s">
        <v>1583</v>
      </c>
      <c r="H148" s="6" t="s">
        <v>287</v>
      </c>
      <c r="I148" s="6" t="s">
        <v>4684</v>
      </c>
      <c r="J148" s="6" t="s">
        <v>5365</v>
      </c>
      <c r="K148" s="6" t="s">
        <v>4679</v>
      </c>
      <c r="L148" s="2" t="s">
        <v>3388</v>
      </c>
      <c r="M148" s="2"/>
      <c r="N148" s="9" t="s">
        <v>1737</v>
      </c>
      <c r="O148" s="6" t="s">
        <v>1455</v>
      </c>
      <c r="P148" s="6" t="s">
        <v>106</v>
      </c>
      <c r="Q148" s="6" t="s">
        <v>4885</v>
      </c>
      <c r="R148" s="6" t="s">
        <v>652</v>
      </c>
    </row>
    <row r="149" customFormat="false" ht="23.85" hidden="false" customHeight="false" outlineLevel="0" collapsed="false">
      <c r="A149" s="6" t="s">
        <v>4885</v>
      </c>
      <c r="B149" s="6" t="s">
        <v>652</v>
      </c>
      <c r="C149" s="6" t="s">
        <v>4848</v>
      </c>
      <c r="D149" s="6" t="s">
        <v>1239</v>
      </c>
      <c r="E149" s="6" t="s">
        <v>1239</v>
      </c>
      <c r="F149" s="6" t="s">
        <v>1240</v>
      </c>
      <c r="G149" s="6" t="s">
        <v>626</v>
      </c>
      <c r="H149" s="6" t="s">
        <v>287</v>
      </c>
      <c r="I149" s="6" t="s">
        <v>4684</v>
      </c>
      <c r="J149" s="6" t="s">
        <v>5365</v>
      </c>
      <c r="K149" s="6" t="s">
        <v>4679</v>
      </c>
      <c r="L149" s="2" t="s">
        <v>1243</v>
      </c>
      <c r="M149" s="2" t="s">
        <v>5501</v>
      </c>
      <c r="N149" s="9" t="s">
        <v>1244</v>
      </c>
      <c r="O149" s="6" t="s">
        <v>2022</v>
      </c>
      <c r="P149" s="6" t="s">
        <v>106</v>
      </c>
      <c r="Q149" s="6" t="s">
        <v>4885</v>
      </c>
      <c r="R149" s="6" t="s">
        <v>652</v>
      </c>
    </row>
    <row r="150" customFormat="false" ht="23.85" hidden="false" customHeight="false" outlineLevel="0" collapsed="false">
      <c r="A150" s="6" t="s">
        <v>4885</v>
      </c>
      <c r="B150" s="6" t="s">
        <v>652</v>
      </c>
      <c r="C150" s="6" t="s">
        <v>4848</v>
      </c>
      <c r="D150" s="6" t="s">
        <v>3449</v>
      </c>
      <c r="E150" s="6" t="s">
        <v>3449</v>
      </c>
      <c r="F150" s="6" t="s">
        <v>3450</v>
      </c>
      <c r="G150" s="6" t="s">
        <v>1215</v>
      </c>
      <c r="H150" s="6" t="s">
        <v>287</v>
      </c>
      <c r="I150" s="6" t="s">
        <v>4680</v>
      </c>
      <c r="J150" s="6" t="s">
        <v>1943</v>
      </c>
      <c r="K150" s="6" t="s">
        <v>4675</v>
      </c>
      <c r="L150" s="2" t="s">
        <v>3453</v>
      </c>
      <c r="M150" s="2" t="s">
        <v>3452</v>
      </c>
      <c r="N150" s="9" t="s">
        <v>3454</v>
      </c>
      <c r="O150" s="6" t="s">
        <v>1943</v>
      </c>
      <c r="P150" s="6" t="s">
        <v>85</v>
      </c>
      <c r="Q150" s="6" t="s">
        <v>4885</v>
      </c>
      <c r="R150" s="6" t="s">
        <v>652</v>
      </c>
    </row>
    <row r="151" customFormat="false" ht="23.85" hidden="false" customHeight="false" outlineLevel="0" collapsed="false">
      <c r="A151" s="6" t="s">
        <v>4885</v>
      </c>
      <c r="B151" s="6" t="s">
        <v>652</v>
      </c>
      <c r="C151" s="6" t="s">
        <v>4848</v>
      </c>
      <c r="D151" s="6" t="s">
        <v>1876</v>
      </c>
      <c r="E151" s="6" t="s">
        <v>1876</v>
      </c>
      <c r="F151" s="6" t="s">
        <v>5502</v>
      </c>
      <c r="G151" s="6" t="s">
        <v>182</v>
      </c>
      <c r="H151" s="6" t="s">
        <v>287</v>
      </c>
      <c r="I151" s="6" t="s">
        <v>4684</v>
      </c>
      <c r="J151" s="6" t="s">
        <v>5365</v>
      </c>
      <c r="K151" s="6" t="s">
        <v>4790</v>
      </c>
      <c r="L151" s="2" t="s">
        <v>5503</v>
      </c>
      <c r="M151" s="2" t="s">
        <v>5504</v>
      </c>
      <c r="N151" s="9" t="s">
        <v>5505</v>
      </c>
      <c r="O151" s="6" t="s">
        <v>1943</v>
      </c>
      <c r="P151" s="6" t="s">
        <v>106</v>
      </c>
      <c r="Q151" s="6" t="s">
        <v>4885</v>
      </c>
      <c r="R151" s="6" t="s">
        <v>652</v>
      </c>
    </row>
    <row r="152" customFormat="false" ht="35.05" hidden="false" customHeight="false" outlineLevel="0" collapsed="false">
      <c r="A152" s="6" t="s">
        <v>4885</v>
      </c>
      <c r="B152" s="6" t="s">
        <v>652</v>
      </c>
      <c r="C152" s="6" t="s">
        <v>4848</v>
      </c>
      <c r="D152" s="6" t="s">
        <v>1776</v>
      </c>
      <c r="E152" s="6" t="s">
        <v>1776</v>
      </c>
      <c r="F152" s="6" t="s">
        <v>1777</v>
      </c>
      <c r="G152" s="6" t="s">
        <v>507</v>
      </c>
      <c r="H152" s="6" t="s">
        <v>287</v>
      </c>
      <c r="I152" s="6" t="s">
        <v>4684</v>
      </c>
      <c r="J152" s="6" t="s">
        <v>5506</v>
      </c>
      <c r="K152" s="6" t="s">
        <v>4790</v>
      </c>
      <c r="L152" s="2" t="s">
        <v>1780</v>
      </c>
      <c r="M152" s="2" t="s">
        <v>1779</v>
      </c>
      <c r="N152" s="9" t="s">
        <v>1781</v>
      </c>
      <c r="O152" s="6" t="s">
        <v>130</v>
      </c>
      <c r="P152" s="6" t="s">
        <v>85</v>
      </c>
      <c r="Q152" s="6" t="s">
        <v>4885</v>
      </c>
      <c r="R152" s="6" t="s">
        <v>652</v>
      </c>
    </row>
    <row r="153" customFormat="false" ht="23.85" hidden="false" customHeight="false" outlineLevel="0" collapsed="false">
      <c r="A153" s="6" t="s">
        <v>4885</v>
      </c>
      <c r="B153" s="6" t="s">
        <v>652</v>
      </c>
      <c r="C153" s="6" t="s">
        <v>4848</v>
      </c>
      <c r="D153" s="6" t="s">
        <v>2622</v>
      </c>
      <c r="E153" s="6" t="s">
        <v>2622</v>
      </c>
      <c r="F153" s="6" t="s">
        <v>5507</v>
      </c>
      <c r="G153" s="6" t="s">
        <v>507</v>
      </c>
      <c r="H153" s="6" t="s">
        <v>1445</v>
      </c>
      <c r="I153" s="6" t="s">
        <v>4684</v>
      </c>
      <c r="J153" s="6" t="s">
        <v>5370</v>
      </c>
      <c r="K153" s="6" t="s">
        <v>4790</v>
      </c>
      <c r="L153" s="2" t="s">
        <v>5508</v>
      </c>
      <c r="M153" s="2" t="s">
        <v>5509</v>
      </c>
      <c r="N153" s="9" t="s">
        <v>2246</v>
      </c>
      <c r="O153" s="6" t="s">
        <v>281</v>
      </c>
      <c r="P153" s="6" t="s">
        <v>106</v>
      </c>
      <c r="Q153" s="6" t="s">
        <v>4885</v>
      </c>
      <c r="R153" s="6" t="s">
        <v>652</v>
      </c>
    </row>
    <row r="154" customFormat="false" ht="15" hidden="false" customHeight="false" outlineLevel="0" collapsed="false">
      <c r="A154" s="6" t="s">
        <v>4885</v>
      </c>
      <c r="B154" s="6" t="s">
        <v>652</v>
      </c>
      <c r="C154" s="6" t="s">
        <v>4848</v>
      </c>
      <c r="D154" s="6" t="s">
        <v>3815</v>
      </c>
      <c r="E154" s="6" t="s">
        <v>3815</v>
      </c>
      <c r="F154" s="6" t="s">
        <v>2774</v>
      </c>
      <c r="G154" s="6" t="s">
        <v>3000</v>
      </c>
      <c r="H154" s="6" t="s">
        <v>1445</v>
      </c>
      <c r="I154" s="6" t="s">
        <v>4684</v>
      </c>
      <c r="J154" s="6" t="s">
        <v>5365</v>
      </c>
      <c r="K154" s="6" t="s">
        <v>4679</v>
      </c>
      <c r="L154" s="2" t="s">
        <v>5510</v>
      </c>
      <c r="M154" s="2" t="s">
        <v>4330</v>
      </c>
      <c r="N154" s="9" t="s">
        <v>3821</v>
      </c>
      <c r="O154" s="6" t="s">
        <v>2686</v>
      </c>
      <c r="P154" s="6" t="s">
        <v>106</v>
      </c>
      <c r="Q154" s="6" t="s">
        <v>4885</v>
      </c>
      <c r="R154" s="6" t="s">
        <v>652</v>
      </c>
    </row>
    <row r="155" customFormat="false" ht="23.85" hidden="false" customHeight="false" outlineLevel="0" collapsed="false">
      <c r="A155" s="6" t="s">
        <v>4885</v>
      </c>
      <c r="B155" s="6" t="s">
        <v>652</v>
      </c>
      <c r="C155" s="6" t="s">
        <v>4848</v>
      </c>
      <c r="D155" s="6" t="s">
        <v>3882</v>
      </c>
      <c r="E155" s="6" t="s">
        <v>3882</v>
      </c>
      <c r="F155" s="6" t="s">
        <v>3882</v>
      </c>
      <c r="G155" s="6" t="s">
        <v>507</v>
      </c>
      <c r="H155" s="6" t="s">
        <v>1445</v>
      </c>
      <c r="I155" s="6" t="s">
        <v>4684</v>
      </c>
      <c r="J155" s="6" t="s">
        <v>5365</v>
      </c>
      <c r="K155" s="6" t="s">
        <v>4679</v>
      </c>
      <c r="L155" s="2" t="s">
        <v>5511</v>
      </c>
      <c r="M155" s="2" t="s">
        <v>5512</v>
      </c>
      <c r="N155" s="9" t="s">
        <v>3888</v>
      </c>
      <c r="O155" s="6" t="s">
        <v>3177</v>
      </c>
      <c r="P155" s="6" t="s">
        <v>106</v>
      </c>
      <c r="Q155" s="6" t="s">
        <v>4888</v>
      </c>
      <c r="R155" s="6" t="s">
        <v>652</v>
      </c>
    </row>
    <row r="156" customFormat="false" ht="23.85" hidden="false" customHeight="false" outlineLevel="0" collapsed="false">
      <c r="A156" s="6" t="s">
        <v>4885</v>
      </c>
      <c r="B156" s="6" t="s">
        <v>652</v>
      </c>
      <c r="C156" s="6" t="s">
        <v>4848</v>
      </c>
      <c r="D156" s="6" t="s">
        <v>2958</v>
      </c>
      <c r="E156" s="6" t="s">
        <v>5513</v>
      </c>
      <c r="F156" s="6" t="s">
        <v>2959</v>
      </c>
      <c r="G156" s="6" t="s">
        <v>1644</v>
      </c>
      <c r="H156" s="6" t="s">
        <v>1445</v>
      </c>
      <c r="I156" s="6" t="s">
        <v>4684</v>
      </c>
      <c r="J156" s="6" t="s">
        <v>461</v>
      </c>
      <c r="K156" s="6" t="s">
        <v>4790</v>
      </c>
      <c r="L156" s="2" t="s">
        <v>5514</v>
      </c>
      <c r="M156" s="2" t="s">
        <v>5515</v>
      </c>
      <c r="N156" s="9" t="s">
        <v>5516</v>
      </c>
      <c r="O156" s="6" t="s">
        <v>461</v>
      </c>
      <c r="P156" s="6" t="s">
        <v>106</v>
      </c>
      <c r="Q156" s="6" t="s">
        <v>4885</v>
      </c>
      <c r="R156" s="6" t="s">
        <v>652</v>
      </c>
    </row>
    <row r="157" customFormat="false" ht="15" hidden="false" customHeight="false" outlineLevel="0" collapsed="false">
      <c r="A157" s="6" t="s">
        <v>4885</v>
      </c>
      <c r="B157" s="6" t="s">
        <v>652</v>
      </c>
      <c r="C157" s="6" t="s">
        <v>4848</v>
      </c>
      <c r="D157" s="6" t="s">
        <v>4097</v>
      </c>
      <c r="E157" s="6" t="s">
        <v>4097</v>
      </c>
      <c r="F157" s="6" t="s">
        <v>2999</v>
      </c>
      <c r="G157" s="6" t="s">
        <v>1583</v>
      </c>
      <c r="H157" s="6" t="s">
        <v>1445</v>
      </c>
      <c r="I157" s="6" t="s">
        <v>4684</v>
      </c>
      <c r="J157" s="6" t="s">
        <v>5365</v>
      </c>
      <c r="K157" s="6" t="s">
        <v>4679</v>
      </c>
      <c r="L157" s="2" t="s">
        <v>5517</v>
      </c>
      <c r="M157" s="2"/>
      <c r="N157" s="9" t="s">
        <v>4101</v>
      </c>
      <c r="O157" s="6" t="s">
        <v>341</v>
      </c>
      <c r="P157" s="6" t="s">
        <v>106</v>
      </c>
      <c r="Q157" s="6" t="s">
        <v>4888</v>
      </c>
      <c r="R157" s="6" t="s">
        <v>652</v>
      </c>
    </row>
    <row r="158" customFormat="false" ht="23.85" hidden="false" customHeight="false" outlineLevel="0" collapsed="false">
      <c r="A158" s="6" t="s">
        <v>4885</v>
      </c>
      <c r="B158" s="6" t="s">
        <v>652</v>
      </c>
      <c r="C158" s="6" t="s">
        <v>4848</v>
      </c>
      <c r="D158" s="6" t="s">
        <v>2999</v>
      </c>
      <c r="E158" s="6" t="s">
        <v>2999</v>
      </c>
      <c r="F158" s="6" t="s">
        <v>3001</v>
      </c>
      <c r="G158" s="6" t="s">
        <v>3000</v>
      </c>
      <c r="H158" s="6" t="s">
        <v>1445</v>
      </c>
      <c r="I158" s="6" t="s">
        <v>4684</v>
      </c>
      <c r="J158" s="6" t="s">
        <v>5365</v>
      </c>
      <c r="K158" s="6" t="s">
        <v>4790</v>
      </c>
      <c r="L158" s="2" t="s">
        <v>5518</v>
      </c>
      <c r="M158" s="2" t="s">
        <v>5519</v>
      </c>
      <c r="N158" s="9" t="s">
        <v>5520</v>
      </c>
      <c r="O158" s="6" t="s">
        <v>97</v>
      </c>
      <c r="P158" s="6" t="s">
        <v>106</v>
      </c>
      <c r="Q158" s="6" t="s">
        <v>4885</v>
      </c>
      <c r="R158" s="6" t="s">
        <v>652</v>
      </c>
    </row>
    <row r="159" customFormat="false" ht="23.85" hidden="false" customHeight="false" outlineLevel="0" collapsed="false">
      <c r="A159" s="6" t="s">
        <v>4885</v>
      </c>
      <c r="B159" s="6" t="s">
        <v>652</v>
      </c>
      <c r="C159" s="6" t="s">
        <v>4848</v>
      </c>
      <c r="D159" s="6" t="s">
        <v>3661</v>
      </c>
      <c r="E159" s="6" t="s">
        <v>3661</v>
      </c>
      <c r="F159" s="6" t="s">
        <v>3662</v>
      </c>
      <c r="G159" s="6" t="s">
        <v>626</v>
      </c>
      <c r="H159" s="6" t="s">
        <v>1445</v>
      </c>
      <c r="I159" s="6" t="s">
        <v>4684</v>
      </c>
      <c r="J159" s="6" t="s">
        <v>5365</v>
      </c>
      <c r="K159" s="6" t="s">
        <v>4790</v>
      </c>
      <c r="L159" s="2" t="s">
        <v>3663</v>
      </c>
      <c r="M159" s="2"/>
      <c r="N159" s="9" t="s">
        <v>2246</v>
      </c>
      <c r="O159" s="6" t="s">
        <v>281</v>
      </c>
      <c r="P159" s="6" t="s">
        <v>106</v>
      </c>
      <c r="Q159" s="6" t="s">
        <v>4885</v>
      </c>
      <c r="R159" s="6" t="s">
        <v>652</v>
      </c>
    </row>
    <row r="160" customFormat="false" ht="23.85" hidden="false" customHeight="false" outlineLevel="0" collapsed="false">
      <c r="A160" s="6" t="s">
        <v>4885</v>
      </c>
      <c r="B160" s="6" t="s">
        <v>652</v>
      </c>
      <c r="C160" s="6" t="s">
        <v>4848</v>
      </c>
      <c r="D160" s="6" t="s">
        <v>4251</v>
      </c>
      <c r="E160" s="6" t="s">
        <v>4251</v>
      </c>
      <c r="F160" s="6" t="s">
        <v>263</v>
      </c>
      <c r="G160" s="6" t="s">
        <v>3000</v>
      </c>
      <c r="H160" s="6" t="s">
        <v>1445</v>
      </c>
      <c r="I160" s="6" t="s">
        <v>4684</v>
      </c>
      <c r="J160" s="6" t="s">
        <v>5521</v>
      </c>
      <c r="K160" s="6" t="s">
        <v>4675</v>
      </c>
      <c r="L160" s="2" t="s">
        <v>4255</v>
      </c>
      <c r="M160" s="2" t="s">
        <v>5522</v>
      </c>
      <c r="N160" s="9" t="s">
        <v>4257</v>
      </c>
      <c r="O160" s="6" t="s">
        <v>281</v>
      </c>
      <c r="P160" s="6" t="s">
        <v>106</v>
      </c>
      <c r="Q160" s="6" t="s">
        <v>4885</v>
      </c>
      <c r="R160" s="6" t="s">
        <v>652</v>
      </c>
    </row>
    <row r="161" customFormat="false" ht="23.85" hidden="false" customHeight="false" outlineLevel="0" collapsed="false">
      <c r="A161" s="6" t="s">
        <v>4885</v>
      </c>
      <c r="B161" s="6" t="s">
        <v>652</v>
      </c>
      <c r="C161" s="6" t="s">
        <v>4848</v>
      </c>
      <c r="D161" s="6" t="s">
        <v>4286</v>
      </c>
      <c r="E161" s="6" t="s">
        <v>4286</v>
      </c>
      <c r="F161" s="6" t="s">
        <v>3662</v>
      </c>
      <c r="G161" s="6" t="s">
        <v>1598</v>
      </c>
      <c r="H161" s="6" t="s">
        <v>1445</v>
      </c>
      <c r="I161" s="6" t="s">
        <v>4684</v>
      </c>
      <c r="J161" s="6" t="s">
        <v>5365</v>
      </c>
      <c r="K161" s="6" t="s">
        <v>4790</v>
      </c>
      <c r="L161" s="2" t="s">
        <v>4288</v>
      </c>
      <c r="M161" s="2" t="s">
        <v>4287</v>
      </c>
      <c r="N161" s="9" t="s">
        <v>1687</v>
      </c>
      <c r="O161" s="6" t="s">
        <v>461</v>
      </c>
      <c r="P161" s="6" t="s">
        <v>106</v>
      </c>
      <c r="Q161" s="6" t="s">
        <v>4885</v>
      </c>
      <c r="R161" s="6" t="s">
        <v>652</v>
      </c>
    </row>
    <row r="162" customFormat="false" ht="23.85" hidden="false" customHeight="false" outlineLevel="0" collapsed="false">
      <c r="A162" s="6" t="s">
        <v>4885</v>
      </c>
      <c r="B162" s="6" t="s">
        <v>652</v>
      </c>
      <c r="C162" s="6" t="s">
        <v>4848</v>
      </c>
      <c r="D162" s="6" t="s">
        <v>2653</v>
      </c>
      <c r="E162" s="6" t="s">
        <v>2653</v>
      </c>
      <c r="F162" s="6" t="s">
        <v>2654</v>
      </c>
      <c r="G162" s="6" t="s">
        <v>1127</v>
      </c>
      <c r="H162" s="6" t="s">
        <v>1445</v>
      </c>
      <c r="I162" s="6" t="s">
        <v>4684</v>
      </c>
      <c r="J162" s="6" t="s">
        <v>5523</v>
      </c>
      <c r="K162" s="6" t="s">
        <v>4726</v>
      </c>
      <c r="L162" s="2" t="s">
        <v>5524</v>
      </c>
      <c r="M162" s="2" t="s">
        <v>5525</v>
      </c>
      <c r="N162" s="9" t="s">
        <v>5526</v>
      </c>
      <c r="O162" s="6" t="s">
        <v>143</v>
      </c>
      <c r="P162" s="6" t="s">
        <v>106</v>
      </c>
      <c r="Q162" s="6" t="s">
        <v>4885</v>
      </c>
      <c r="R162" s="6" t="s">
        <v>652</v>
      </c>
    </row>
    <row r="163" customFormat="false" ht="15" hidden="false" customHeight="false" outlineLevel="0" collapsed="false">
      <c r="A163" s="6" t="s">
        <v>4885</v>
      </c>
      <c r="B163" s="6" t="s">
        <v>652</v>
      </c>
      <c r="C163" s="6" t="s">
        <v>4848</v>
      </c>
      <c r="D163" s="6" t="s">
        <v>4328</v>
      </c>
      <c r="E163" s="6" t="s">
        <v>4328</v>
      </c>
      <c r="F163" s="6" t="s">
        <v>1630</v>
      </c>
      <c r="G163" s="6" t="s">
        <v>1583</v>
      </c>
      <c r="H163" s="6" t="s">
        <v>1445</v>
      </c>
      <c r="I163" s="6" t="s">
        <v>4684</v>
      </c>
      <c r="J163" s="6" t="s">
        <v>4332</v>
      </c>
      <c r="K163" s="6" t="s">
        <v>4679</v>
      </c>
      <c r="L163" s="2" t="s">
        <v>4331</v>
      </c>
      <c r="M163" s="2" t="s">
        <v>4330</v>
      </c>
      <c r="N163" s="9" t="s">
        <v>4333</v>
      </c>
      <c r="O163" s="6" t="s">
        <v>4332</v>
      </c>
      <c r="P163" s="6" t="s">
        <v>106</v>
      </c>
      <c r="Q163" s="6" t="s">
        <v>4885</v>
      </c>
      <c r="R163" s="6" t="s">
        <v>652</v>
      </c>
    </row>
    <row r="164" customFormat="false" ht="23.85" hidden="false" customHeight="false" outlineLevel="0" collapsed="false">
      <c r="A164" s="6" t="s">
        <v>4885</v>
      </c>
      <c r="B164" s="6" t="s">
        <v>652</v>
      </c>
      <c r="C164" s="6" t="s">
        <v>4848</v>
      </c>
      <c r="D164" s="6" t="s">
        <v>4408</v>
      </c>
      <c r="E164" s="6" t="s">
        <v>4408</v>
      </c>
      <c r="F164" s="6" t="s">
        <v>4409</v>
      </c>
      <c r="G164" s="6" t="s">
        <v>1598</v>
      </c>
      <c r="H164" s="6" t="s">
        <v>1445</v>
      </c>
      <c r="I164" s="6" t="s">
        <v>4676</v>
      </c>
      <c r="J164" s="6" t="s">
        <v>5365</v>
      </c>
      <c r="K164" s="6" t="s">
        <v>4790</v>
      </c>
      <c r="L164" s="2" t="s">
        <v>4410</v>
      </c>
      <c r="M164" s="2"/>
      <c r="N164" s="9" t="s">
        <v>2821</v>
      </c>
      <c r="O164" s="6" t="s">
        <v>256</v>
      </c>
      <c r="P164" s="6" t="s">
        <v>85</v>
      </c>
      <c r="Q164" s="6" t="s">
        <v>4885</v>
      </c>
      <c r="R164" s="6" t="s">
        <v>652</v>
      </c>
    </row>
    <row r="165" customFormat="false" ht="15" hidden="false" customHeight="false" outlineLevel="0" collapsed="false">
      <c r="A165" s="6" t="s">
        <v>4885</v>
      </c>
      <c r="B165" s="6" t="s">
        <v>652</v>
      </c>
      <c r="C165" s="6" t="s">
        <v>4848</v>
      </c>
      <c r="D165" s="6" t="s">
        <v>4465</v>
      </c>
      <c r="E165" s="6" t="s">
        <v>4465</v>
      </c>
      <c r="F165" s="6" t="s">
        <v>4466</v>
      </c>
      <c r="G165" s="6" t="s">
        <v>1583</v>
      </c>
      <c r="H165" s="6" t="s">
        <v>1445</v>
      </c>
      <c r="I165" s="6" t="s">
        <v>4684</v>
      </c>
      <c r="J165" s="6" t="s">
        <v>5365</v>
      </c>
      <c r="K165" s="6" t="s">
        <v>4679</v>
      </c>
      <c r="L165" s="2" t="s">
        <v>4468</v>
      </c>
      <c r="M165" s="2" t="s">
        <v>4467</v>
      </c>
      <c r="N165" s="9" t="s">
        <v>1737</v>
      </c>
      <c r="O165" s="6" t="s">
        <v>967</v>
      </c>
      <c r="P165" s="6" t="s">
        <v>106</v>
      </c>
      <c r="Q165" s="6" t="s">
        <v>4885</v>
      </c>
      <c r="R165" s="6" t="s">
        <v>652</v>
      </c>
    </row>
    <row r="166" customFormat="false" ht="23.85" hidden="false" customHeight="false" outlineLevel="0" collapsed="false">
      <c r="A166" s="6" t="s">
        <v>4885</v>
      </c>
      <c r="B166" s="6" t="s">
        <v>652</v>
      </c>
      <c r="C166" s="6" t="s">
        <v>4848</v>
      </c>
      <c r="D166" s="6" t="s">
        <v>1680</v>
      </c>
      <c r="E166" s="6" t="s">
        <v>1680</v>
      </c>
      <c r="F166" s="6" t="s">
        <v>1681</v>
      </c>
      <c r="G166" s="6" t="s">
        <v>1644</v>
      </c>
      <c r="H166" s="6" t="s">
        <v>1445</v>
      </c>
      <c r="I166" s="6" t="s">
        <v>4684</v>
      </c>
      <c r="J166" s="6" t="s">
        <v>5412</v>
      </c>
      <c r="K166" s="6" t="s">
        <v>4790</v>
      </c>
      <c r="L166" s="2" t="s">
        <v>1686</v>
      </c>
      <c r="M166" s="2" t="s">
        <v>5527</v>
      </c>
      <c r="N166" s="9" t="s">
        <v>1687</v>
      </c>
      <c r="O166" s="6" t="s">
        <v>461</v>
      </c>
      <c r="P166" s="6" t="s">
        <v>106</v>
      </c>
      <c r="Q166" s="6" t="s">
        <v>4885</v>
      </c>
      <c r="R166" s="6" t="s">
        <v>652</v>
      </c>
    </row>
    <row r="167" customFormat="false" ht="23.85" hidden="false" customHeight="false" outlineLevel="0" collapsed="false">
      <c r="A167" s="6" t="s">
        <v>4885</v>
      </c>
      <c r="B167" s="6" t="s">
        <v>652</v>
      </c>
      <c r="C167" s="6" t="s">
        <v>4848</v>
      </c>
      <c r="D167" s="6" t="s">
        <v>4516</v>
      </c>
      <c r="E167" s="6" t="s">
        <v>4516</v>
      </c>
      <c r="F167" s="6" t="s">
        <v>4409</v>
      </c>
      <c r="G167" s="6" t="s">
        <v>1598</v>
      </c>
      <c r="H167" s="6" t="s">
        <v>1445</v>
      </c>
      <c r="I167" s="6" t="s">
        <v>4684</v>
      </c>
      <c r="J167" s="6" t="s">
        <v>5365</v>
      </c>
      <c r="K167" s="6" t="s">
        <v>4790</v>
      </c>
      <c r="L167" s="2" t="s">
        <v>4517</v>
      </c>
      <c r="M167" s="2"/>
      <c r="N167" s="9" t="s">
        <v>4518</v>
      </c>
      <c r="O167" s="6" t="s">
        <v>130</v>
      </c>
      <c r="P167" s="6" t="s">
        <v>106</v>
      </c>
      <c r="Q167" s="6" t="s">
        <v>4885</v>
      </c>
      <c r="R167" s="6" t="s">
        <v>652</v>
      </c>
    </row>
    <row r="168" customFormat="false" ht="23.85" hidden="false" customHeight="false" outlineLevel="0" collapsed="false">
      <c r="A168" s="6" t="s">
        <v>4885</v>
      </c>
      <c r="B168" s="6" t="s">
        <v>652</v>
      </c>
      <c r="C168" s="6" t="s">
        <v>4848</v>
      </c>
      <c r="D168" s="6" t="s">
        <v>2243</v>
      </c>
      <c r="E168" s="6" t="s">
        <v>2243</v>
      </c>
      <c r="F168" s="6" t="s">
        <v>5528</v>
      </c>
      <c r="G168" s="6" t="s">
        <v>182</v>
      </c>
      <c r="H168" s="6" t="s">
        <v>1445</v>
      </c>
      <c r="I168" s="6" t="s">
        <v>4684</v>
      </c>
      <c r="J168" s="6" t="s">
        <v>5365</v>
      </c>
      <c r="K168" s="6" t="s">
        <v>4790</v>
      </c>
      <c r="L168" s="2" t="s">
        <v>2245</v>
      </c>
      <c r="M168" s="2"/>
      <c r="N168" s="9" t="s">
        <v>2246</v>
      </c>
      <c r="O168" s="6" t="s">
        <v>281</v>
      </c>
      <c r="P168" s="6" t="s">
        <v>106</v>
      </c>
      <c r="Q168" s="6" t="s">
        <v>4885</v>
      </c>
      <c r="R168" s="6" t="s">
        <v>652</v>
      </c>
    </row>
    <row r="169" customFormat="false" ht="15" hidden="false" customHeight="false" outlineLevel="0" collapsed="false">
      <c r="A169" s="6" t="s">
        <v>4885</v>
      </c>
      <c r="B169" s="6" t="s">
        <v>652</v>
      </c>
      <c r="C169" s="6" t="s">
        <v>4848</v>
      </c>
      <c r="D169" s="6" t="s">
        <v>4611</v>
      </c>
      <c r="E169" s="6" t="s">
        <v>4611</v>
      </c>
      <c r="F169" s="6" t="s">
        <v>4611</v>
      </c>
      <c r="G169" s="6" t="s">
        <v>1583</v>
      </c>
      <c r="H169" s="6" t="s">
        <v>1445</v>
      </c>
      <c r="I169" s="6" t="s">
        <v>4684</v>
      </c>
      <c r="J169" s="6" t="s">
        <v>5365</v>
      </c>
      <c r="K169" s="6" t="s">
        <v>4679</v>
      </c>
      <c r="L169" s="2" t="s">
        <v>4612</v>
      </c>
      <c r="M169" s="2"/>
      <c r="N169" s="9" t="s">
        <v>1737</v>
      </c>
      <c r="O169" s="6" t="s">
        <v>448</v>
      </c>
      <c r="P169" s="6" t="s">
        <v>106</v>
      </c>
      <c r="Q169" s="6" t="s">
        <v>4885</v>
      </c>
      <c r="R169" s="6" t="s">
        <v>652</v>
      </c>
    </row>
    <row r="170" customFormat="false" ht="23.85" hidden="false" customHeight="false" outlineLevel="0" collapsed="false">
      <c r="A170" s="6" t="s">
        <v>4911</v>
      </c>
      <c r="B170" s="6" t="s">
        <v>652</v>
      </c>
      <c r="C170" s="6" t="s">
        <v>4682</v>
      </c>
      <c r="D170" s="6" t="s">
        <v>4447</v>
      </c>
      <c r="E170" s="6" t="s">
        <v>4447</v>
      </c>
      <c r="F170" s="6" t="s">
        <v>4447</v>
      </c>
      <c r="G170" s="6" t="s">
        <v>1215</v>
      </c>
      <c r="H170" s="6" t="s">
        <v>1445</v>
      </c>
      <c r="I170" s="6" t="s">
        <v>4682</v>
      </c>
      <c r="J170" s="6" t="s">
        <v>440</v>
      </c>
      <c r="K170" s="6" t="s">
        <v>4790</v>
      </c>
      <c r="L170" s="2" t="s">
        <v>4450</v>
      </c>
      <c r="M170" s="2" t="s">
        <v>4449</v>
      </c>
      <c r="N170" s="9" t="s">
        <v>4451</v>
      </c>
      <c r="O170" s="6" t="s">
        <v>440</v>
      </c>
      <c r="P170" s="6" t="s">
        <v>85</v>
      </c>
      <c r="Q170" s="6" t="s">
        <v>4911</v>
      </c>
      <c r="R170" s="6" t="s">
        <v>652</v>
      </c>
    </row>
    <row r="171" customFormat="false" ht="23.85" hidden="false" customHeight="false" outlineLevel="0" collapsed="false">
      <c r="A171" s="6" t="s">
        <v>4903</v>
      </c>
      <c r="B171" s="6" t="s">
        <v>652</v>
      </c>
      <c r="C171" s="6" t="s">
        <v>4870</v>
      </c>
      <c r="D171" s="6" t="s">
        <v>2832</v>
      </c>
      <c r="E171" s="6" t="s">
        <v>5529</v>
      </c>
      <c r="F171" s="6" t="s">
        <v>2833</v>
      </c>
      <c r="G171" s="6" t="s">
        <v>1127</v>
      </c>
      <c r="H171" s="6" t="s">
        <v>287</v>
      </c>
      <c r="I171" s="6" t="s">
        <v>4706</v>
      </c>
      <c r="J171" s="6" t="s">
        <v>2022</v>
      </c>
      <c r="K171" s="6" t="s">
        <v>4679</v>
      </c>
      <c r="L171" s="2" t="s">
        <v>5530</v>
      </c>
      <c r="M171" s="2" t="s">
        <v>5531</v>
      </c>
      <c r="N171" s="9" t="s">
        <v>2837</v>
      </c>
      <c r="O171" s="6" t="s">
        <v>2022</v>
      </c>
      <c r="P171" s="6" t="s">
        <v>106</v>
      </c>
      <c r="Q171" s="6" t="s">
        <v>4905</v>
      </c>
      <c r="R171" s="6" t="s">
        <v>652</v>
      </c>
    </row>
    <row r="172" customFormat="false" ht="23.85" hidden="false" customHeight="false" outlineLevel="0" collapsed="false">
      <c r="A172" s="6" t="s">
        <v>4903</v>
      </c>
      <c r="B172" s="6" t="s">
        <v>652</v>
      </c>
      <c r="C172" s="6" t="s">
        <v>4870</v>
      </c>
      <c r="D172" s="6" t="s">
        <v>326</v>
      </c>
      <c r="E172" s="6" t="s">
        <v>5532</v>
      </c>
      <c r="F172" s="6" t="s">
        <v>327</v>
      </c>
      <c r="G172" s="6" t="s">
        <v>239</v>
      </c>
      <c r="H172" s="6" t="s">
        <v>287</v>
      </c>
      <c r="I172" s="6" t="s">
        <v>4676</v>
      </c>
      <c r="J172" s="6" t="s">
        <v>2000</v>
      </c>
      <c r="K172" s="6" t="s">
        <v>4726</v>
      </c>
      <c r="L172" s="2" t="s">
        <v>5533</v>
      </c>
      <c r="M172" s="2" t="s">
        <v>5534</v>
      </c>
      <c r="N172" s="9" t="s">
        <v>5535</v>
      </c>
      <c r="O172" s="6" t="s">
        <v>2000</v>
      </c>
      <c r="P172" s="6" t="s">
        <v>106</v>
      </c>
      <c r="Q172" s="6" t="s">
        <v>4905</v>
      </c>
      <c r="R172" s="6" t="s">
        <v>652</v>
      </c>
    </row>
    <row r="173" customFormat="false" ht="15" hidden="false" customHeight="false" outlineLevel="0" collapsed="false">
      <c r="A173" s="6" t="s">
        <v>4903</v>
      </c>
      <c r="B173" s="6" t="s">
        <v>652</v>
      </c>
      <c r="C173" s="6" t="s">
        <v>4870</v>
      </c>
      <c r="D173" s="6" t="s">
        <v>4109</v>
      </c>
      <c r="E173" s="6" t="s">
        <v>4109</v>
      </c>
      <c r="F173" s="6" t="s">
        <v>4110</v>
      </c>
      <c r="G173" s="6" t="s">
        <v>1598</v>
      </c>
      <c r="H173" s="6" t="s">
        <v>1445</v>
      </c>
      <c r="I173" s="6" t="s">
        <v>4676</v>
      </c>
      <c r="J173" s="6" t="s">
        <v>5365</v>
      </c>
      <c r="K173" s="6" t="s">
        <v>4790</v>
      </c>
      <c r="L173" s="2" t="s">
        <v>4112</v>
      </c>
      <c r="M173" s="2"/>
      <c r="N173" s="9" t="s">
        <v>4113</v>
      </c>
      <c r="O173" s="6" t="s">
        <v>411</v>
      </c>
      <c r="P173" s="6" t="s">
        <v>106</v>
      </c>
      <c r="Q173" s="6" t="s">
        <v>4905</v>
      </c>
      <c r="R173" s="6" t="s">
        <v>652</v>
      </c>
    </row>
    <row r="174" customFormat="false" ht="23.85" hidden="false" customHeight="false" outlineLevel="0" collapsed="false">
      <c r="A174" s="6" t="s">
        <v>4903</v>
      </c>
      <c r="B174" s="6" t="s">
        <v>652</v>
      </c>
      <c r="C174" s="6" t="s">
        <v>4870</v>
      </c>
      <c r="D174" s="6" t="s">
        <v>3530</v>
      </c>
      <c r="E174" s="6" t="s">
        <v>3530</v>
      </c>
      <c r="F174" s="6" t="s">
        <v>3531</v>
      </c>
      <c r="G174" s="6" t="s">
        <v>1583</v>
      </c>
      <c r="H174" s="6" t="s">
        <v>1445</v>
      </c>
      <c r="I174" s="6" t="s">
        <v>4715</v>
      </c>
      <c r="J174" s="6" t="s">
        <v>461</v>
      </c>
      <c r="K174" s="6" t="s">
        <v>4675</v>
      </c>
      <c r="L174" s="2" t="s">
        <v>5536</v>
      </c>
      <c r="M174" s="2"/>
      <c r="N174" s="9" t="s">
        <v>3535</v>
      </c>
      <c r="O174" s="6" t="s">
        <v>461</v>
      </c>
      <c r="P174" s="6" t="s">
        <v>85</v>
      </c>
      <c r="Q174" s="6" t="s">
        <v>4905</v>
      </c>
      <c r="R174" s="6" t="s">
        <v>652</v>
      </c>
    </row>
    <row r="175" customFormat="false" ht="15" hidden="false" customHeight="false" outlineLevel="0" collapsed="false">
      <c r="A175" s="6" t="s">
        <v>4903</v>
      </c>
      <c r="B175" s="6" t="s">
        <v>652</v>
      </c>
      <c r="C175" s="6" t="s">
        <v>4870</v>
      </c>
      <c r="D175" s="6" t="s">
        <v>4240</v>
      </c>
      <c r="E175" s="6" t="s">
        <v>4240</v>
      </c>
      <c r="F175" s="6" t="s">
        <v>4241</v>
      </c>
      <c r="G175" s="6" t="s">
        <v>1215</v>
      </c>
      <c r="H175" s="6" t="s">
        <v>1445</v>
      </c>
      <c r="I175" s="6" t="s">
        <v>4676</v>
      </c>
      <c r="J175" s="6" t="s">
        <v>2856</v>
      </c>
      <c r="K175" s="6" t="s">
        <v>4679</v>
      </c>
      <c r="L175" s="2" t="s">
        <v>5537</v>
      </c>
      <c r="M175" s="2"/>
      <c r="N175" s="9" t="s">
        <v>4245</v>
      </c>
      <c r="O175" s="6" t="s">
        <v>2856</v>
      </c>
      <c r="P175" s="6" t="s">
        <v>106</v>
      </c>
      <c r="Q175" s="6" t="s">
        <v>4905</v>
      </c>
      <c r="R175" s="6" t="s">
        <v>652</v>
      </c>
    </row>
    <row r="176" customFormat="false" ht="23.85" hidden="false" customHeight="false" outlineLevel="0" collapsed="false">
      <c r="A176" s="6" t="s">
        <v>4903</v>
      </c>
      <c r="B176" s="6" t="s">
        <v>652</v>
      </c>
      <c r="C176" s="6" t="s">
        <v>4870</v>
      </c>
      <c r="D176" s="6" t="s">
        <v>4640</v>
      </c>
      <c r="E176" s="6" t="s">
        <v>4640</v>
      </c>
      <c r="F176" s="6" t="s">
        <v>4640</v>
      </c>
      <c r="G176" s="6" t="s">
        <v>2284</v>
      </c>
      <c r="H176" s="6" t="s">
        <v>1445</v>
      </c>
      <c r="I176" s="6" t="s">
        <v>4676</v>
      </c>
      <c r="J176" s="6" t="s">
        <v>5365</v>
      </c>
      <c r="K176" s="6" t="s">
        <v>4679</v>
      </c>
      <c r="L176" s="2" t="s">
        <v>4642</v>
      </c>
      <c r="M176" s="2"/>
      <c r="N176" s="9" t="s">
        <v>4643</v>
      </c>
      <c r="O176" s="6" t="s">
        <v>383</v>
      </c>
      <c r="P176" s="6" t="s">
        <v>106</v>
      </c>
      <c r="Q176" s="6" t="s">
        <v>4905</v>
      </c>
      <c r="R176" s="6" t="s">
        <v>652</v>
      </c>
    </row>
    <row r="177" customFormat="false" ht="23.85" hidden="false" customHeight="false" outlineLevel="0" collapsed="false">
      <c r="A177" s="6" t="s">
        <v>4906</v>
      </c>
      <c r="B177" s="6" t="s">
        <v>652</v>
      </c>
      <c r="C177" s="6" t="s">
        <v>4848</v>
      </c>
      <c r="D177" s="6" t="s">
        <v>3507</v>
      </c>
      <c r="E177" s="6" t="s">
        <v>3507</v>
      </c>
      <c r="F177" s="6" t="s">
        <v>3507</v>
      </c>
      <c r="G177" s="6" t="s">
        <v>1598</v>
      </c>
      <c r="H177" s="6" t="s">
        <v>1445</v>
      </c>
      <c r="I177" s="6" t="s">
        <v>4684</v>
      </c>
      <c r="J177" s="6" t="s">
        <v>5538</v>
      </c>
      <c r="K177" s="6" t="s">
        <v>4679</v>
      </c>
      <c r="L177" s="2" t="s">
        <v>5539</v>
      </c>
      <c r="M177" s="2" t="s">
        <v>5540</v>
      </c>
      <c r="N177" s="9" t="s">
        <v>5541</v>
      </c>
      <c r="O177" s="6" t="s">
        <v>5538</v>
      </c>
      <c r="P177" s="6" t="s">
        <v>106</v>
      </c>
      <c r="Q177" s="6" t="s">
        <v>4906</v>
      </c>
      <c r="R177" s="6" t="s">
        <v>652</v>
      </c>
    </row>
    <row r="178" customFormat="false" ht="23.85" hidden="false" customHeight="false" outlineLevel="0" collapsed="false">
      <c r="A178" s="6" t="s">
        <v>4906</v>
      </c>
      <c r="B178" s="6" t="s">
        <v>652</v>
      </c>
      <c r="C178" s="6" t="s">
        <v>4848</v>
      </c>
      <c r="D178" s="6" t="s">
        <v>4519</v>
      </c>
      <c r="E178" s="6" t="s">
        <v>4519</v>
      </c>
      <c r="F178" s="6" t="s">
        <v>4520</v>
      </c>
      <c r="G178" s="6" t="s">
        <v>1598</v>
      </c>
      <c r="H178" s="6" t="s">
        <v>1445</v>
      </c>
      <c r="I178" s="6" t="s">
        <v>4684</v>
      </c>
      <c r="J178" s="6" t="s">
        <v>5365</v>
      </c>
      <c r="K178" s="6" t="s">
        <v>4679</v>
      </c>
      <c r="L178" s="2" t="s">
        <v>4522</v>
      </c>
      <c r="M178" s="2"/>
      <c r="N178" s="9" t="s">
        <v>4524</v>
      </c>
      <c r="O178" s="6" t="s">
        <v>4523</v>
      </c>
      <c r="P178" s="6" t="s">
        <v>106</v>
      </c>
      <c r="Q178" s="6" t="s">
        <v>4906</v>
      </c>
      <c r="R178" s="6" t="s">
        <v>652</v>
      </c>
    </row>
    <row r="179" customFormat="false" ht="23.85" hidden="false" customHeight="false" outlineLevel="0" collapsed="false">
      <c r="A179" s="6" t="s">
        <v>4895</v>
      </c>
      <c r="B179" s="6" t="s">
        <v>652</v>
      </c>
      <c r="C179" s="6" t="s">
        <v>4870</v>
      </c>
      <c r="D179" s="6" t="s">
        <v>649</v>
      </c>
      <c r="E179" s="6" t="s">
        <v>649</v>
      </c>
      <c r="F179" s="6" t="s">
        <v>650</v>
      </c>
      <c r="G179" s="6" t="s">
        <v>164</v>
      </c>
      <c r="H179" s="6" t="s">
        <v>287</v>
      </c>
      <c r="I179" s="6" t="s">
        <v>4676</v>
      </c>
      <c r="J179" s="6" t="s">
        <v>5365</v>
      </c>
      <c r="K179" s="6" t="s">
        <v>4679</v>
      </c>
      <c r="L179" s="2" t="s">
        <v>654</v>
      </c>
      <c r="M179" s="2" t="s">
        <v>653</v>
      </c>
      <c r="N179" s="9" t="s">
        <v>656</v>
      </c>
      <c r="O179" s="6" t="s">
        <v>655</v>
      </c>
      <c r="P179" s="6" t="s">
        <v>106</v>
      </c>
      <c r="Q179" s="6" t="s">
        <v>4898</v>
      </c>
      <c r="R179" s="6" t="s">
        <v>652</v>
      </c>
    </row>
    <row r="180" customFormat="false" ht="23.85" hidden="false" customHeight="false" outlineLevel="0" collapsed="false">
      <c r="A180" s="6" t="s">
        <v>4895</v>
      </c>
      <c r="B180" s="6" t="s">
        <v>652</v>
      </c>
      <c r="C180" s="6" t="s">
        <v>4870</v>
      </c>
      <c r="D180" s="6" t="s">
        <v>2742</v>
      </c>
      <c r="E180" s="6" t="s">
        <v>5542</v>
      </c>
      <c r="F180" s="6" t="s">
        <v>2742</v>
      </c>
      <c r="G180" s="6" t="s">
        <v>2284</v>
      </c>
      <c r="H180" s="6" t="s">
        <v>287</v>
      </c>
      <c r="I180" s="6" t="s">
        <v>4676</v>
      </c>
      <c r="J180" s="6" t="s">
        <v>2856</v>
      </c>
      <c r="K180" s="6" t="s">
        <v>4679</v>
      </c>
      <c r="L180" s="2" t="s">
        <v>5543</v>
      </c>
      <c r="M180" s="2" t="s">
        <v>5544</v>
      </c>
      <c r="N180" s="9" t="s">
        <v>2748</v>
      </c>
      <c r="O180" s="6" t="s">
        <v>511</v>
      </c>
      <c r="P180" s="6" t="s">
        <v>106</v>
      </c>
      <c r="Q180" s="6" t="s">
        <v>4898</v>
      </c>
      <c r="R180" s="6" t="s">
        <v>652</v>
      </c>
    </row>
    <row r="181" customFormat="false" ht="23.85" hidden="false" customHeight="false" outlineLevel="0" collapsed="false">
      <c r="A181" s="6" t="s">
        <v>4895</v>
      </c>
      <c r="B181" s="6" t="s">
        <v>652</v>
      </c>
      <c r="C181" s="6" t="s">
        <v>4870</v>
      </c>
      <c r="D181" s="6" t="s">
        <v>2838</v>
      </c>
      <c r="E181" s="6" t="s">
        <v>2838</v>
      </c>
      <c r="F181" s="6" t="s">
        <v>2838</v>
      </c>
      <c r="G181" s="6" t="s">
        <v>507</v>
      </c>
      <c r="H181" s="6" t="s">
        <v>287</v>
      </c>
      <c r="I181" s="6" t="s">
        <v>4676</v>
      </c>
      <c r="J181" s="6" t="s">
        <v>2841</v>
      </c>
      <c r="K181" s="6" t="s">
        <v>4679</v>
      </c>
      <c r="L181" s="2" t="s">
        <v>2840</v>
      </c>
      <c r="M181" s="2"/>
      <c r="N181" s="9" t="s">
        <v>2842</v>
      </c>
      <c r="O181" s="6" t="s">
        <v>2841</v>
      </c>
      <c r="P181" s="6" t="s">
        <v>106</v>
      </c>
      <c r="Q181" s="6" t="s">
        <v>4898</v>
      </c>
      <c r="R181" s="6" t="s">
        <v>652</v>
      </c>
    </row>
    <row r="182" customFormat="false" ht="23.85" hidden="false" customHeight="false" outlineLevel="0" collapsed="false">
      <c r="A182" s="6" t="s">
        <v>4895</v>
      </c>
      <c r="B182" s="6" t="s">
        <v>652</v>
      </c>
      <c r="C182" s="6" t="s">
        <v>4870</v>
      </c>
      <c r="D182" s="6" t="s">
        <v>1721</v>
      </c>
      <c r="E182" s="6" t="s">
        <v>1721</v>
      </c>
      <c r="F182" s="6" t="s">
        <v>1722</v>
      </c>
      <c r="G182" s="6" t="s">
        <v>1127</v>
      </c>
      <c r="H182" s="6" t="s">
        <v>287</v>
      </c>
      <c r="I182" s="6" t="s">
        <v>4706</v>
      </c>
      <c r="J182" s="6" t="s">
        <v>1401</v>
      </c>
      <c r="K182" s="6" t="s">
        <v>4679</v>
      </c>
      <c r="L182" s="2" t="s">
        <v>1725</v>
      </c>
      <c r="M182" s="2" t="s">
        <v>1724</v>
      </c>
      <c r="N182" s="9" t="s">
        <v>1726</v>
      </c>
      <c r="O182" s="6" t="s">
        <v>1401</v>
      </c>
      <c r="P182" s="6" t="s">
        <v>85</v>
      </c>
      <c r="Q182" s="6" t="s">
        <v>4898</v>
      </c>
      <c r="R182" s="6" t="s">
        <v>652</v>
      </c>
    </row>
    <row r="183" customFormat="false" ht="23.85" hidden="false" customHeight="false" outlineLevel="0" collapsed="false">
      <c r="A183" s="6" t="s">
        <v>4895</v>
      </c>
      <c r="B183" s="6" t="s">
        <v>652</v>
      </c>
      <c r="C183" s="6" t="s">
        <v>4870</v>
      </c>
      <c r="D183" s="6" t="s">
        <v>2507</v>
      </c>
      <c r="E183" s="6" t="s">
        <v>2507</v>
      </c>
      <c r="F183" s="6" t="s">
        <v>2508</v>
      </c>
      <c r="G183" s="6" t="s">
        <v>153</v>
      </c>
      <c r="H183" s="6" t="s">
        <v>287</v>
      </c>
      <c r="I183" s="6" t="s">
        <v>4676</v>
      </c>
      <c r="J183" s="6" t="s">
        <v>1561</v>
      </c>
      <c r="K183" s="6" t="s">
        <v>4679</v>
      </c>
      <c r="L183" s="2" t="s">
        <v>2510</v>
      </c>
      <c r="M183" s="2"/>
      <c r="N183" s="9" t="s">
        <v>2511</v>
      </c>
      <c r="O183" s="6" t="s">
        <v>1561</v>
      </c>
      <c r="P183" s="6" t="s">
        <v>106</v>
      </c>
      <c r="Q183" s="6" t="s">
        <v>4898</v>
      </c>
      <c r="R183" s="6" t="s">
        <v>652</v>
      </c>
    </row>
    <row r="184" customFormat="false" ht="15" hidden="false" customHeight="false" outlineLevel="0" collapsed="false">
      <c r="A184" s="6" t="s">
        <v>4895</v>
      </c>
      <c r="B184" s="6" t="s">
        <v>652</v>
      </c>
      <c r="C184" s="6" t="s">
        <v>4870</v>
      </c>
      <c r="D184" s="6" t="s">
        <v>3514</v>
      </c>
      <c r="E184" s="6" t="s">
        <v>3514</v>
      </c>
      <c r="F184" s="6" t="s">
        <v>3515</v>
      </c>
      <c r="G184" s="6" t="s">
        <v>1583</v>
      </c>
      <c r="H184" s="6" t="s">
        <v>1445</v>
      </c>
      <c r="I184" s="6" t="s">
        <v>4676</v>
      </c>
      <c r="J184" s="6" t="s">
        <v>5365</v>
      </c>
      <c r="K184" s="6" t="s">
        <v>4679</v>
      </c>
      <c r="L184" s="2" t="s">
        <v>5545</v>
      </c>
      <c r="M184" s="2"/>
      <c r="N184" s="9" t="s">
        <v>3520</v>
      </c>
      <c r="O184" s="6" t="s">
        <v>2856</v>
      </c>
      <c r="P184" s="6" t="s">
        <v>106</v>
      </c>
      <c r="Q184" s="6" t="s">
        <v>4898</v>
      </c>
      <c r="R184" s="6" t="s">
        <v>652</v>
      </c>
    </row>
    <row r="185" customFormat="false" ht="23.85" hidden="false" customHeight="false" outlineLevel="0" collapsed="false">
      <c r="A185" s="6" t="s">
        <v>4895</v>
      </c>
      <c r="B185" s="6" t="s">
        <v>652</v>
      </c>
      <c r="C185" s="6" t="s">
        <v>4870</v>
      </c>
      <c r="D185" s="6" t="s">
        <v>2742</v>
      </c>
      <c r="E185" s="6" t="s">
        <v>5546</v>
      </c>
      <c r="F185" s="6" t="s">
        <v>2742</v>
      </c>
      <c r="G185" s="6" t="s">
        <v>2284</v>
      </c>
      <c r="H185" s="6" t="s">
        <v>1445</v>
      </c>
      <c r="I185" s="6" t="s">
        <v>4706</v>
      </c>
      <c r="J185" s="6" t="s">
        <v>5366</v>
      </c>
      <c r="K185" s="6" t="s">
        <v>4726</v>
      </c>
      <c r="L185" s="2" t="s">
        <v>5547</v>
      </c>
      <c r="M185" s="2" t="s">
        <v>5548</v>
      </c>
      <c r="N185" s="9" t="s">
        <v>5549</v>
      </c>
      <c r="O185" s="6" t="s">
        <v>123</v>
      </c>
      <c r="P185" s="6" t="s">
        <v>106</v>
      </c>
      <c r="Q185" s="6" t="s">
        <v>4898</v>
      </c>
      <c r="R185" s="6" t="s">
        <v>652</v>
      </c>
    </row>
    <row r="186" customFormat="false" ht="23.85" hidden="false" customHeight="false" outlineLevel="0" collapsed="false">
      <c r="A186" s="6" t="s">
        <v>4895</v>
      </c>
      <c r="B186" s="6" t="s">
        <v>652</v>
      </c>
      <c r="C186" s="6" t="s">
        <v>4870</v>
      </c>
      <c r="D186" s="6" t="s">
        <v>3735</v>
      </c>
      <c r="E186" s="6" t="s">
        <v>3735</v>
      </c>
      <c r="F186" s="6" t="s">
        <v>3736</v>
      </c>
      <c r="G186" s="6" t="s">
        <v>153</v>
      </c>
      <c r="H186" s="6" t="s">
        <v>1445</v>
      </c>
      <c r="I186" s="6" t="s">
        <v>4676</v>
      </c>
      <c r="J186" s="6" t="s">
        <v>3738</v>
      </c>
      <c r="K186" s="6" t="s">
        <v>4679</v>
      </c>
      <c r="L186" s="2" t="s">
        <v>3737</v>
      </c>
      <c r="M186" s="2"/>
      <c r="N186" s="9" t="s">
        <v>3739</v>
      </c>
      <c r="O186" s="6" t="s">
        <v>3738</v>
      </c>
      <c r="P186" s="6" t="s">
        <v>106</v>
      </c>
      <c r="Q186" s="6" t="s">
        <v>4898</v>
      </c>
      <c r="R186" s="6" t="s">
        <v>652</v>
      </c>
    </row>
    <row r="187" customFormat="false" ht="23.85" hidden="false" customHeight="false" outlineLevel="0" collapsed="false">
      <c r="A187" s="6" t="s">
        <v>4895</v>
      </c>
      <c r="B187" s="6" t="s">
        <v>652</v>
      </c>
      <c r="C187" s="6" t="s">
        <v>4870</v>
      </c>
      <c r="D187" s="6" t="s">
        <v>3750</v>
      </c>
      <c r="E187" s="6" t="s">
        <v>3750</v>
      </c>
      <c r="F187" s="6" t="s">
        <v>3751</v>
      </c>
      <c r="G187" s="6" t="s">
        <v>153</v>
      </c>
      <c r="H187" s="6" t="s">
        <v>1445</v>
      </c>
      <c r="I187" s="6" t="s">
        <v>4732</v>
      </c>
      <c r="J187" s="6" t="s">
        <v>5365</v>
      </c>
      <c r="K187" s="6" t="s">
        <v>4790</v>
      </c>
      <c r="L187" s="2" t="s">
        <v>5550</v>
      </c>
      <c r="M187" s="2"/>
      <c r="N187" s="9" t="s">
        <v>3754</v>
      </c>
      <c r="O187" s="6" t="s">
        <v>143</v>
      </c>
      <c r="P187" s="6" t="s">
        <v>106</v>
      </c>
      <c r="Q187" s="6" t="s">
        <v>4898</v>
      </c>
      <c r="R187" s="6" t="s">
        <v>652</v>
      </c>
    </row>
    <row r="188" customFormat="false" ht="46.25" hidden="false" customHeight="false" outlineLevel="0" collapsed="false">
      <c r="A188" s="6" t="s">
        <v>4770</v>
      </c>
      <c r="B188" s="6" t="s">
        <v>652</v>
      </c>
      <c r="C188" s="6" t="s">
        <v>4697</v>
      </c>
      <c r="D188" s="6" t="s">
        <v>4655</v>
      </c>
      <c r="E188" s="6" t="s">
        <v>4655</v>
      </c>
      <c r="F188" s="6" t="s">
        <v>4660</v>
      </c>
      <c r="G188" s="6" t="s">
        <v>182</v>
      </c>
      <c r="H188" s="6" t="s">
        <v>287</v>
      </c>
      <c r="I188" s="6" t="s">
        <v>4697</v>
      </c>
      <c r="J188" s="6" t="s">
        <v>97</v>
      </c>
      <c r="K188" s="6" t="s">
        <v>4675</v>
      </c>
      <c r="L188" s="2" t="s">
        <v>4664</v>
      </c>
      <c r="M188" s="2" t="s">
        <v>4769</v>
      </c>
      <c r="N188" s="9" t="s">
        <v>4665</v>
      </c>
      <c r="O188" s="6" t="s">
        <v>178</v>
      </c>
      <c r="P188" s="6" t="s">
        <v>85</v>
      </c>
      <c r="Q188" s="6" t="s">
        <v>4770</v>
      </c>
      <c r="R188" s="6" t="s">
        <v>5433</v>
      </c>
    </row>
    <row r="189" customFormat="false" ht="15" hidden="false" customHeight="false" outlineLevel="0" collapsed="false">
      <c r="A189" s="6" t="s">
        <v>4770</v>
      </c>
      <c r="B189" s="6" t="s">
        <v>652</v>
      </c>
      <c r="C189" s="6" t="s">
        <v>4697</v>
      </c>
      <c r="D189" s="6" t="s">
        <v>2999</v>
      </c>
      <c r="E189" s="6" t="s">
        <v>2999</v>
      </c>
      <c r="F189" s="6" t="s">
        <v>5471</v>
      </c>
      <c r="G189" s="6" t="s">
        <v>3000</v>
      </c>
      <c r="H189" s="6" t="s">
        <v>1445</v>
      </c>
      <c r="I189" s="6" t="s">
        <v>4697</v>
      </c>
      <c r="J189" s="6" t="s">
        <v>123</v>
      </c>
      <c r="K189" s="6" t="s">
        <v>4675</v>
      </c>
      <c r="L189" s="2" t="s">
        <v>4824</v>
      </c>
      <c r="M189" s="2" t="s">
        <v>4823</v>
      </c>
      <c r="N189" s="9" t="s">
        <v>3007</v>
      </c>
      <c r="O189" s="6" t="s">
        <v>123</v>
      </c>
      <c r="P189" s="6" t="s">
        <v>85</v>
      </c>
      <c r="Q189" s="6" t="s">
        <v>4908</v>
      </c>
      <c r="R189" s="6" t="s">
        <v>5433</v>
      </c>
    </row>
    <row r="190" customFormat="false" ht="35.05" hidden="false" customHeight="false" outlineLevel="0" collapsed="false">
      <c r="A190" s="6" t="s">
        <v>4891</v>
      </c>
      <c r="B190" s="6" t="s">
        <v>652</v>
      </c>
      <c r="C190" s="6" t="s">
        <v>4848</v>
      </c>
      <c r="D190" s="6" t="s">
        <v>1479</v>
      </c>
      <c r="E190" s="6" t="s">
        <v>5551</v>
      </c>
      <c r="F190" s="6" t="s">
        <v>1480</v>
      </c>
      <c r="G190" s="6" t="s">
        <v>153</v>
      </c>
      <c r="H190" s="6" t="s">
        <v>77</v>
      </c>
      <c r="I190" s="6" t="s">
        <v>4684</v>
      </c>
      <c r="J190" s="6" t="s">
        <v>5365</v>
      </c>
      <c r="K190" s="6" t="s">
        <v>4726</v>
      </c>
      <c r="L190" s="2" t="s">
        <v>5552</v>
      </c>
      <c r="M190" s="2" t="s">
        <v>5553</v>
      </c>
      <c r="N190" s="9" t="s">
        <v>5554</v>
      </c>
      <c r="O190" s="6" t="s">
        <v>281</v>
      </c>
      <c r="P190" s="6" t="s">
        <v>85</v>
      </c>
      <c r="Q190" s="6" t="s">
        <v>4891</v>
      </c>
      <c r="R190" s="6" t="s">
        <v>652</v>
      </c>
    </row>
    <row r="191" customFormat="false" ht="23.85" hidden="false" customHeight="false" outlineLevel="0" collapsed="false">
      <c r="A191" s="6" t="s">
        <v>4891</v>
      </c>
      <c r="B191" s="6" t="s">
        <v>652</v>
      </c>
      <c r="C191" s="6" t="s">
        <v>4848</v>
      </c>
      <c r="D191" s="6" t="s">
        <v>1479</v>
      </c>
      <c r="E191" s="6" t="s">
        <v>5555</v>
      </c>
      <c r="F191" s="6" t="s">
        <v>1480</v>
      </c>
      <c r="G191" s="6" t="s">
        <v>153</v>
      </c>
      <c r="H191" s="6" t="s">
        <v>77</v>
      </c>
      <c r="I191" s="6" t="s">
        <v>4680</v>
      </c>
      <c r="J191" s="6" t="s">
        <v>1198</v>
      </c>
      <c r="K191" s="6" t="s">
        <v>4679</v>
      </c>
      <c r="L191" s="2" t="s">
        <v>5556</v>
      </c>
      <c r="M191" s="2" t="s">
        <v>5557</v>
      </c>
      <c r="N191" s="9" t="s">
        <v>1487</v>
      </c>
      <c r="O191" s="6" t="s">
        <v>1198</v>
      </c>
      <c r="P191" s="6" t="s">
        <v>106</v>
      </c>
      <c r="Q191" s="6" t="s">
        <v>4891</v>
      </c>
      <c r="R191" s="6" t="s">
        <v>652</v>
      </c>
    </row>
    <row r="192" customFormat="false" ht="23.85" hidden="false" customHeight="false" outlineLevel="0" collapsed="false">
      <c r="A192" s="6" t="s">
        <v>4891</v>
      </c>
      <c r="B192" s="6" t="s">
        <v>652</v>
      </c>
      <c r="C192" s="6" t="s">
        <v>4848</v>
      </c>
      <c r="D192" s="6" t="s">
        <v>1945</v>
      </c>
      <c r="E192" s="6" t="s">
        <v>1945</v>
      </c>
      <c r="F192" s="6" t="s">
        <v>1945</v>
      </c>
      <c r="G192" s="6" t="s">
        <v>239</v>
      </c>
      <c r="H192" s="6" t="s">
        <v>287</v>
      </c>
      <c r="I192" s="6" t="s">
        <v>4680</v>
      </c>
      <c r="J192" s="6" t="s">
        <v>448</v>
      </c>
      <c r="K192" s="6" t="s">
        <v>4790</v>
      </c>
      <c r="L192" s="2" t="s">
        <v>5558</v>
      </c>
      <c r="M192" s="2"/>
      <c r="N192" s="9" t="s">
        <v>1949</v>
      </c>
      <c r="O192" s="6" t="s">
        <v>448</v>
      </c>
      <c r="P192" s="6" t="s">
        <v>85</v>
      </c>
      <c r="Q192" s="6" t="s">
        <v>4891</v>
      </c>
      <c r="R192" s="6" t="s">
        <v>652</v>
      </c>
    </row>
    <row r="193" customFormat="false" ht="23.85" hidden="false" customHeight="false" outlineLevel="0" collapsed="false">
      <c r="A193" s="6" t="s">
        <v>4891</v>
      </c>
      <c r="B193" s="6" t="s">
        <v>652</v>
      </c>
      <c r="C193" s="6" t="s">
        <v>4848</v>
      </c>
      <c r="D193" s="6" t="s">
        <v>2832</v>
      </c>
      <c r="E193" s="6" t="s">
        <v>2832</v>
      </c>
      <c r="F193" s="6" t="s">
        <v>2833</v>
      </c>
      <c r="G193" s="6" t="s">
        <v>1127</v>
      </c>
      <c r="H193" s="6" t="s">
        <v>287</v>
      </c>
      <c r="I193" s="6" t="s">
        <v>4680</v>
      </c>
      <c r="J193" s="6" t="s">
        <v>2022</v>
      </c>
      <c r="K193" s="6" t="s">
        <v>4679</v>
      </c>
      <c r="L193" s="2" t="s">
        <v>2836</v>
      </c>
      <c r="M193" s="2" t="s">
        <v>5559</v>
      </c>
      <c r="N193" s="9" t="s">
        <v>2837</v>
      </c>
      <c r="O193" s="6" t="s">
        <v>2022</v>
      </c>
      <c r="P193" s="6" t="s">
        <v>106</v>
      </c>
      <c r="Q193" s="6" t="s">
        <v>4891</v>
      </c>
      <c r="R193" s="6" t="s">
        <v>652</v>
      </c>
    </row>
    <row r="194" customFormat="false" ht="23.85" hidden="false" customHeight="false" outlineLevel="0" collapsed="false">
      <c r="A194" s="6" t="s">
        <v>4891</v>
      </c>
      <c r="B194" s="6" t="s">
        <v>652</v>
      </c>
      <c r="C194" s="6" t="s">
        <v>4848</v>
      </c>
      <c r="D194" s="6" t="s">
        <v>3288</v>
      </c>
      <c r="E194" s="6" t="s">
        <v>3288</v>
      </c>
      <c r="F194" s="6" t="s">
        <v>3289</v>
      </c>
      <c r="G194" s="6" t="s">
        <v>1215</v>
      </c>
      <c r="H194" s="6" t="s">
        <v>287</v>
      </c>
      <c r="I194" s="6" t="s">
        <v>4684</v>
      </c>
      <c r="J194" s="6" t="s">
        <v>5560</v>
      </c>
      <c r="K194" s="6" t="s">
        <v>4790</v>
      </c>
      <c r="L194" s="2" t="s">
        <v>3291</v>
      </c>
      <c r="M194" s="2"/>
      <c r="N194" s="9" t="s">
        <v>3292</v>
      </c>
      <c r="O194" s="6" t="s">
        <v>308</v>
      </c>
      <c r="P194" s="6" t="s">
        <v>85</v>
      </c>
      <c r="Q194" s="6" t="s">
        <v>4891</v>
      </c>
      <c r="R194" s="6" t="s">
        <v>652</v>
      </c>
    </row>
    <row r="195" customFormat="false" ht="23.85" hidden="false" customHeight="false" outlineLevel="0" collapsed="false">
      <c r="A195" s="6" t="s">
        <v>4891</v>
      </c>
      <c r="B195" s="6" t="s">
        <v>652</v>
      </c>
      <c r="C195" s="6" t="s">
        <v>4848</v>
      </c>
      <c r="D195" s="6" t="s">
        <v>3368</v>
      </c>
      <c r="E195" s="6" t="s">
        <v>3368</v>
      </c>
      <c r="F195" s="6" t="s">
        <v>3369</v>
      </c>
      <c r="G195" s="6" t="s">
        <v>1215</v>
      </c>
      <c r="H195" s="6" t="s">
        <v>287</v>
      </c>
      <c r="I195" s="6" t="s">
        <v>4684</v>
      </c>
      <c r="J195" s="6" t="s">
        <v>5490</v>
      </c>
      <c r="K195" s="6" t="s">
        <v>4790</v>
      </c>
      <c r="L195" s="2" t="s">
        <v>3372</v>
      </c>
      <c r="M195" s="2" t="s">
        <v>3371</v>
      </c>
      <c r="N195" s="9" t="s">
        <v>3373</v>
      </c>
      <c r="O195" s="6" t="s">
        <v>84</v>
      </c>
      <c r="P195" s="6" t="s">
        <v>106</v>
      </c>
      <c r="Q195" s="6" t="s">
        <v>4891</v>
      </c>
      <c r="R195" s="6" t="s">
        <v>652</v>
      </c>
    </row>
    <row r="196" customFormat="false" ht="15" hidden="false" customHeight="false" outlineLevel="0" collapsed="false">
      <c r="A196" s="6" t="s">
        <v>4891</v>
      </c>
      <c r="B196" s="6" t="s">
        <v>652</v>
      </c>
      <c r="C196" s="6" t="s">
        <v>4848</v>
      </c>
      <c r="D196" s="6" t="s">
        <v>4085</v>
      </c>
      <c r="E196" s="6" t="s">
        <v>4085</v>
      </c>
      <c r="F196" s="6" t="s">
        <v>4086</v>
      </c>
      <c r="G196" s="6" t="s">
        <v>1215</v>
      </c>
      <c r="H196" s="6" t="s">
        <v>1445</v>
      </c>
      <c r="I196" s="6" t="s">
        <v>4684</v>
      </c>
      <c r="J196" s="6" t="s">
        <v>5365</v>
      </c>
      <c r="K196" s="6" t="s">
        <v>4790</v>
      </c>
      <c r="L196" s="2" t="s">
        <v>4087</v>
      </c>
      <c r="M196" s="2"/>
      <c r="N196" s="9" t="s">
        <v>4088</v>
      </c>
      <c r="O196" s="6" t="s">
        <v>281</v>
      </c>
      <c r="P196" s="6" t="s">
        <v>106</v>
      </c>
      <c r="Q196" s="6" t="s">
        <v>4891</v>
      </c>
      <c r="R196" s="6" t="s">
        <v>652</v>
      </c>
    </row>
    <row r="197" customFormat="false" ht="23.85" hidden="false" customHeight="false" outlineLevel="0" collapsed="false">
      <c r="A197" s="6" t="s">
        <v>4891</v>
      </c>
      <c r="B197" s="6" t="s">
        <v>652</v>
      </c>
      <c r="C197" s="6" t="s">
        <v>4848</v>
      </c>
      <c r="D197" s="6" t="s">
        <v>2251</v>
      </c>
      <c r="E197" s="6" t="s">
        <v>2251</v>
      </c>
      <c r="F197" s="6" t="s">
        <v>2252</v>
      </c>
      <c r="G197" s="6" t="s">
        <v>239</v>
      </c>
      <c r="H197" s="6" t="s">
        <v>1445</v>
      </c>
      <c r="I197" s="6" t="s">
        <v>4684</v>
      </c>
      <c r="J197" s="6" t="s">
        <v>5365</v>
      </c>
      <c r="K197" s="6" t="s">
        <v>4790</v>
      </c>
      <c r="L197" s="2" t="s">
        <v>2255</v>
      </c>
      <c r="M197" s="2" t="s">
        <v>2254</v>
      </c>
      <c r="N197" s="9" t="s">
        <v>2256</v>
      </c>
      <c r="O197" s="6" t="s">
        <v>504</v>
      </c>
      <c r="P197" s="6" t="s">
        <v>106</v>
      </c>
      <c r="Q197" s="6" t="s">
        <v>4891</v>
      </c>
      <c r="R197" s="6" t="s">
        <v>652</v>
      </c>
    </row>
    <row r="198" customFormat="false" ht="15" hidden="false" customHeight="false" outlineLevel="0" collapsed="false">
      <c r="A198" s="6" t="s">
        <v>4891</v>
      </c>
      <c r="B198" s="6" t="s">
        <v>652</v>
      </c>
      <c r="C198" s="6" t="s">
        <v>4848</v>
      </c>
      <c r="D198" s="6" t="s">
        <v>4166</v>
      </c>
      <c r="E198" s="6" t="s">
        <v>4166</v>
      </c>
      <c r="F198" s="6" t="s">
        <v>4167</v>
      </c>
      <c r="G198" s="6" t="s">
        <v>1215</v>
      </c>
      <c r="H198" s="6" t="s">
        <v>1445</v>
      </c>
      <c r="I198" s="6" t="s">
        <v>4684</v>
      </c>
      <c r="J198" s="6" t="s">
        <v>5365</v>
      </c>
      <c r="K198" s="6" t="s">
        <v>4679</v>
      </c>
      <c r="L198" s="2" t="s">
        <v>4169</v>
      </c>
      <c r="M198" s="2"/>
      <c r="N198" s="9" t="s">
        <v>4170</v>
      </c>
      <c r="O198" s="6" t="s">
        <v>1455</v>
      </c>
      <c r="P198" s="6" t="s">
        <v>106</v>
      </c>
      <c r="Q198" s="6" t="s">
        <v>4891</v>
      </c>
      <c r="R198" s="6" t="s">
        <v>652</v>
      </c>
    </row>
    <row r="199" customFormat="false" ht="23.85" hidden="false" customHeight="false" outlineLevel="0" collapsed="false">
      <c r="A199" s="6" t="s">
        <v>4891</v>
      </c>
      <c r="B199" s="6" t="s">
        <v>652</v>
      </c>
      <c r="C199" s="6" t="s">
        <v>4848</v>
      </c>
      <c r="D199" s="6" t="s">
        <v>4110</v>
      </c>
      <c r="E199" s="6" t="s">
        <v>4110</v>
      </c>
      <c r="F199" s="6" t="s">
        <v>4185</v>
      </c>
      <c r="G199" s="6" t="s">
        <v>1598</v>
      </c>
      <c r="H199" s="6" t="s">
        <v>1445</v>
      </c>
      <c r="I199" s="6" t="s">
        <v>4680</v>
      </c>
      <c r="J199" s="6" t="s">
        <v>4188</v>
      </c>
      <c r="K199" s="6" t="s">
        <v>4790</v>
      </c>
      <c r="L199" s="2" t="s">
        <v>4187</v>
      </c>
      <c r="M199" s="2"/>
      <c r="N199" s="9" t="s">
        <v>4189</v>
      </c>
      <c r="O199" s="6" t="s">
        <v>4188</v>
      </c>
      <c r="P199" s="6" t="s">
        <v>106</v>
      </c>
      <c r="Q199" s="6" t="s">
        <v>4891</v>
      </c>
      <c r="R199" s="6" t="s">
        <v>652</v>
      </c>
    </row>
    <row r="200" customFormat="false" ht="23.85" hidden="false" customHeight="false" outlineLevel="0" collapsed="false">
      <c r="A200" s="6" t="s">
        <v>4891</v>
      </c>
      <c r="B200" s="6" t="s">
        <v>652</v>
      </c>
      <c r="C200" s="6" t="s">
        <v>4848</v>
      </c>
      <c r="D200" s="6" t="s">
        <v>1824</v>
      </c>
      <c r="E200" s="6" t="s">
        <v>1824</v>
      </c>
      <c r="F200" s="6" t="s">
        <v>1824</v>
      </c>
      <c r="G200" s="6" t="s">
        <v>153</v>
      </c>
      <c r="H200" s="6" t="s">
        <v>1445</v>
      </c>
      <c r="I200" s="6" t="s">
        <v>4684</v>
      </c>
      <c r="J200" s="6" t="s">
        <v>5477</v>
      </c>
      <c r="K200" s="6" t="s">
        <v>4790</v>
      </c>
      <c r="L200" s="2" t="s">
        <v>3676</v>
      </c>
      <c r="M200" s="2"/>
      <c r="N200" s="9" t="s">
        <v>3677</v>
      </c>
      <c r="O200" s="6" t="s">
        <v>123</v>
      </c>
      <c r="P200" s="6" t="s">
        <v>106</v>
      </c>
      <c r="Q200" s="6" t="s">
        <v>4891</v>
      </c>
      <c r="R200" s="6" t="s">
        <v>652</v>
      </c>
    </row>
    <row r="201" customFormat="false" ht="23.85" hidden="false" customHeight="false" outlineLevel="0" collapsed="false">
      <c r="A201" s="6" t="s">
        <v>4891</v>
      </c>
      <c r="B201" s="6" t="s">
        <v>652</v>
      </c>
      <c r="C201" s="6" t="s">
        <v>4848</v>
      </c>
      <c r="D201" s="6" t="s">
        <v>4251</v>
      </c>
      <c r="E201" s="6" t="s">
        <v>4251</v>
      </c>
      <c r="F201" s="6" t="s">
        <v>263</v>
      </c>
      <c r="G201" s="6" t="s">
        <v>3000</v>
      </c>
      <c r="H201" s="6" t="s">
        <v>1445</v>
      </c>
      <c r="I201" s="6" t="s">
        <v>4680</v>
      </c>
      <c r="J201" s="6" t="s">
        <v>5365</v>
      </c>
      <c r="K201" s="6" t="s">
        <v>4726</v>
      </c>
      <c r="L201" s="2" t="s">
        <v>5561</v>
      </c>
      <c r="M201" s="2" t="s">
        <v>5562</v>
      </c>
      <c r="N201" s="9" t="s">
        <v>4256</v>
      </c>
      <c r="O201" s="6" t="s">
        <v>2841</v>
      </c>
      <c r="P201" s="6" t="s">
        <v>106</v>
      </c>
      <c r="Q201" s="6" t="s">
        <v>4891</v>
      </c>
      <c r="R201" s="6" t="s">
        <v>652</v>
      </c>
    </row>
    <row r="202" customFormat="false" ht="23.85" hidden="false" customHeight="false" outlineLevel="0" collapsed="false">
      <c r="A202" s="6" t="s">
        <v>4891</v>
      </c>
      <c r="B202" s="6" t="s">
        <v>652</v>
      </c>
      <c r="C202" s="6" t="s">
        <v>4848</v>
      </c>
      <c r="D202" s="6" t="s">
        <v>3715</v>
      </c>
      <c r="E202" s="6" t="s">
        <v>3715</v>
      </c>
      <c r="F202" s="6" t="s">
        <v>729</v>
      </c>
      <c r="G202" s="6" t="s">
        <v>164</v>
      </c>
      <c r="H202" s="6" t="s">
        <v>1445</v>
      </c>
      <c r="I202" s="6" t="s">
        <v>4684</v>
      </c>
      <c r="J202" s="6" t="s">
        <v>5365</v>
      </c>
      <c r="K202" s="6" t="s">
        <v>4790</v>
      </c>
      <c r="L202" s="2" t="s">
        <v>3718</v>
      </c>
      <c r="M202" s="2" t="s">
        <v>5563</v>
      </c>
      <c r="N202" s="9" t="s">
        <v>3720</v>
      </c>
      <c r="O202" s="6" t="s">
        <v>97</v>
      </c>
      <c r="P202" s="6" t="s">
        <v>106</v>
      </c>
      <c r="Q202" s="6" t="s">
        <v>4891</v>
      </c>
      <c r="R202" s="6" t="s">
        <v>5368</v>
      </c>
    </row>
    <row r="203" customFormat="false" ht="23.85" hidden="false" customHeight="false" outlineLevel="0" collapsed="false">
      <c r="A203" s="6" t="s">
        <v>4891</v>
      </c>
      <c r="B203" s="6" t="s">
        <v>652</v>
      </c>
      <c r="C203" s="6" t="s">
        <v>4848</v>
      </c>
      <c r="D203" s="6" t="s">
        <v>3750</v>
      </c>
      <c r="E203" s="6" t="s">
        <v>3750</v>
      </c>
      <c r="F203" s="6" t="s">
        <v>3751</v>
      </c>
      <c r="G203" s="6" t="s">
        <v>153</v>
      </c>
      <c r="H203" s="6" t="s">
        <v>1445</v>
      </c>
      <c r="I203" s="6" t="s">
        <v>4684</v>
      </c>
      <c r="J203" s="6" t="s">
        <v>5365</v>
      </c>
      <c r="K203" s="6" t="s">
        <v>4790</v>
      </c>
      <c r="L203" s="2" t="s">
        <v>3753</v>
      </c>
      <c r="M203" s="2"/>
      <c r="N203" s="9" t="s">
        <v>3754</v>
      </c>
      <c r="O203" s="6" t="s">
        <v>143</v>
      </c>
      <c r="P203" s="6" t="s">
        <v>106</v>
      </c>
      <c r="Q203" s="6" t="s">
        <v>4891</v>
      </c>
      <c r="R203" s="6" t="s">
        <v>652</v>
      </c>
    </row>
    <row r="204" customFormat="false" ht="23.85" hidden="false" customHeight="false" outlineLevel="0" collapsed="false">
      <c r="A204" s="6" t="s">
        <v>4912</v>
      </c>
      <c r="B204" s="6" t="s">
        <v>652</v>
      </c>
      <c r="C204" s="6" t="s">
        <v>4848</v>
      </c>
      <c r="D204" s="6" t="s">
        <v>3715</v>
      </c>
      <c r="E204" s="6" t="s">
        <v>3715</v>
      </c>
      <c r="F204" s="6" t="s">
        <v>729</v>
      </c>
      <c r="G204" s="6" t="s">
        <v>164</v>
      </c>
      <c r="H204" s="6" t="s">
        <v>1445</v>
      </c>
      <c r="I204" s="6" t="s">
        <v>4684</v>
      </c>
      <c r="J204" s="6" t="s">
        <v>5365</v>
      </c>
      <c r="K204" s="6" t="s">
        <v>4790</v>
      </c>
      <c r="L204" s="2" t="s">
        <v>5564</v>
      </c>
      <c r="M204" s="2" t="s">
        <v>5565</v>
      </c>
      <c r="N204" s="9" t="s">
        <v>3719</v>
      </c>
      <c r="O204" s="6" t="s">
        <v>143</v>
      </c>
      <c r="P204" s="6" t="s">
        <v>106</v>
      </c>
      <c r="Q204" s="6" t="s">
        <v>4913</v>
      </c>
      <c r="R204" s="6" t="s">
        <v>5368</v>
      </c>
    </row>
    <row r="205" customFormat="false" ht="23.85" hidden="false" customHeight="false" outlineLevel="0" collapsed="false">
      <c r="A205" s="6" t="s">
        <v>4752</v>
      </c>
      <c r="B205" s="6" t="s">
        <v>102</v>
      </c>
      <c r="C205" s="6" t="s">
        <v>4870</v>
      </c>
      <c r="D205" s="6" t="s">
        <v>286</v>
      </c>
      <c r="E205" s="6" t="s">
        <v>286</v>
      </c>
      <c r="F205" s="6" t="s">
        <v>288</v>
      </c>
      <c r="G205" s="6" t="s">
        <v>118</v>
      </c>
      <c r="H205" s="6" t="s">
        <v>287</v>
      </c>
      <c r="I205" s="6" t="s">
        <v>4684</v>
      </c>
      <c r="J205" s="6" t="s">
        <v>5365</v>
      </c>
      <c r="K205" s="6" t="s">
        <v>4790</v>
      </c>
      <c r="L205" s="2" t="s">
        <v>293</v>
      </c>
      <c r="M205" s="2" t="s">
        <v>5566</v>
      </c>
      <c r="N205" s="9" t="s">
        <v>294</v>
      </c>
      <c r="O205" s="6" t="s">
        <v>97</v>
      </c>
      <c r="P205" s="6" t="s">
        <v>85</v>
      </c>
      <c r="Q205" s="6" t="s">
        <v>4752</v>
      </c>
      <c r="R205" s="6" t="s">
        <v>5567</v>
      </c>
    </row>
    <row r="206" customFormat="false" ht="23.85" hidden="false" customHeight="false" outlineLevel="0" collapsed="false">
      <c r="A206" s="6" t="s">
        <v>4752</v>
      </c>
      <c r="B206" s="6" t="s">
        <v>102</v>
      </c>
      <c r="C206" s="6" t="s">
        <v>4870</v>
      </c>
      <c r="D206" s="6" t="s">
        <v>771</v>
      </c>
      <c r="E206" s="6" t="s">
        <v>771</v>
      </c>
      <c r="F206" s="6" t="s">
        <v>772</v>
      </c>
      <c r="G206" s="6" t="s">
        <v>90</v>
      </c>
      <c r="H206" s="6" t="s">
        <v>287</v>
      </c>
      <c r="I206" s="6" t="s">
        <v>4684</v>
      </c>
      <c r="J206" s="6" t="s">
        <v>5365</v>
      </c>
      <c r="K206" s="6" t="s">
        <v>4790</v>
      </c>
      <c r="L206" s="2" t="s">
        <v>775</v>
      </c>
      <c r="M206" s="2" t="s">
        <v>5568</v>
      </c>
      <c r="N206" s="9" t="s">
        <v>776</v>
      </c>
      <c r="O206" s="6" t="s">
        <v>308</v>
      </c>
      <c r="P206" s="6" t="s">
        <v>85</v>
      </c>
      <c r="Q206" s="6" t="s">
        <v>4752</v>
      </c>
      <c r="R206" s="6" t="s">
        <v>5567</v>
      </c>
    </row>
    <row r="207" customFormat="false" ht="23.85" hidden="false" customHeight="false" outlineLevel="0" collapsed="false">
      <c r="A207" s="6" t="s">
        <v>4752</v>
      </c>
      <c r="B207" s="6" t="s">
        <v>102</v>
      </c>
      <c r="C207" s="6" t="s">
        <v>4870</v>
      </c>
      <c r="D207" s="6" t="s">
        <v>1927</v>
      </c>
      <c r="E207" s="6" t="s">
        <v>1927</v>
      </c>
      <c r="F207" s="6" t="s">
        <v>263</v>
      </c>
      <c r="G207" s="6" t="s">
        <v>239</v>
      </c>
      <c r="H207" s="6" t="s">
        <v>287</v>
      </c>
      <c r="I207" s="6" t="s">
        <v>4676</v>
      </c>
      <c r="J207" s="6" t="s">
        <v>178</v>
      </c>
      <c r="K207" s="6" t="s">
        <v>4675</v>
      </c>
      <c r="L207" s="2" t="s">
        <v>5569</v>
      </c>
      <c r="M207" s="2" t="s">
        <v>5570</v>
      </c>
      <c r="N207" s="9" t="s">
        <v>1932</v>
      </c>
      <c r="O207" s="6" t="s">
        <v>178</v>
      </c>
      <c r="P207" s="6" t="s">
        <v>85</v>
      </c>
      <c r="Q207" s="6" t="s">
        <v>4752</v>
      </c>
      <c r="R207" s="6" t="s">
        <v>5368</v>
      </c>
    </row>
    <row r="208" customFormat="false" ht="23.85" hidden="false" customHeight="false" outlineLevel="0" collapsed="false">
      <c r="A208" s="6" t="s">
        <v>4752</v>
      </c>
      <c r="B208" s="6" t="s">
        <v>102</v>
      </c>
      <c r="C208" s="6" t="s">
        <v>4870</v>
      </c>
      <c r="D208" s="6" t="s">
        <v>1927</v>
      </c>
      <c r="E208" s="6" t="s">
        <v>1927</v>
      </c>
      <c r="F208" s="6" t="s">
        <v>263</v>
      </c>
      <c r="G208" s="6" t="s">
        <v>239</v>
      </c>
      <c r="H208" s="6" t="s">
        <v>287</v>
      </c>
      <c r="I208" s="6" t="s">
        <v>4684</v>
      </c>
      <c r="J208" s="6" t="s">
        <v>5365</v>
      </c>
      <c r="K208" s="6" t="s">
        <v>4790</v>
      </c>
      <c r="L208" s="2" t="s">
        <v>1931</v>
      </c>
      <c r="M208" s="2" t="s">
        <v>5568</v>
      </c>
      <c r="N208" s="9" t="s">
        <v>5571</v>
      </c>
      <c r="O208" s="6" t="s">
        <v>160</v>
      </c>
      <c r="P208" s="6" t="s">
        <v>85</v>
      </c>
      <c r="Q208" s="6" t="s">
        <v>4752</v>
      </c>
      <c r="R208" s="6" t="s">
        <v>5567</v>
      </c>
    </row>
    <row r="209" customFormat="false" ht="23.85" hidden="false" customHeight="false" outlineLevel="0" collapsed="false">
      <c r="A209" s="6" t="s">
        <v>4752</v>
      </c>
      <c r="B209" s="6" t="s">
        <v>102</v>
      </c>
      <c r="C209" s="6" t="s">
        <v>4870</v>
      </c>
      <c r="D209" s="6" t="s">
        <v>1603</v>
      </c>
      <c r="E209" s="6" t="s">
        <v>1603</v>
      </c>
      <c r="F209" s="6" t="s">
        <v>1604</v>
      </c>
      <c r="G209" s="6" t="s">
        <v>1598</v>
      </c>
      <c r="H209" s="6" t="s">
        <v>287</v>
      </c>
      <c r="I209" s="6" t="s">
        <v>4684</v>
      </c>
      <c r="J209" s="6" t="s">
        <v>324</v>
      </c>
      <c r="K209" s="6" t="s">
        <v>4679</v>
      </c>
      <c r="L209" s="2" t="s">
        <v>1607</v>
      </c>
      <c r="M209" s="2" t="s">
        <v>1606</v>
      </c>
      <c r="N209" s="9" t="s">
        <v>1608</v>
      </c>
      <c r="O209" s="6" t="s">
        <v>324</v>
      </c>
      <c r="P209" s="6" t="s">
        <v>85</v>
      </c>
      <c r="Q209" s="6" t="s">
        <v>5572</v>
      </c>
      <c r="R209" s="6" t="s">
        <v>5567</v>
      </c>
    </row>
    <row r="210" customFormat="false" ht="23.85" hidden="false" customHeight="false" outlineLevel="0" collapsed="false">
      <c r="A210" s="6" t="s">
        <v>4752</v>
      </c>
      <c r="B210" s="6" t="s">
        <v>102</v>
      </c>
      <c r="C210" s="6" t="s">
        <v>4870</v>
      </c>
      <c r="D210" s="6" t="s">
        <v>3299</v>
      </c>
      <c r="E210" s="6" t="s">
        <v>5573</v>
      </c>
      <c r="F210" s="6" t="s">
        <v>3300</v>
      </c>
      <c r="G210" s="6" t="s">
        <v>1215</v>
      </c>
      <c r="H210" s="6" t="s">
        <v>287</v>
      </c>
      <c r="I210" s="6" t="s">
        <v>4706</v>
      </c>
      <c r="J210" s="6" t="s">
        <v>130</v>
      </c>
      <c r="K210" s="6" t="s">
        <v>4675</v>
      </c>
      <c r="L210" s="2" t="s">
        <v>3304</v>
      </c>
      <c r="M210" s="2" t="s">
        <v>4751</v>
      </c>
      <c r="N210" s="9" t="s">
        <v>3305</v>
      </c>
      <c r="O210" s="6" t="s">
        <v>130</v>
      </c>
      <c r="P210" s="6" t="s">
        <v>85</v>
      </c>
      <c r="Q210" s="6" t="s">
        <v>5574</v>
      </c>
      <c r="R210" s="6" t="s">
        <v>5433</v>
      </c>
    </row>
    <row r="211" customFormat="false" ht="15" hidden="false" customHeight="false" outlineLevel="0" collapsed="false">
      <c r="A211" s="6" t="s">
        <v>4752</v>
      </c>
      <c r="B211" s="6" t="s">
        <v>102</v>
      </c>
      <c r="C211" s="6" t="s">
        <v>4870</v>
      </c>
      <c r="D211" s="6" t="s">
        <v>3337</v>
      </c>
      <c r="E211" s="6" t="s">
        <v>3337</v>
      </c>
      <c r="F211" s="6" t="s">
        <v>3337</v>
      </c>
      <c r="G211" s="6" t="s">
        <v>1215</v>
      </c>
      <c r="H211" s="6" t="s">
        <v>287</v>
      </c>
      <c r="I211" s="6" t="s">
        <v>4676</v>
      </c>
      <c r="J211" s="6" t="s">
        <v>1874</v>
      </c>
      <c r="K211" s="6" t="s">
        <v>4679</v>
      </c>
      <c r="L211" s="2" t="s">
        <v>3340</v>
      </c>
      <c r="M211" s="2" t="s">
        <v>3339</v>
      </c>
      <c r="N211" s="9" t="s">
        <v>3341</v>
      </c>
      <c r="O211" s="6" t="s">
        <v>1874</v>
      </c>
      <c r="P211" s="6" t="s">
        <v>106</v>
      </c>
      <c r="Q211" s="6" t="s">
        <v>4752</v>
      </c>
      <c r="R211" s="6" t="s">
        <v>5567</v>
      </c>
    </row>
    <row r="212" customFormat="false" ht="68.65" hidden="false" customHeight="false" outlineLevel="0" collapsed="false">
      <c r="A212" s="6" t="s">
        <v>4752</v>
      </c>
      <c r="B212" s="6" t="s">
        <v>102</v>
      </c>
      <c r="C212" s="6" t="s">
        <v>4870</v>
      </c>
      <c r="D212" s="6" t="s">
        <v>2474</v>
      </c>
      <c r="E212" s="6" t="s">
        <v>2474</v>
      </c>
      <c r="F212" s="6" t="s">
        <v>2475</v>
      </c>
      <c r="G212" s="6" t="s">
        <v>164</v>
      </c>
      <c r="H212" s="6" t="s">
        <v>287</v>
      </c>
      <c r="I212" s="6" t="s">
        <v>4680</v>
      </c>
      <c r="J212" s="6" t="s">
        <v>308</v>
      </c>
      <c r="K212" s="6" t="s">
        <v>4675</v>
      </c>
      <c r="L212" s="2" t="s">
        <v>2479</v>
      </c>
      <c r="M212" s="2" t="s">
        <v>4791</v>
      </c>
      <c r="N212" s="9" t="s">
        <v>2480</v>
      </c>
      <c r="O212" s="6" t="s">
        <v>308</v>
      </c>
      <c r="P212" s="6" t="s">
        <v>85</v>
      </c>
      <c r="Q212" s="6" t="s">
        <v>5574</v>
      </c>
      <c r="R212" s="6" t="s">
        <v>5433</v>
      </c>
    </row>
    <row r="213" customFormat="false" ht="15" hidden="false" customHeight="false" outlineLevel="0" collapsed="false">
      <c r="A213" s="6" t="s">
        <v>4752</v>
      </c>
      <c r="B213" s="6" t="s">
        <v>102</v>
      </c>
      <c r="C213" s="6" t="s">
        <v>4870</v>
      </c>
      <c r="D213" s="6" t="s">
        <v>2380</v>
      </c>
      <c r="E213" s="6" t="s">
        <v>2380</v>
      </c>
      <c r="F213" s="6" t="s">
        <v>2381</v>
      </c>
      <c r="G213" s="6" t="s">
        <v>507</v>
      </c>
      <c r="H213" s="6" t="s">
        <v>287</v>
      </c>
      <c r="I213" s="6" t="s">
        <v>4684</v>
      </c>
      <c r="J213" s="6" t="s">
        <v>440</v>
      </c>
      <c r="K213" s="6" t="s">
        <v>4790</v>
      </c>
      <c r="L213" s="2" t="s">
        <v>2384</v>
      </c>
      <c r="M213" s="2" t="s">
        <v>2383</v>
      </c>
      <c r="N213" s="9" t="s">
        <v>2385</v>
      </c>
      <c r="O213" s="6" t="s">
        <v>440</v>
      </c>
      <c r="P213" s="6" t="s">
        <v>85</v>
      </c>
      <c r="Q213" s="6" t="s">
        <v>5575</v>
      </c>
      <c r="R213" s="6" t="s">
        <v>5377</v>
      </c>
    </row>
    <row r="214" customFormat="false" ht="23.85" hidden="false" customHeight="false" outlineLevel="0" collapsed="false">
      <c r="A214" s="6" t="s">
        <v>4752</v>
      </c>
      <c r="B214" s="6" t="s">
        <v>102</v>
      </c>
      <c r="C214" s="6" t="s">
        <v>4870</v>
      </c>
      <c r="D214" s="6" t="s">
        <v>1632</v>
      </c>
      <c r="E214" s="6" t="s">
        <v>1632</v>
      </c>
      <c r="F214" s="6" t="s">
        <v>1633</v>
      </c>
      <c r="G214" s="6" t="s">
        <v>1598</v>
      </c>
      <c r="H214" s="6" t="s">
        <v>287</v>
      </c>
      <c r="I214" s="6" t="s">
        <v>4684</v>
      </c>
      <c r="J214" s="6" t="s">
        <v>5365</v>
      </c>
      <c r="K214" s="6" t="s">
        <v>4679</v>
      </c>
      <c r="L214" s="2" t="s">
        <v>1635</v>
      </c>
      <c r="M214" s="2" t="s">
        <v>1447</v>
      </c>
      <c r="N214" s="9" t="s">
        <v>1637</v>
      </c>
      <c r="O214" s="6" t="s">
        <v>1636</v>
      </c>
      <c r="P214" s="6" t="s">
        <v>106</v>
      </c>
      <c r="Q214" s="6" t="s">
        <v>5572</v>
      </c>
      <c r="R214" s="6" t="s">
        <v>5567</v>
      </c>
    </row>
    <row r="215" customFormat="false" ht="15" hidden="false" customHeight="false" outlineLevel="0" collapsed="false">
      <c r="A215" s="6" t="s">
        <v>4752</v>
      </c>
      <c r="B215" s="6" t="s">
        <v>102</v>
      </c>
      <c r="C215" s="6" t="s">
        <v>4870</v>
      </c>
      <c r="D215" s="6" t="s">
        <v>3389</v>
      </c>
      <c r="E215" s="6" t="s">
        <v>3389</v>
      </c>
      <c r="F215" s="6" t="s">
        <v>3070</v>
      </c>
      <c r="G215" s="6" t="s">
        <v>1215</v>
      </c>
      <c r="H215" s="6" t="s">
        <v>287</v>
      </c>
      <c r="I215" s="6" t="s">
        <v>4676</v>
      </c>
      <c r="J215" s="6" t="s">
        <v>2856</v>
      </c>
      <c r="K215" s="6" t="s">
        <v>4679</v>
      </c>
      <c r="L215" s="2" t="s">
        <v>3391</v>
      </c>
      <c r="M215" s="2" t="s">
        <v>3339</v>
      </c>
      <c r="N215" s="9" t="s">
        <v>3392</v>
      </c>
      <c r="O215" s="6" t="s">
        <v>2856</v>
      </c>
      <c r="P215" s="6" t="s">
        <v>106</v>
      </c>
      <c r="Q215" s="6" t="s">
        <v>4752</v>
      </c>
      <c r="R215" s="6" t="s">
        <v>5567</v>
      </c>
    </row>
    <row r="216" customFormat="false" ht="15" hidden="false" customHeight="false" outlineLevel="0" collapsed="false">
      <c r="A216" s="6" t="s">
        <v>4752</v>
      </c>
      <c r="B216" s="6" t="s">
        <v>102</v>
      </c>
      <c r="C216" s="6" t="s">
        <v>4870</v>
      </c>
      <c r="D216" s="6" t="s">
        <v>3427</v>
      </c>
      <c r="E216" s="6" t="s">
        <v>3427</v>
      </c>
      <c r="F216" s="6" t="s">
        <v>1765</v>
      </c>
      <c r="G216" s="6" t="s">
        <v>1598</v>
      </c>
      <c r="H216" s="6" t="s">
        <v>287</v>
      </c>
      <c r="I216" s="6" t="s">
        <v>4676</v>
      </c>
      <c r="J216" s="6" t="s">
        <v>178</v>
      </c>
      <c r="K216" s="6" t="s">
        <v>4675</v>
      </c>
      <c r="L216" s="2" t="s">
        <v>4772</v>
      </c>
      <c r="M216" s="2" t="s">
        <v>4771</v>
      </c>
      <c r="N216" s="9" t="s">
        <v>3431</v>
      </c>
      <c r="O216" s="6" t="s">
        <v>178</v>
      </c>
      <c r="P216" s="6" t="s">
        <v>85</v>
      </c>
      <c r="Q216" s="6" t="s">
        <v>5574</v>
      </c>
      <c r="R216" s="6" t="s">
        <v>5433</v>
      </c>
    </row>
    <row r="217" customFormat="false" ht="23.85" hidden="false" customHeight="false" outlineLevel="0" collapsed="false">
      <c r="A217" s="6" t="s">
        <v>4752</v>
      </c>
      <c r="B217" s="6" t="s">
        <v>102</v>
      </c>
      <c r="C217" s="6" t="s">
        <v>4870</v>
      </c>
      <c r="D217" s="6" t="s">
        <v>3427</v>
      </c>
      <c r="E217" s="6" t="s">
        <v>5576</v>
      </c>
      <c r="F217" s="6" t="s">
        <v>2780</v>
      </c>
      <c r="G217" s="6" t="s">
        <v>1598</v>
      </c>
      <c r="H217" s="6" t="s">
        <v>287</v>
      </c>
      <c r="I217" s="6" t="s">
        <v>4684</v>
      </c>
      <c r="J217" s="6" t="s">
        <v>5365</v>
      </c>
      <c r="K217" s="6" t="s">
        <v>4790</v>
      </c>
      <c r="L217" s="2" t="s">
        <v>3430</v>
      </c>
      <c r="M217" s="2" t="s">
        <v>5568</v>
      </c>
      <c r="N217" s="9" t="s">
        <v>3432</v>
      </c>
      <c r="O217" s="6" t="s">
        <v>160</v>
      </c>
      <c r="P217" s="6" t="s">
        <v>85</v>
      </c>
      <c r="Q217" s="6" t="s">
        <v>4752</v>
      </c>
      <c r="R217" s="6" t="s">
        <v>5567</v>
      </c>
    </row>
    <row r="218" customFormat="false" ht="23.85" hidden="false" customHeight="false" outlineLevel="0" collapsed="false">
      <c r="A218" s="6" t="s">
        <v>4752</v>
      </c>
      <c r="B218" s="6" t="s">
        <v>102</v>
      </c>
      <c r="C218" s="6" t="s">
        <v>4870</v>
      </c>
      <c r="D218" s="6" t="s">
        <v>764</v>
      </c>
      <c r="E218" s="6" t="s">
        <v>764</v>
      </c>
      <c r="F218" s="6" t="s">
        <v>765</v>
      </c>
      <c r="G218" s="6" t="s">
        <v>153</v>
      </c>
      <c r="H218" s="6" t="s">
        <v>287</v>
      </c>
      <c r="I218" s="6" t="s">
        <v>4676</v>
      </c>
      <c r="J218" s="6" t="s">
        <v>5365</v>
      </c>
      <c r="K218" s="6" t="s">
        <v>4790</v>
      </c>
      <c r="L218" s="2" t="s">
        <v>5577</v>
      </c>
      <c r="M218" s="2" t="s">
        <v>5578</v>
      </c>
      <c r="N218" s="9" t="s">
        <v>769</v>
      </c>
      <c r="O218" s="6" t="s">
        <v>324</v>
      </c>
      <c r="P218" s="6" t="s">
        <v>85</v>
      </c>
      <c r="Q218" s="6" t="s">
        <v>4752</v>
      </c>
      <c r="R218" s="6" t="s">
        <v>5567</v>
      </c>
    </row>
    <row r="219" customFormat="false" ht="15" hidden="false" customHeight="false" outlineLevel="0" collapsed="false">
      <c r="A219" s="6" t="s">
        <v>4752</v>
      </c>
      <c r="B219" s="6" t="s">
        <v>102</v>
      </c>
      <c r="C219" s="6" t="s">
        <v>4870</v>
      </c>
      <c r="D219" s="6" t="s">
        <v>2779</v>
      </c>
      <c r="E219" s="6" t="s">
        <v>2779</v>
      </c>
      <c r="F219" s="6" t="s">
        <v>2780</v>
      </c>
      <c r="G219" s="6" t="s">
        <v>1598</v>
      </c>
      <c r="H219" s="6" t="s">
        <v>287</v>
      </c>
      <c r="I219" s="6" t="s">
        <v>4684</v>
      </c>
      <c r="J219" s="6" t="s">
        <v>5365</v>
      </c>
      <c r="K219" s="6" t="s">
        <v>4790</v>
      </c>
      <c r="L219" s="2" t="s">
        <v>2783</v>
      </c>
      <c r="M219" s="2" t="s">
        <v>5579</v>
      </c>
      <c r="N219" s="9" t="s">
        <v>2785</v>
      </c>
      <c r="O219" s="6" t="s">
        <v>256</v>
      </c>
      <c r="P219" s="6" t="s">
        <v>85</v>
      </c>
      <c r="Q219" s="6" t="s">
        <v>4752</v>
      </c>
      <c r="R219" s="6" t="s">
        <v>5567</v>
      </c>
    </row>
    <row r="220" customFormat="false" ht="23.85" hidden="false" customHeight="false" outlineLevel="0" collapsed="false">
      <c r="A220" s="6" t="s">
        <v>4752</v>
      </c>
      <c r="B220" s="6" t="s">
        <v>102</v>
      </c>
      <c r="C220" s="6" t="s">
        <v>4870</v>
      </c>
      <c r="D220" s="6" t="s">
        <v>2958</v>
      </c>
      <c r="E220" s="6" t="s">
        <v>5580</v>
      </c>
      <c r="F220" s="6" t="s">
        <v>5581</v>
      </c>
      <c r="G220" s="6" t="s">
        <v>1644</v>
      </c>
      <c r="H220" s="6" t="s">
        <v>1445</v>
      </c>
      <c r="I220" s="6" t="s">
        <v>4680</v>
      </c>
      <c r="J220" s="6" t="s">
        <v>5365</v>
      </c>
      <c r="K220" s="6" t="s">
        <v>4790</v>
      </c>
      <c r="L220" s="2" t="s">
        <v>5582</v>
      </c>
      <c r="M220" s="2" t="s">
        <v>5568</v>
      </c>
      <c r="N220" s="9" t="s">
        <v>5583</v>
      </c>
      <c r="O220" s="6" t="s">
        <v>178</v>
      </c>
      <c r="P220" s="6" t="s">
        <v>106</v>
      </c>
      <c r="Q220" s="6" t="s">
        <v>4752</v>
      </c>
      <c r="R220" s="6" t="s">
        <v>5567</v>
      </c>
    </row>
    <row r="221" customFormat="false" ht="23.85" hidden="false" customHeight="false" outlineLevel="0" collapsed="false">
      <c r="A221" s="6" t="s">
        <v>4752</v>
      </c>
      <c r="B221" s="6" t="s">
        <v>102</v>
      </c>
      <c r="C221" s="6" t="s">
        <v>4870</v>
      </c>
      <c r="D221" s="6" t="s">
        <v>2985</v>
      </c>
      <c r="E221" s="6" t="s">
        <v>2985</v>
      </c>
      <c r="F221" s="6" t="s">
        <v>1604</v>
      </c>
      <c r="G221" s="6" t="s">
        <v>1598</v>
      </c>
      <c r="H221" s="6" t="s">
        <v>1445</v>
      </c>
      <c r="I221" s="6" t="s">
        <v>4684</v>
      </c>
      <c r="J221" s="6" t="s">
        <v>5365</v>
      </c>
      <c r="K221" s="6" t="s">
        <v>4679</v>
      </c>
      <c r="L221" s="2" t="s">
        <v>2986</v>
      </c>
      <c r="M221" s="2" t="s">
        <v>1447</v>
      </c>
      <c r="N221" s="9" t="s">
        <v>2987</v>
      </c>
      <c r="O221" s="6" t="s">
        <v>2856</v>
      </c>
      <c r="P221" s="6" t="s">
        <v>106</v>
      </c>
      <c r="Q221" s="6" t="s">
        <v>5572</v>
      </c>
      <c r="R221" s="6" t="s">
        <v>5567</v>
      </c>
    </row>
    <row r="222" customFormat="false" ht="23.85" hidden="false" customHeight="false" outlineLevel="0" collapsed="false">
      <c r="A222" s="6" t="s">
        <v>4752</v>
      </c>
      <c r="B222" s="6" t="s">
        <v>102</v>
      </c>
      <c r="C222" s="6" t="s">
        <v>4870</v>
      </c>
      <c r="D222" s="6" t="s">
        <v>2999</v>
      </c>
      <c r="E222" s="6" t="s">
        <v>2999</v>
      </c>
      <c r="F222" s="6" t="s">
        <v>3001</v>
      </c>
      <c r="G222" s="6" t="s">
        <v>3000</v>
      </c>
      <c r="H222" s="6" t="s">
        <v>1445</v>
      </c>
      <c r="I222" s="6" t="s">
        <v>4676</v>
      </c>
      <c r="J222" s="6" t="s">
        <v>4188</v>
      </c>
      <c r="K222" s="6" t="s">
        <v>4790</v>
      </c>
      <c r="L222" s="2" t="s">
        <v>5584</v>
      </c>
      <c r="M222" s="2" t="s">
        <v>5585</v>
      </c>
      <c r="N222" s="9" t="s">
        <v>5586</v>
      </c>
      <c r="O222" s="6" t="s">
        <v>160</v>
      </c>
      <c r="P222" s="6" t="s">
        <v>85</v>
      </c>
      <c r="Q222" s="6" t="s">
        <v>4752</v>
      </c>
      <c r="R222" s="6" t="s">
        <v>5567</v>
      </c>
    </row>
    <row r="223" customFormat="false" ht="15" hidden="false" customHeight="false" outlineLevel="0" collapsed="false">
      <c r="A223" s="6" t="s">
        <v>4752</v>
      </c>
      <c r="B223" s="6" t="s">
        <v>102</v>
      </c>
      <c r="C223" s="6" t="s">
        <v>4870</v>
      </c>
      <c r="D223" s="6" t="s">
        <v>3859</v>
      </c>
      <c r="E223" s="6" t="s">
        <v>3859</v>
      </c>
      <c r="F223" s="6" t="s">
        <v>2780</v>
      </c>
      <c r="G223" s="6" t="s">
        <v>1598</v>
      </c>
      <c r="H223" s="6" t="s">
        <v>1445</v>
      </c>
      <c r="I223" s="6" t="s">
        <v>4676</v>
      </c>
      <c r="J223" s="6" t="s">
        <v>2856</v>
      </c>
      <c r="K223" s="6" t="s">
        <v>4679</v>
      </c>
      <c r="L223" s="2" t="s">
        <v>3861</v>
      </c>
      <c r="M223" s="2" t="s">
        <v>3860</v>
      </c>
      <c r="N223" s="9" t="s">
        <v>3862</v>
      </c>
      <c r="O223" s="6" t="s">
        <v>2856</v>
      </c>
      <c r="P223" s="6" t="s">
        <v>106</v>
      </c>
      <c r="Q223" s="6" t="s">
        <v>4752</v>
      </c>
      <c r="R223" s="6" t="s">
        <v>5567</v>
      </c>
    </row>
    <row r="224" customFormat="false" ht="15" hidden="false" customHeight="false" outlineLevel="0" collapsed="false">
      <c r="A224" s="6" t="s">
        <v>4752</v>
      </c>
      <c r="B224" s="6" t="s">
        <v>102</v>
      </c>
      <c r="C224" s="6" t="s">
        <v>4870</v>
      </c>
      <c r="D224" s="6" t="s">
        <v>4416</v>
      </c>
      <c r="E224" s="6" t="s">
        <v>4416</v>
      </c>
      <c r="F224" s="6" t="s">
        <v>4417</v>
      </c>
      <c r="G224" s="6" t="s">
        <v>1215</v>
      </c>
      <c r="H224" s="6" t="s">
        <v>1445</v>
      </c>
      <c r="I224" s="6" t="s">
        <v>4676</v>
      </c>
      <c r="J224" s="6" t="s">
        <v>2686</v>
      </c>
      <c r="K224" s="6" t="s">
        <v>4679</v>
      </c>
      <c r="L224" s="2" t="s">
        <v>4419</v>
      </c>
      <c r="M224" s="2" t="s">
        <v>3339</v>
      </c>
      <c r="N224" s="9" t="s">
        <v>3341</v>
      </c>
      <c r="O224" s="6" t="s">
        <v>2686</v>
      </c>
      <c r="P224" s="6" t="s">
        <v>106</v>
      </c>
      <c r="Q224" s="6" t="s">
        <v>4752</v>
      </c>
      <c r="R224" s="6" t="s">
        <v>5567</v>
      </c>
    </row>
    <row r="225" customFormat="false" ht="23.85" hidden="false" customHeight="false" outlineLevel="0" collapsed="false">
      <c r="A225" s="6" t="s">
        <v>4752</v>
      </c>
      <c r="B225" s="6" t="s">
        <v>102</v>
      </c>
      <c r="C225" s="6" t="s">
        <v>4870</v>
      </c>
      <c r="D225" s="6" t="s">
        <v>3581</v>
      </c>
      <c r="E225" s="6" t="s">
        <v>3581</v>
      </c>
      <c r="F225" s="6" t="s">
        <v>1604</v>
      </c>
      <c r="G225" s="6" t="s">
        <v>1598</v>
      </c>
      <c r="H225" s="6" t="s">
        <v>1445</v>
      </c>
      <c r="I225" s="6" t="s">
        <v>4684</v>
      </c>
      <c r="J225" s="6" t="s">
        <v>5365</v>
      </c>
      <c r="K225" s="6" t="s">
        <v>4679</v>
      </c>
      <c r="L225" s="2" t="s">
        <v>3583</v>
      </c>
      <c r="M225" s="2" t="s">
        <v>3582</v>
      </c>
      <c r="N225" s="9" t="s">
        <v>3584</v>
      </c>
      <c r="O225" s="6" t="s">
        <v>511</v>
      </c>
      <c r="P225" s="6" t="s">
        <v>85</v>
      </c>
      <c r="Q225" s="6" t="s">
        <v>5572</v>
      </c>
      <c r="R225" s="6" t="s">
        <v>5567</v>
      </c>
    </row>
    <row r="226" customFormat="false" ht="35.05" hidden="false" customHeight="false" outlineLevel="0" collapsed="false">
      <c r="A226" s="6" t="s">
        <v>4736</v>
      </c>
      <c r="B226" s="6" t="s">
        <v>102</v>
      </c>
      <c r="C226" s="6" t="s">
        <v>4848</v>
      </c>
      <c r="D226" s="6" t="s">
        <v>187</v>
      </c>
      <c r="E226" s="6" t="s">
        <v>187</v>
      </c>
      <c r="F226" s="6" t="s">
        <v>188</v>
      </c>
      <c r="G226" s="6" t="s">
        <v>153</v>
      </c>
      <c r="H226" s="6" t="s">
        <v>77</v>
      </c>
      <c r="I226" s="6" t="s">
        <v>4684</v>
      </c>
      <c r="J226" s="6" t="s">
        <v>5365</v>
      </c>
      <c r="K226" s="6" t="s">
        <v>4790</v>
      </c>
      <c r="L226" s="2" t="s">
        <v>5587</v>
      </c>
      <c r="M226" s="2" t="s">
        <v>5588</v>
      </c>
      <c r="N226" s="9" t="s">
        <v>5589</v>
      </c>
      <c r="O226" s="6" t="s">
        <v>97</v>
      </c>
      <c r="P226" s="6" t="s">
        <v>106</v>
      </c>
      <c r="Q226" s="6" t="s">
        <v>4933</v>
      </c>
      <c r="R226" s="6" t="s">
        <v>5357</v>
      </c>
    </row>
    <row r="227" customFormat="false" ht="35.05" hidden="false" customHeight="false" outlineLevel="0" collapsed="false">
      <c r="A227" s="6" t="s">
        <v>4736</v>
      </c>
      <c r="B227" s="6" t="s">
        <v>102</v>
      </c>
      <c r="C227" s="6" t="s">
        <v>4848</v>
      </c>
      <c r="D227" s="6" t="s">
        <v>187</v>
      </c>
      <c r="E227" s="6" t="s">
        <v>187</v>
      </c>
      <c r="F227" s="6" t="s">
        <v>5590</v>
      </c>
      <c r="G227" s="6" t="s">
        <v>153</v>
      </c>
      <c r="H227" s="6" t="s">
        <v>77</v>
      </c>
      <c r="I227" s="6" t="s">
        <v>4680</v>
      </c>
      <c r="J227" s="6" t="s">
        <v>5365</v>
      </c>
      <c r="K227" s="6" t="s">
        <v>4790</v>
      </c>
      <c r="L227" s="2" t="s">
        <v>192</v>
      </c>
      <c r="M227" s="2" t="s">
        <v>5591</v>
      </c>
      <c r="N227" s="9" t="s">
        <v>5592</v>
      </c>
      <c r="O227" s="6" t="s">
        <v>97</v>
      </c>
      <c r="P227" s="6" t="s">
        <v>85</v>
      </c>
      <c r="Q227" s="6" t="s">
        <v>4736</v>
      </c>
      <c r="R227" s="6" t="s">
        <v>5567</v>
      </c>
    </row>
    <row r="228" customFormat="false" ht="23.85" hidden="false" customHeight="false" outlineLevel="0" collapsed="false">
      <c r="A228" s="6" t="s">
        <v>4736</v>
      </c>
      <c r="B228" s="6" t="s">
        <v>102</v>
      </c>
      <c r="C228" s="6" t="s">
        <v>4848</v>
      </c>
      <c r="D228" s="6" t="s">
        <v>3259</v>
      </c>
      <c r="E228" s="6" t="s">
        <v>3259</v>
      </c>
      <c r="F228" s="6" t="s">
        <v>3260</v>
      </c>
      <c r="G228" s="6" t="s">
        <v>1598</v>
      </c>
      <c r="H228" s="6" t="s">
        <v>287</v>
      </c>
      <c r="I228" s="6" t="s">
        <v>4680</v>
      </c>
      <c r="J228" s="6" t="s">
        <v>256</v>
      </c>
      <c r="K228" s="6" t="s">
        <v>4675</v>
      </c>
      <c r="L228" s="2" t="s">
        <v>4737</v>
      </c>
      <c r="M228" s="2" t="s">
        <v>4735</v>
      </c>
      <c r="N228" s="9" t="s">
        <v>3264</v>
      </c>
      <c r="O228" s="6" t="s">
        <v>256</v>
      </c>
      <c r="P228" s="6" t="s">
        <v>85</v>
      </c>
      <c r="Q228" s="6" t="s">
        <v>4736</v>
      </c>
      <c r="R228" s="6" t="s">
        <v>5433</v>
      </c>
    </row>
    <row r="229" customFormat="false" ht="35.05" hidden="false" customHeight="false" outlineLevel="0" collapsed="false">
      <c r="A229" s="6" t="s">
        <v>4736</v>
      </c>
      <c r="B229" s="6" t="s">
        <v>102</v>
      </c>
      <c r="C229" s="6" t="s">
        <v>4848</v>
      </c>
      <c r="D229" s="6" t="s">
        <v>657</v>
      </c>
      <c r="E229" s="6" t="s">
        <v>657</v>
      </c>
      <c r="F229" s="6" t="s">
        <v>631</v>
      </c>
      <c r="G229" s="6" t="s">
        <v>164</v>
      </c>
      <c r="H229" s="6" t="s">
        <v>287</v>
      </c>
      <c r="I229" s="6" t="s">
        <v>4684</v>
      </c>
      <c r="J229" s="6" t="s">
        <v>661</v>
      </c>
      <c r="K229" s="6" t="s">
        <v>4679</v>
      </c>
      <c r="L229" s="2" t="s">
        <v>660</v>
      </c>
      <c r="M229" s="2" t="s">
        <v>659</v>
      </c>
      <c r="N229" s="9" t="s">
        <v>662</v>
      </c>
      <c r="O229" s="6" t="s">
        <v>661</v>
      </c>
      <c r="P229" s="6" t="s">
        <v>106</v>
      </c>
      <c r="Q229" s="6" t="s">
        <v>4736</v>
      </c>
      <c r="R229" s="6" t="s">
        <v>5567</v>
      </c>
    </row>
    <row r="230" customFormat="false" ht="23.85" hidden="false" customHeight="false" outlineLevel="0" collapsed="false">
      <c r="A230" s="6" t="s">
        <v>4736</v>
      </c>
      <c r="B230" s="6" t="s">
        <v>102</v>
      </c>
      <c r="C230" s="6" t="s">
        <v>4848</v>
      </c>
      <c r="D230" s="6" t="s">
        <v>668</v>
      </c>
      <c r="E230" s="6" t="s">
        <v>668</v>
      </c>
      <c r="F230" s="6" t="s">
        <v>669</v>
      </c>
      <c r="G230" s="6" t="s">
        <v>182</v>
      </c>
      <c r="H230" s="6" t="s">
        <v>287</v>
      </c>
      <c r="I230" s="6" t="s">
        <v>4684</v>
      </c>
      <c r="J230" s="6" t="s">
        <v>5365</v>
      </c>
      <c r="K230" s="6" t="s">
        <v>4790</v>
      </c>
      <c r="L230" s="2" t="s">
        <v>671</v>
      </c>
      <c r="M230" s="2" t="s">
        <v>670</v>
      </c>
      <c r="N230" s="9" t="s">
        <v>672</v>
      </c>
      <c r="O230" s="6" t="s">
        <v>389</v>
      </c>
      <c r="P230" s="6" t="s">
        <v>106</v>
      </c>
      <c r="Q230" s="6" t="s">
        <v>4736</v>
      </c>
      <c r="R230" s="6" t="s">
        <v>5567</v>
      </c>
    </row>
    <row r="231" customFormat="false" ht="23.85" hidden="false" customHeight="false" outlineLevel="0" collapsed="false">
      <c r="A231" s="6" t="s">
        <v>4736</v>
      </c>
      <c r="B231" s="6" t="s">
        <v>102</v>
      </c>
      <c r="C231" s="6" t="s">
        <v>4848</v>
      </c>
      <c r="D231" s="6" t="s">
        <v>2474</v>
      </c>
      <c r="E231" s="6" t="s">
        <v>2474</v>
      </c>
      <c r="F231" s="6" t="s">
        <v>2475</v>
      </c>
      <c r="G231" s="6" t="s">
        <v>164</v>
      </c>
      <c r="H231" s="6" t="s">
        <v>287</v>
      </c>
      <c r="I231" s="6" t="s">
        <v>4680</v>
      </c>
      <c r="J231" s="6" t="s">
        <v>5593</v>
      </c>
      <c r="K231" s="6" t="s">
        <v>4726</v>
      </c>
      <c r="L231" s="2" t="s">
        <v>5594</v>
      </c>
      <c r="M231" s="2" t="s">
        <v>5595</v>
      </c>
      <c r="N231" s="9" t="s">
        <v>662</v>
      </c>
      <c r="O231" s="6" t="s">
        <v>5593</v>
      </c>
      <c r="P231" s="6" t="s">
        <v>106</v>
      </c>
      <c r="Q231" s="6" t="s">
        <v>4736</v>
      </c>
      <c r="R231" s="6" t="s">
        <v>5567</v>
      </c>
    </row>
    <row r="232" customFormat="false" ht="35.05" hidden="false" customHeight="false" outlineLevel="0" collapsed="false">
      <c r="A232" s="6" t="s">
        <v>4736</v>
      </c>
      <c r="B232" s="6" t="s">
        <v>102</v>
      </c>
      <c r="C232" s="6" t="s">
        <v>4848</v>
      </c>
      <c r="D232" s="6" t="s">
        <v>1126</v>
      </c>
      <c r="E232" s="6" t="s">
        <v>5596</v>
      </c>
      <c r="F232" s="6" t="s">
        <v>1128</v>
      </c>
      <c r="G232" s="6" t="s">
        <v>1127</v>
      </c>
      <c r="H232" s="6" t="s">
        <v>287</v>
      </c>
      <c r="I232" s="6" t="s">
        <v>4684</v>
      </c>
      <c r="J232" s="6" t="s">
        <v>5521</v>
      </c>
      <c r="K232" s="6" t="s">
        <v>4790</v>
      </c>
      <c r="L232" s="2" t="s">
        <v>1132</v>
      </c>
      <c r="M232" s="2" t="s">
        <v>5597</v>
      </c>
      <c r="N232" s="9" t="s">
        <v>1133</v>
      </c>
      <c r="O232" s="6" t="s">
        <v>160</v>
      </c>
      <c r="P232" s="6" t="s">
        <v>85</v>
      </c>
      <c r="Q232" s="6" t="s">
        <v>4736</v>
      </c>
      <c r="R232" s="6" t="s">
        <v>5567</v>
      </c>
    </row>
    <row r="233" customFormat="false" ht="23.85" hidden="false" customHeight="false" outlineLevel="0" collapsed="false">
      <c r="A233" s="6" t="s">
        <v>4736</v>
      </c>
      <c r="B233" s="6" t="s">
        <v>102</v>
      </c>
      <c r="C233" s="6" t="s">
        <v>4848</v>
      </c>
      <c r="D233" s="6" t="s">
        <v>2572</v>
      </c>
      <c r="E233" s="6" t="s">
        <v>2572</v>
      </c>
      <c r="F233" s="6" t="s">
        <v>2169</v>
      </c>
      <c r="G233" s="6" t="s">
        <v>626</v>
      </c>
      <c r="H233" s="6" t="s">
        <v>287</v>
      </c>
      <c r="I233" s="6" t="s">
        <v>4684</v>
      </c>
      <c r="J233" s="6" t="s">
        <v>5365</v>
      </c>
      <c r="K233" s="6" t="s">
        <v>4679</v>
      </c>
      <c r="L233" s="2" t="s">
        <v>2575</v>
      </c>
      <c r="M233" s="2" t="s">
        <v>2574</v>
      </c>
      <c r="N233" s="9" t="s">
        <v>1698</v>
      </c>
      <c r="O233" s="6" t="s">
        <v>150</v>
      </c>
      <c r="P233" s="6" t="s">
        <v>85</v>
      </c>
      <c r="Q233" s="6" t="s">
        <v>4736</v>
      </c>
      <c r="R233" s="6" t="s">
        <v>5567</v>
      </c>
    </row>
    <row r="234" customFormat="false" ht="23.85" hidden="false" customHeight="false" outlineLevel="0" collapsed="false">
      <c r="A234" s="6" t="s">
        <v>4736</v>
      </c>
      <c r="B234" s="6" t="s">
        <v>102</v>
      </c>
      <c r="C234" s="6" t="s">
        <v>4848</v>
      </c>
      <c r="D234" s="6" t="s">
        <v>1696</v>
      </c>
      <c r="E234" s="6" t="s">
        <v>1696</v>
      </c>
      <c r="F234" s="6" t="s">
        <v>1630</v>
      </c>
      <c r="G234" s="6" t="s">
        <v>1583</v>
      </c>
      <c r="H234" s="6" t="s">
        <v>287</v>
      </c>
      <c r="I234" s="6" t="s">
        <v>4684</v>
      </c>
      <c r="J234" s="6" t="s">
        <v>5365</v>
      </c>
      <c r="K234" s="6" t="s">
        <v>4790</v>
      </c>
      <c r="L234" s="2" t="s">
        <v>1697</v>
      </c>
      <c r="M234" s="2" t="s">
        <v>670</v>
      </c>
      <c r="N234" s="9" t="s">
        <v>1698</v>
      </c>
      <c r="O234" s="6" t="s">
        <v>150</v>
      </c>
      <c r="P234" s="6" t="s">
        <v>85</v>
      </c>
      <c r="Q234" s="6" t="s">
        <v>4736</v>
      </c>
      <c r="R234" s="6" t="s">
        <v>5567</v>
      </c>
    </row>
    <row r="235" customFormat="false" ht="15" hidden="false" customHeight="false" outlineLevel="0" collapsed="false">
      <c r="A235" s="6" t="s">
        <v>4736</v>
      </c>
      <c r="B235" s="6" t="s">
        <v>102</v>
      </c>
      <c r="C235" s="6" t="s">
        <v>4848</v>
      </c>
      <c r="D235" s="6" t="s">
        <v>2779</v>
      </c>
      <c r="E235" s="6" t="s">
        <v>2779</v>
      </c>
      <c r="F235" s="6" t="s">
        <v>2780</v>
      </c>
      <c r="G235" s="6" t="s">
        <v>1598</v>
      </c>
      <c r="H235" s="6" t="s">
        <v>287</v>
      </c>
      <c r="I235" s="6" t="s">
        <v>4684</v>
      </c>
      <c r="J235" s="6" t="s">
        <v>5365</v>
      </c>
      <c r="K235" s="6" t="s">
        <v>4790</v>
      </c>
      <c r="L235" s="2" t="s">
        <v>5598</v>
      </c>
      <c r="M235" s="2" t="s">
        <v>5599</v>
      </c>
      <c r="N235" s="9" t="s">
        <v>2784</v>
      </c>
      <c r="O235" s="6" t="s">
        <v>461</v>
      </c>
      <c r="P235" s="6" t="s">
        <v>85</v>
      </c>
      <c r="Q235" s="6" t="s">
        <v>4736</v>
      </c>
      <c r="R235" s="6" t="s">
        <v>5567</v>
      </c>
    </row>
    <row r="236" customFormat="false" ht="35.05" hidden="false" customHeight="false" outlineLevel="0" collapsed="false">
      <c r="A236" s="6" t="s">
        <v>4736</v>
      </c>
      <c r="B236" s="6" t="s">
        <v>102</v>
      </c>
      <c r="C236" s="6" t="s">
        <v>4848</v>
      </c>
      <c r="D236" s="6" t="s">
        <v>499</v>
      </c>
      <c r="E236" s="6" t="s">
        <v>499</v>
      </c>
      <c r="F236" s="6" t="s">
        <v>500</v>
      </c>
      <c r="G236" s="6" t="s">
        <v>76</v>
      </c>
      <c r="H236" s="6" t="s">
        <v>287</v>
      </c>
      <c r="I236" s="6" t="s">
        <v>4684</v>
      </c>
      <c r="J236" s="6" t="s">
        <v>5365</v>
      </c>
      <c r="K236" s="6" t="s">
        <v>4790</v>
      </c>
      <c r="L236" s="2" t="s">
        <v>503</v>
      </c>
      <c r="M236" s="2" t="s">
        <v>502</v>
      </c>
      <c r="N236" s="9" t="s">
        <v>505</v>
      </c>
      <c r="O236" s="6" t="s">
        <v>504</v>
      </c>
      <c r="P236" s="6" t="s">
        <v>85</v>
      </c>
      <c r="Q236" s="6" t="s">
        <v>4736</v>
      </c>
      <c r="R236" s="6" t="s">
        <v>5567</v>
      </c>
    </row>
    <row r="237" customFormat="false" ht="35.05" hidden="false" customHeight="false" outlineLevel="0" collapsed="false">
      <c r="A237" s="6" t="s">
        <v>4736</v>
      </c>
      <c r="B237" s="6" t="s">
        <v>102</v>
      </c>
      <c r="C237" s="6" t="s">
        <v>4848</v>
      </c>
      <c r="D237" s="6" t="s">
        <v>2953</v>
      </c>
      <c r="E237" s="6" t="s">
        <v>2953</v>
      </c>
      <c r="F237" s="6" t="s">
        <v>669</v>
      </c>
      <c r="G237" s="6" t="s">
        <v>1598</v>
      </c>
      <c r="H237" s="6" t="s">
        <v>1445</v>
      </c>
      <c r="I237" s="6" t="s">
        <v>4684</v>
      </c>
      <c r="J237" s="6" t="s">
        <v>5600</v>
      </c>
      <c r="K237" s="6" t="s">
        <v>4790</v>
      </c>
      <c r="L237" s="2" t="s">
        <v>2956</v>
      </c>
      <c r="M237" s="2" t="s">
        <v>2955</v>
      </c>
      <c r="N237" s="9" t="s">
        <v>2957</v>
      </c>
      <c r="O237" s="6" t="s">
        <v>150</v>
      </c>
      <c r="P237" s="6" t="s">
        <v>85</v>
      </c>
      <c r="Q237" s="6" t="s">
        <v>4736</v>
      </c>
      <c r="R237" s="6" t="s">
        <v>5567</v>
      </c>
    </row>
    <row r="238" customFormat="false" ht="35.05" hidden="false" customHeight="false" outlineLevel="0" collapsed="false">
      <c r="A238" s="6" t="s">
        <v>4736</v>
      </c>
      <c r="B238" s="6" t="s">
        <v>102</v>
      </c>
      <c r="C238" s="6" t="s">
        <v>4848</v>
      </c>
      <c r="D238" s="6" t="s">
        <v>1574</v>
      </c>
      <c r="E238" s="6" t="s">
        <v>1574</v>
      </c>
      <c r="F238" s="6" t="s">
        <v>1575</v>
      </c>
      <c r="G238" s="6" t="s">
        <v>1215</v>
      </c>
      <c r="H238" s="6" t="s">
        <v>1445</v>
      </c>
      <c r="I238" s="6" t="s">
        <v>4684</v>
      </c>
      <c r="J238" s="6" t="s">
        <v>5521</v>
      </c>
      <c r="K238" s="6" t="s">
        <v>4790</v>
      </c>
      <c r="L238" s="2" t="s">
        <v>1579</v>
      </c>
      <c r="M238" s="2" t="s">
        <v>5601</v>
      </c>
      <c r="N238" s="9" t="s">
        <v>5602</v>
      </c>
      <c r="O238" s="6" t="s">
        <v>178</v>
      </c>
      <c r="P238" s="6" t="s">
        <v>85</v>
      </c>
      <c r="Q238" s="6" t="s">
        <v>4736</v>
      </c>
      <c r="R238" s="6" t="s">
        <v>5567</v>
      </c>
    </row>
    <row r="239" customFormat="false" ht="23.85" hidden="false" customHeight="false" outlineLevel="0" collapsed="false">
      <c r="A239" s="6" t="s">
        <v>4736</v>
      </c>
      <c r="B239" s="6" t="s">
        <v>102</v>
      </c>
      <c r="C239" s="6" t="s">
        <v>4848</v>
      </c>
      <c r="D239" s="6" t="s">
        <v>2972</v>
      </c>
      <c r="E239" s="6" t="s">
        <v>2972</v>
      </c>
      <c r="F239" s="6" t="s">
        <v>2973</v>
      </c>
      <c r="G239" s="6" t="s">
        <v>2312</v>
      </c>
      <c r="H239" s="6" t="s">
        <v>1445</v>
      </c>
      <c r="I239" s="6" t="s">
        <v>4684</v>
      </c>
      <c r="J239" s="6" t="s">
        <v>5365</v>
      </c>
      <c r="K239" s="6" t="s">
        <v>4790</v>
      </c>
      <c r="L239" s="2" t="s">
        <v>2974</v>
      </c>
      <c r="M239" s="2" t="s">
        <v>670</v>
      </c>
      <c r="N239" s="9" t="s">
        <v>1698</v>
      </c>
      <c r="O239" s="6" t="s">
        <v>150</v>
      </c>
      <c r="P239" s="6" t="s">
        <v>85</v>
      </c>
      <c r="Q239" s="6" t="s">
        <v>4736</v>
      </c>
      <c r="R239" s="6" t="s">
        <v>5567</v>
      </c>
    </row>
    <row r="240" customFormat="false" ht="23.85" hidden="false" customHeight="false" outlineLevel="0" collapsed="false">
      <c r="A240" s="6" t="s">
        <v>4736</v>
      </c>
      <c r="B240" s="6" t="s">
        <v>102</v>
      </c>
      <c r="C240" s="6" t="s">
        <v>4848</v>
      </c>
      <c r="D240" s="6" t="s">
        <v>2975</v>
      </c>
      <c r="E240" s="6" t="s">
        <v>2975</v>
      </c>
      <c r="F240" s="6" t="s">
        <v>2976</v>
      </c>
      <c r="G240" s="6" t="s">
        <v>1598</v>
      </c>
      <c r="H240" s="6" t="s">
        <v>1445</v>
      </c>
      <c r="I240" s="6" t="s">
        <v>4684</v>
      </c>
      <c r="J240" s="6" t="s">
        <v>341</v>
      </c>
      <c r="K240" s="6" t="s">
        <v>4679</v>
      </c>
      <c r="L240" s="2" t="s">
        <v>2978</v>
      </c>
      <c r="M240" s="2" t="s">
        <v>670</v>
      </c>
      <c r="N240" s="9" t="s">
        <v>662</v>
      </c>
      <c r="O240" s="6" t="s">
        <v>341</v>
      </c>
      <c r="P240" s="6" t="s">
        <v>106</v>
      </c>
      <c r="Q240" s="6" t="s">
        <v>4736</v>
      </c>
      <c r="R240" s="6" t="s">
        <v>5567</v>
      </c>
    </row>
    <row r="241" customFormat="false" ht="15" hidden="false" customHeight="false" outlineLevel="0" collapsed="false">
      <c r="A241" s="6" t="s">
        <v>4736</v>
      </c>
      <c r="B241" s="6" t="s">
        <v>102</v>
      </c>
      <c r="C241" s="6" t="s">
        <v>4848</v>
      </c>
      <c r="D241" s="6" t="s">
        <v>4213</v>
      </c>
      <c r="E241" s="6" t="s">
        <v>4213</v>
      </c>
      <c r="F241" s="6" t="s">
        <v>4214</v>
      </c>
      <c r="G241" s="6" t="s">
        <v>1644</v>
      </c>
      <c r="H241" s="6" t="s">
        <v>1445</v>
      </c>
      <c r="I241" s="6" t="s">
        <v>4684</v>
      </c>
      <c r="J241" s="6" t="s">
        <v>5521</v>
      </c>
      <c r="K241" s="6" t="s">
        <v>4790</v>
      </c>
      <c r="L241" s="2" t="s">
        <v>4215</v>
      </c>
      <c r="M241" s="2"/>
      <c r="N241" s="9" t="s">
        <v>4216</v>
      </c>
      <c r="O241" s="6" t="s">
        <v>160</v>
      </c>
      <c r="P241" s="6" t="s">
        <v>85</v>
      </c>
      <c r="Q241" s="6" t="s">
        <v>4736</v>
      </c>
      <c r="R241" s="6" t="s">
        <v>5567</v>
      </c>
    </row>
    <row r="242" customFormat="false" ht="15" hidden="false" customHeight="false" outlineLevel="0" collapsed="false">
      <c r="A242" s="6" t="s">
        <v>4736</v>
      </c>
      <c r="B242" s="6" t="s">
        <v>102</v>
      </c>
      <c r="C242" s="6" t="s">
        <v>4848</v>
      </c>
      <c r="D242" s="6" t="s">
        <v>4339</v>
      </c>
      <c r="E242" s="6" t="s">
        <v>4339</v>
      </c>
      <c r="F242" s="6" t="s">
        <v>263</v>
      </c>
      <c r="G242" s="6" t="s">
        <v>3000</v>
      </c>
      <c r="H242" s="6" t="s">
        <v>1445</v>
      </c>
      <c r="I242" s="6" t="s">
        <v>4684</v>
      </c>
      <c r="J242" s="6" t="s">
        <v>3698</v>
      </c>
      <c r="K242" s="6" t="s">
        <v>4679</v>
      </c>
      <c r="L242" s="2" t="s">
        <v>4340</v>
      </c>
      <c r="M242" s="2" t="s">
        <v>3339</v>
      </c>
      <c r="N242" s="9" t="s">
        <v>4341</v>
      </c>
      <c r="O242" s="6" t="s">
        <v>3698</v>
      </c>
      <c r="P242" s="6" t="s">
        <v>106</v>
      </c>
      <c r="Q242" s="6" t="s">
        <v>4736</v>
      </c>
      <c r="R242" s="6" t="s">
        <v>5567</v>
      </c>
    </row>
    <row r="243" customFormat="false" ht="23.85" hidden="false" customHeight="false" outlineLevel="0" collapsed="false">
      <c r="A243" s="6" t="s">
        <v>4736</v>
      </c>
      <c r="B243" s="6" t="s">
        <v>102</v>
      </c>
      <c r="C243" s="6" t="s">
        <v>4848</v>
      </c>
      <c r="D243" s="6" t="s">
        <v>2243</v>
      </c>
      <c r="E243" s="6" t="s">
        <v>2243</v>
      </c>
      <c r="F243" s="6" t="s">
        <v>669</v>
      </c>
      <c r="G243" s="6" t="s">
        <v>182</v>
      </c>
      <c r="H243" s="6" t="s">
        <v>1445</v>
      </c>
      <c r="I243" s="6" t="s">
        <v>4684</v>
      </c>
      <c r="J243" s="6" t="s">
        <v>5365</v>
      </c>
      <c r="K243" s="6" t="s">
        <v>4790</v>
      </c>
      <c r="L243" s="2" t="s">
        <v>5603</v>
      </c>
      <c r="M243" s="2" t="s">
        <v>670</v>
      </c>
      <c r="N243" s="9" t="s">
        <v>672</v>
      </c>
      <c r="O243" s="6" t="s">
        <v>389</v>
      </c>
      <c r="P243" s="6" t="s">
        <v>106</v>
      </c>
      <c r="Q243" s="6" t="s">
        <v>4736</v>
      </c>
      <c r="R243" s="6" t="s">
        <v>5567</v>
      </c>
    </row>
    <row r="244" customFormat="false" ht="23.85" hidden="false" customHeight="false" outlineLevel="0" collapsed="false">
      <c r="A244" s="6" t="s">
        <v>4966</v>
      </c>
      <c r="B244" s="6" t="s">
        <v>102</v>
      </c>
      <c r="C244" s="6" t="s">
        <v>4848</v>
      </c>
      <c r="D244" s="6" t="s">
        <v>764</v>
      </c>
      <c r="E244" s="6" t="s">
        <v>5604</v>
      </c>
      <c r="F244" s="6" t="s">
        <v>5605</v>
      </c>
      <c r="G244" s="6" t="s">
        <v>153</v>
      </c>
      <c r="H244" s="6" t="s">
        <v>287</v>
      </c>
      <c r="I244" s="6" t="s">
        <v>4684</v>
      </c>
      <c r="J244" s="6" t="s">
        <v>308</v>
      </c>
      <c r="K244" s="6" t="s">
        <v>4790</v>
      </c>
      <c r="L244" s="2" t="s">
        <v>5606</v>
      </c>
      <c r="M244" s="2" t="s">
        <v>5607</v>
      </c>
      <c r="N244" s="9" t="s">
        <v>5608</v>
      </c>
      <c r="O244" s="6" t="s">
        <v>308</v>
      </c>
      <c r="P244" s="6" t="s">
        <v>106</v>
      </c>
      <c r="Q244" s="6" t="s">
        <v>5609</v>
      </c>
      <c r="R244" s="6" t="s">
        <v>5357</v>
      </c>
    </row>
    <row r="245" customFormat="false" ht="23.85" hidden="false" customHeight="false" outlineLevel="0" collapsed="false">
      <c r="A245" s="6" t="s">
        <v>4966</v>
      </c>
      <c r="B245" s="6" t="s">
        <v>102</v>
      </c>
      <c r="C245" s="6" t="s">
        <v>4848</v>
      </c>
      <c r="D245" s="6" t="s">
        <v>764</v>
      </c>
      <c r="E245" s="6" t="s">
        <v>764</v>
      </c>
      <c r="F245" s="6" t="s">
        <v>765</v>
      </c>
      <c r="G245" s="6" t="s">
        <v>153</v>
      </c>
      <c r="H245" s="6" t="s">
        <v>287</v>
      </c>
      <c r="I245" s="6" t="s">
        <v>4680</v>
      </c>
      <c r="J245" s="6" t="s">
        <v>389</v>
      </c>
      <c r="K245" s="6" t="s">
        <v>4790</v>
      </c>
      <c r="L245" s="2" t="s">
        <v>768</v>
      </c>
      <c r="M245" s="2" t="s">
        <v>5610</v>
      </c>
      <c r="N245" s="9" t="s">
        <v>770</v>
      </c>
      <c r="O245" s="6" t="s">
        <v>308</v>
      </c>
      <c r="P245" s="6" t="s">
        <v>85</v>
      </c>
      <c r="Q245" s="6" t="s">
        <v>5611</v>
      </c>
      <c r="R245" s="6" t="s">
        <v>5567</v>
      </c>
    </row>
    <row r="246" customFormat="false" ht="23.85" hidden="false" customHeight="false" outlineLevel="0" collapsed="false">
      <c r="A246" s="6" t="s">
        <v>4948</v>
      </c>
      <c r="B246" s="6" t="s">
        <v>102</v>
      </c>
      <c r="C246" s="6" t="s">
        <v>4848</v>
      </c>
      <c r="D246" s="6" t="s">
        <v>2300</v>
      </c>
      <c r="E246" s="6" t="s">
        <v>2300</v>
      </c>
      <c r="F246" s="6" t="s">
        <v>2301</v>
      </c>
      <c r="G246" s="6" t="s">
        <v>1215</v>
      </c>
      <c r="H246" s="6" t="s">
        <v>287</v>
      </c>
      <c r="I246" s="6" t="s">
        <v>4684</v>
      </c>
      <c r="J246" s="6" t="s">
        <v>5365</v>
      </c>
      <c r="K246" s="6" t="s">
        <v>4679</v>
      </c>
      <c r="L246" s="2" t="s">
        <v>2304</v>
      </c>
      <c r="M246" s="2" t="s">
        <v>2303</v>
      </c>
      <c r="N246" s="9" t="s">
        <v>2305</v>
      </c>
      <c r="O246" s="6" t="s">
        <v>517</v>
      </c>
      <c r="P246" s="6" t="s">
        <v>106</v>
      </c>
      <c r="Q246" s="6" t="s">
        <v>5612</v>
      </c>
      <c r="R246" s="6" t="s">
        <v>5613</v>
      </c>
    </row>
    <row r="247" customFormat="false" ht="23.85" hidden="false" customHeight="false" outlineLevel="0" collapsed="false">
      <c r="A247" s="6" t="s">
        <v>4948</v>
      </c>
      <c r="B247" s="6" t="s">
        <v>102</v>
      </c>
      <c r="C247" s="6" t="s">
        <v>4848</v>
      </c>
      <c r="D247" s="6" t="s">
        <v>700</v>
      </c>
      <c r="E247" s="6" t="s">
        <v>700</v>
      </c>
      <c r="F247" s="6" t="s">
        <v>701</v>
      </c>
      <c r="G247" s="6" t="s">
        <v>153</v>
      </c>
      <c r="H247" s="6" t="s">
        <v>287</v>
      </c>
      <c r="I247" s="6" t="s">
        <v>4732</v>
      </c>
      <c r="J247" s="6" t="s">
        <v>5365</v>
      </c>
      <c r="K247" s="6" t="s">
        <v>4679</v>
      </c>
      <c r="L247" s="2" t="s">
        <v>5614</v>
      </c>
      <c r="M247" s="2" t="s">
        <v>5615</v>
      </c>
      <c r="N247" s="9" t="s">
        <v>706</v>
      </c>
      <c r="O247" s="6" t="s">
        <v>440</v>
      </c>
      <c r="P247" s="6" t="s">
        <v>106</v>
      </c>
      <c r="Q247" s="6" t="s">
        <v>5612</v>
      </c>
      <c r="R247" s="6" t="s">
        <v>5613</v>
      </c>
    </row>
    <row r="248" customFormat="false" ht="23.85" hidden="false" customHeight="false" outlineLevel="0" collapsed="false">
      <c r="A248" s="6" t="s">
        <v>4948</v>
      </c>
      <c r="B248" s="6" t="s">
        <v>102</v>
      </c>
      <c r="C248" s="6" t="s">
        <v>4848</v>
      </c>
      <c r="D248" s="6" t="s">
        <v>735</v>
      </c>
      <c r="E248" s="6" t="s">
        <v>5616</v>
      </c>
      <c r="F248" s="6" t="s">
        <v>645</v>
      </c>
      <c r="G248" s="6" t="s">
        <v>164</v>
      </c>
      <c r="H248" s="6" t="s">
        <v>287</v>
      </c>
      <c r="I248" s="6" t="s">
        <v>5617</v>
      </c>
      <c r="J248" s="6" t="s">
        <v>5365</v>
      </c>
      <c r="K248" s="6" t="s">
        <v>4679</v>
      </c>
      <c r="L248" s="2" t="s">
        <v>5618</v>
      </c>
      <c r="M248" s="2" t="s">
        <v>1767</v>
      </c>
      <c r="N248" s="9" t="s">
        <v>740</v>
      </c>
      <c r="O248" s="6" t="s">
        <v>150</v>
      </c>
      <c r="P248" s="6" t="s">
        <v>106</v>
      </c>
      <c r="Q248" s="6" t="s">
        <v>5612</v>
      </c>
      <c r="R248" s="6" t="s">
        <v>5613</v>
      </c>
    </row>
    <row r="249" customFormat="false" ht="23.85" hidden="false" customHeight="false" outlineLevel="0" collapsed="false">
      <c r="A249" s="6" t="s">
        <v>4948</v>
      </c>
      <c r="B249" s="6" t="s">
        <v>102</v>
      </c>
      <c r="C249" s="6" t="s">
        <v>4848</v>
      </c>
      <c r="D249" s="6" t="s">
        <v>3549</v>
      </c>
      <c r="E249" s="6" t="s">
        <v>3549</v>
      </c>
      <c r="F249" s="6" t="s">
        <v>708</v>
      </c>
      <c r="G249" s="6" t="s">
        <v>1598</v>
      </c>
      <c r="H249" s="6" t="s">
        <v>1445</v>
      </c>
      <c r="I249" s="6" t="s">
        <v>4684</v>
      </c>
      <c r="J249" s="6" t="s">
        <v>5365</v>
      </c>
      <c r="K249" s="6" t="s">
        <v>4679</v>
      </c>
      <c r="L249" s="2" t="s">
        <v>3550</v>
      </c>
      <c r="M249" s="2" t="s">
        <v>1767</v>
      </c>
      <c r="N249" s="9" t="s">
        <v>3551</v>
      </c>
      <c r="O249" s="6" t="s">
        <v>84</v>
      </c>
      <c r="P249" s="6" t="s">
        <v>106</v>
      </c>
      <c r="Q249" s="6" t="s">
        <v>5612</v>
      </c>
      <c r="R249" s="6" t="s">
        <v>5613</v>
      </c>
    </row>
    <row r="250" customFormat="false" ht="23.85" hidden="false" customHeight="false" outlineLevel="0" collapsed="false">
      <c r="A250" s="6" t="s">
        <v>4948</v>
      </c>
      <c r="B250" s="6" t="s">
        <v>102</v>
      </c>
      <c r="C250" s="6" t="s">
        <v>4848</v>
      </c>
      <c r="D250" s="6" t="s">
        <v>2646</v>
      </c>
      <c r="E250" s="6" t="s">
        <v>2646</v>
      </c>
      <c r="F250" s="6" t="s">
        <v>2647</v>
      </c>
      <c r="G250" s="6" t="s">
        <v>1127</v>
      </c>
      <c r="H250" s="6" t="s">
        <v>1445</v>
      </c>
      <c r="I250" s="6" t="s">
        <v>4680</v>
      </c>
      <c r="J250" s="6" t="s">
        <v>511</v>
      </c>
      <c r="K250" s="6" t="s">
        <v>4790</v>
      </c>
      <c r="L250" s="2" t="s">
        <v>5619</v>
      </c>
      <c r="M250" s="2" t="s">
        <v>5620</v>
      </c>
      <c r="N250" s="9" t="s">
        <v>2651</v>
      </c>
      <c r="O250" s="6" t="s">
        <v>123</v>
      </c>
      <c r="P250" s="6" t="s">
        <v>85</v>
      </c>
      <c r="Q250" s="6" t="s">
        <v>5612</v>
      </c>
      <c r="R250" s="6" t="s">
        <v>5613</v>
      </c>
    </row>
    <row r="251" customFormat="false" ht="23.85" hidden="false" customHeight="false" outlineLevel="0" collapsed="false">
      <c r="A251" s="6" t="s">
        <v>4948</v>
      </c>
      <c r="B251" s="6" t="s">
        <v>102</v>
      </c>
      <c r="C251" s="6" t="s">
        <v>4848</v>
      </c>
      <c r="D251" s="6" t="s">
        <v>735</v>
      </c>
      <c r="E251" s="6" t="s">
        <v>735</v>
      </c>
      <c r="F251" s="6" t="s">
        <v>645</v>
      </c>
      <c r="G251" s="6" t="s">
        <v>164</v>
      </c>
      <c r="H251" s="6" t="s">
        <v>1445</v>
      </c>
      <c r="I251" s="6" t="s">
        <v>4684</v>
      </c>
      <c r="J251" s="6" t="s">
        <v>5365</v>
      </c>
      <c r="K251" s="6" t="s">
        <v>4790</v>
      </c>
      <c r="L251" s="2" t="s">
        <v>738</v>
      </c>
      <c r="M251" s="2" t="s">
        <v>5621</v>
      </c>
      <c r="N251" s="9" t="s">
        <v>739</v>
      </c>
      <c r="O251" s="6" t="s">
        <v>281</v>
      </c>
      <c r="P251" s="6" t="s">
        <v>85</v>
      </c>
      <c r="Q251" s="6" t="s">
        <v>5622</v>
      </c>
      <c r="R251" s="6" t="s">
        <v>5368</v>
      </c>
    </row>
    <row r="252" customFormat="false" ht="23.85" hidden="false" customHeight="false" outlineLevel="0" collapsed="false">
      <c r="A252" s="6" t="s">
        <v>4957</v>
      </c>
      <c r="B252" s="6" t="s">
        <v>102</v>
      </c>
      <c r="C252" s="6" t="s">
        <v>4697</v>
      </c>
      <c r="D252" s="6" t="s">
        <v>1564</v>
      </c>
      <c r="E252" s="6" t="s">
        <v>1564</v>
      </c>
      <c r="F252" s="6" t="s">
        <v>1565</v>
      </c>
      <c r="G252" s="6" t="s">
        <v>153</v>
      </c>
      <c r="H252" s="6" t="s">
        <v>77</v>
      </c>
      <c r="I252" s="6" t="s">
        <v>4697</v>
      </c>
      <c r="J252" s="6" t="s">
        <v>1431</v>
      </c>
      <c r="K252" s="6" t="s">
        <v>4790</v>
      </c>
      <c r="L252" s="2" t="s">
        <v>1568</v>
      </c>
      <c r="M252" s="2" t="s">
        <v>5623</v>
      </c>
      <c r="N252" s="9" t="s">
        <v>1569</v>
      </c>
      <c r="O252" s="6" t="s">
        <v>1431</v>
      </c>
      <c r="P252" s="6" t="s">
        <v>85</v>
      </c>
      <c r="Q252" s="6" t="s">
        <v>4959</v>
      </c>
      <c r="R252" s="6" t="s">
        <v>5357</v>
      </c>
    </row>
    <row r="253" customFormat="false" ht="23.85" hidden="false" customHeight="false" outlineLevel="0" collapsed="false">
      <c r="A253" s="6" t="s">
        <v>4957</v>
      </c>
      <c r="B253" s="6" t="s">
        <v>102</v>
      </c>
      <c r="C253" s="6" t="s">
        <v>4697</v>
      </c>
      <c r="D253" s="6" t="s">
        <v>1918</v>
      </c>
      <c r="E253" s="6" t="s">
        <v>1918</v>
      </c>
      <c r="F253" s="6" t="s">
        <v>1919</v>
      </c>
      <c r="G253" s="6" t="s">
        <v>90</v>
      </c>
      <c r="H253" s="6" t="s">
        <v>287</v>
      </c>
      <c r="I253" s="6" t="s">
        <v>4697</v>
      </c>
      <c r="J253" s="6" t="s">
        <v>5490</v>
      </c>
      <c r="K253" s="6" t="s">
        <v>4726</v>
      </c>
      <c r="L253" s="2" t="s">
        <v>5624</v>
      </c>
      <c r="M253" s="2" t="s">
        <v>5625</v>
      </c>
      <c r="N253" s="9" t="s">
        <v>1925</v>
      </c>
      <c r="O253" s="6" t="s">
        <v>130</v>
      </c>
      <c r="P253" s="6" t="s">
        <v>85</v>
      </c>
      <c r="Q253" s="6" t="s">
        <v>4959</v>
      </c>
      <c r="R253" s="6" t="s">
        <v>5357</v>
      </c>
    </row>
    <row r="254" customFormat="false" ht="15" hidden="false" customHeight="false" outlineLevel="0" collapsed="false">
      <c r="A254" s="6" t="s">
        <v>4957</v>
      </c>
      <c r="B254" s="6" t="s">
        <v>102</v>
      </c>
      <c r="C254" s="6" t="s">
        <v>4697</v>
      </c>
      <c r="D254" s="6" t="s">
        <v>1795</v>
      </c>
      <c r="E254" s="6" t="s">
        <v>1795</v>
      </c>
      <c r="F254" s="6" t="s">
        <v>1796</v>
      </c>
      <c r="G254" s="6" t="s">
        <v>153</v>
      </c>
      <c r="H254" s="6" t="s">
        <v>287</v>
      </c>
      <c r="I254" s="6" t="s">
        <v>4697</v>
      </c>
      <c r="J254" s="6" t="s">
        <v>5490</v>
      </c>
      <c r="K254" s="6" t="s">
        <v>4790</v>
      </c>
      <c r="L254" s="2" t="s">
        <v>5626</v>
      </c>
      <c r="M254" s="2" t="s">
        <v>5627</v>
      </c>
      <c r="N254" s="9" t="s">
        <v>1124</v>
      </c>
      <c r="O254" s="6" t="s">
        <v>1431</v>
      </c>
      <c r="P254" s="6" t="s">
        <v>85</v>
      </c>
      <c r="Q254" s="6" t="s">
        <v>4959</v>
      </c>
      <c r="R254" s="6" t="s">
        <v>5357</v>
      </c>
    </row>
    <row r="255" customFormat="false" ht="23.85" hidden="false" customHeight="false" outlineLevel="0" collapsed="false">
      <c r="A255" s="6" t="s">
        <v>4952</v>
      </c>
      <c r="B255" s="6" t="s">
        <v>102</v>
      </c>
      <c r="C255" s="6" t="s">
        <v>4870</v>
      </c>
      <c r="D255" s="6" t="s">
        <v>152</v>
      </c>
      <c r="E255" s="6" t="s">
        <v>152</v>
      </c>
      <c r="F255" s="6" t="s">
        <v>154</v>
      </c>
      <c r="G255" s="6" t="s">
        <v>153</v>
      </c>
      <c r="H255" s="6" t="s">
        <v>77</v>
      </c>
      <c r="I255" s="6" t="s">
        <v>4676</v>
      </c>
      <c r="J255" s="6" t="s">
        <v>5365</v>
      </c>
      <c r="K255" s="6" t="s">
        <v>4790</v>
      </c>
      <c r="L255" s="2" t="s">
        <v>5628</v>
      </c>
      <c r="M255" s="2" t="s">
        <v>5629</v>
      </c>
      <c r="N255" s="9" t="s">
        <v>5630</v>
      </c>
      <c r="O255" s="6" t="s">
        <v>143</v>
      </c>
      <c r="P255" s="6" t="s">
        <v>106</v>
      </c>
      <c r="Q255" s="6" t="s">
        <v>4955</v>
      </c>
      <c r="R255" s="6" t="s">
        <v>5613</v>
      </c>
    </row>
    <row r="256" customFormat="false" ht="23.85" hidden="false" customHeight="false" outlineLevel="0" collapsed="false">
      <c r="A256" s="6" t="s">
        <v>4952</v>
      </c>
      <c r="B256" s="6" t="s">
        <v>102</v>
      </c>
      <c r="C256" s="6" t="s">
        <v>4870</v>
      </c>
      <c r="D256" s="6" t="s">
        <v>1219</v>
      </c>
      <c r="E256" s="6" t="s">
        <v>1219</v>
      </c>
      <c r="F256" s="6" t="s">
        <v>1220</v>
      </c>
      <c r="G256" s="6" t="s">
        <v>626</v>
      </c>
      <c r="H256" s="6" t="s">
        <v>287</v>
      </c>
      <c r="I256" s="6" t="s">
        <v>4706</v>
      </c>
      <c r="J256" s="6" t="s">
        <v>511</v>
      </c>
      <c r="K256" s="6" t="s">
        <v>4679</v>
      </c>
      <c r="L256" s="2" t="s">
        <v>1223</v>
      </c>
      <c r="M256" s="2" t="s">
        <v>1222</v>
      </c>
      <c r="N256" s="9" t="s">
        <v>1224</v>
      </c>
      <c r="O256" s="6" t="s">
        <v>511</v>
      </c>
      <c r="P256" s="6" t="s">
        <v>85</v>
      </c>
      <c r="Q256" s="6" t="s">
        <v>4955</v>
      </c>
      <c r="R256" s="6" t="s">
        <v>5613</v>
      </c>
    </row>
    <row r="257" customFormat="false" ht="23.85" hidden="false" customHeight="false" outlineLevel="0" collapsed="false">
      <c r="A257" s="6" t="s">
        <v>4952</v>
      </c>
      <c r="B257" s="6" t="s">
        <v>102</v>
      </c>
      <c r="C257" s="6" t="s">
        <v>4870</v>
      </c>
      <c r="D257" s="6" t="s">
        <v>1770</v>
      </c>
      <c r="E257" s="6" t="s">
        <v>1770</v>
      </c>
      <c r="F257" s="6" t="s">
        <v>1771</v>
      </c>
      <c r="G257" s="6" t="s">
        <v>1127</v>
      </c>
      <c r="H257" s="6" t="s">
        <v>287</v>
      </c>
      <c r="I257" s="6" t="s">
        <v>4715</v>
      </c>
      <c r="J257" s="6" t="s">
        <v>1774</v>
      </c>
      <c r="K257" s="6" t="s">
        <v>4679</v>
      </c>
      <c r="L257" s="2" t="s">
        <v>1773</v>
      </c>
      <c r="M257" s="2" t="s">
        <v>1222</v>
      </c>
      <c r="N257" s="9" t="s">
        <v>1775</v>
      </c>
      <c r="O257" s="6" t="s">
        <v>1774</v>
      </c>
      <c r="P257" s="6" t="s">
        <v>106</v>
      </c>
      <c r="Q257" s="6" t="s">
        <v>4955</v>
      </c>
      <c r="R257" s="6" t="s">
        <v>5613</v>
      </c>
    </row>
    <row r="258" customFormat="false" ht="23.85" hidden="false" customHeight="false" outlineLevel="0" collapsed="false">
      <c r="A258" s="6" t="s">
        <v>4952</v>
      </c>
      <c r="B258" s="6" t="s">
        <v>102</v>
      </c>
      <c r="C258" s="6" t="s">
        <v>4870</v>
      </c>
      <c r="D258" s="6" t="s">
        <v>4038</v>
      </c>
      <c r="E258" s="6" t="s">
        <v>4038</v>
      </c>
      <c r="F258" s="6" t="s">
        <v>4039</v>
      </c>
      <c r="G258" s="6" t="s">
        <v>1215</v>
      </c>
      <c r="H258" s="6" t="s">
        <v>1445</v>
      </c>
      <c r="I258" s="6" t="s">
        <v>4684</v>
      </c>
      <c r="J258" s="6" t="s">
        <v>5365</v>
      </c>
      <c r="K258" s="6" t="s">
        <v>4790</v>
      </c>
      <c r="L258" s="2" t="s">
        <v>4041</v>
      </c>
      <c r="M258" s="2"/>
      <c r="N258" s="9" t="s">
        <v>4042</v>
      </c>
      <c r="O258" s="6" t="s">
        <v>256</v>
      </c>
      <c r="P258" s="6" t="s">
        <v>106</v>
      </c>
      <c r="Q258" s="6" t="s">
        <v>4955</v>
      </c>
      <c r="R258" s="6" t="s">
        <v>5613</v>
      </c>
    </row>
    <row r="259" customFormat="false" ht="23.85" hidden="false" customHeight="false" outlineLevel="0" collapsed="false">
      <c r="A259" s="6" t="s">
        <v>4952</v>
      </c>
      <c r="B259" s="6" t="s">
        <v>102</v>
      </c>
      <c r="C259" s="6" t="s">
        <v>4870</v>
      </c>
      <c r="D259" s="6" t="s">
        <v>3545</v>
      </c>
      <c r="E259" s="6" t="s">
        <v>3545</v>
      </c>
      <c r="F259" s="6" t="s">
        <v>3174</v>
      </c>
      <c r="G259" s="6" t="s">
        <v>1215</v>
      </c>
      <c r="H259" s="6" t="s">
        <v>1445</v>
      </c>
      <c r="I259" s="6" t="s">
        <v>4706</v>
      </c>
      <c r="J259" s="6" t="s">
        <v>411</v>
      </c>
      <c r="K259" s="6" t="s">
        <v>4790</v>
      </c>
      <c r="L259" s="2" t="s">
        <v>3547</v>
      </c>
      <c r="M259" s="2" t="s">
        <v>1222</v>
      </c>
      <c r="N259" s="9" t="s">
        <v>3548</v>
      </c>
      <c r="O259" s="6" t="s">
        <v>411</v>
      </c>
      <c r="P259" s="6" t="s">
        <v>85</v>
      </c>
      <c r="Q259" s="6" t="s">
        <v>4955</v>
      </c>
      <c r="R259" s="6" t="s">
        <v>5613</v>
      </c>
    </row>
    <row r="260" customFormat="false" ht="23.85" hidden="false" customHeight="false" outlineLevel="0" collapsed="false">
      <c r="A260" s="6" t="s">
        <v>4952</v>
      </c>
      <c r="B260" s="6" t="s">
        <v>102</v>
      </c>
      <c r="C260" s="6" t="s">
        <v>4870</v>
      </c>
      <c r="D260" s="6" t="s">
        <v>2706</v>
      </c>
      <c r="E260" s="6" t="s">
        <v>2706</v>
      </c>
      <c r="F260" s="6" t="s">
        <v>2706</v>
      </c>
      <c r="G260" s="6" t="s">
        <v>626</v>
      </c>
      <c r="H260" s="6" t="s">
        <v>1445</v>
      </c>
      <c r="I260" s="6" t="s">
        <v>4680</v>
      </c>
      <c r="J260" s="6" t="s">
        <v>1162</v>
      </c>
      <c r="K260" s="6" t="s">
        <v>4679</v>
      </c>
      <c r="L260" s="2" t="s">
        <v>2708</v>
      </c>
      <c r="M260" s="2" t="s">
        <v>1222</v>
      </c>
      <c r="N260" s="9" t="s">
        <v>2709</v>
      </c>
      <c r="O260" s="6" t="s">
        <v>1162</v>
      </c>
      <c r="P260" s="6" t="s">
        <v>85</v>
      </c>
      <c r="Q260" s="6" t="s">
        <v>4955</v>
      </c>
      <c r="R260" s="6" t="s">
        <v>5613</v>
      </c>
    </row>
    <row r="261" customFormat="false" ht="23.85" hidden="false" customHeight="false" outlineLevel="0" collapsed="false">
      <c r="A261" s="6" t="s">
        <v>4960</v>
      </c>
      <c r="B261" s="6" t="s">
        <v>102</v>
      </c>
      <c r="C261" s="6" t="s">
        <v>4682</v>
      </c>
      <c r="D261" s="6" t="s">
        <v>878</v>
      </c>
      <c r="E261" s="6" t="s">
        <v>878</v>
      </c>
      <c r="F261" s="6" t="s">
        <v>879</v>
      </c>
      <c r="G261" s="6" t="s">
        <v>118</v>
      </c>
      <c r="H261" s="6" t="s">
        <v>287</v>
      </c>
      <c r="I261" s="6" t="s">
        <v>4682</v>
      </c>
      <c r="J261" s="6" t="s">
        <v>883</v>
      </c>
      <c r="K261" s="6" t="s">
        <v>4679</v>
      </c>
      <c r="L261" s="2" t="s">
        <v>882</v>
      </c>
      <c r="M261" s="2" t="s">
        <v>881</v>
      </c>
      <c r="N261" s="9" t="s">
        <v>884</v>
      </c>
      <c r="O261" s="6" t="s">
        <v>883</v>
      </c>
      <c r="P261" s="6" t="s">
        <v>106</v>
      </c>
      <c r="Q261" s="6" t="s">
        <v>4960</v>
      </c>
      <c r="R261" s="6" t="s">
        <v>5567</v>
      </c>
    </row>
    <row r="262" customFormat="false" ht="23.85" hidden="false" customHeight="false" outlineLevel="0" collapsed="false">
      <c r="A262" s="6" t="s">
        <v>4960</v>
      </c>
      <c r="B262" s="6" t="s">
        <v>102</v>
      </c>
      <c r="C262" s="6" t="s">
        <v>4682</v>
      </c>
      <c r="D262" s="6" t="s">
        <v>3069</v>
      </c>
      <c r="E262" s="6" t="s">
        <v>3069</v>
      </c>
      <c r="F262" s="6" t="s">
        <v>3070</v>
      </c>
      <c r="G262" s="6" t="s">
        <v>507</v>
      </c>
      <c r="H262" s="6" t="s">
        <v>1445</v>
      </c>
      <c r="I262" s="6" t="s">
        <v>4682</v>
      </c>
      <c r="J262" s="6" t="s">
        <v>2022</v>
      </c>
      <c r="K262" s="6" t="s">
        <v>4679</v>
      </c>
      <c r="L262" s="2" t="s">
        <v>3071</v>
      </c>
      <c r="M262" s="2" t="s">
        <v>881</v>
      </c>
      <c r="N262" s="9" t="s">
        <v>884</v>
      </c>
      <c r="O262" s="6" t="s">
        <v>2022</v>
      </c>
      <c r="P262" s="6" t="s">
        <v>106</v>
      </c>
      <c r="Q262" s="6" t="s">
        <v>4960</v>
      </c>
      <c r="R262" s="6" t="s">
        <v>5567</v>
      </c>
    </row>
    <row r="263" customFormat="false" ht="23.85" hidden="false" customHeight="false" outlineLevel="0" collapsed="false">
      <c r="A263" s="6" t="s">
        <v>4960</v>
      </c>
      <c r="B263" s="6" t="s">
        <v>102</v>
      </c>
      <c r="C263" s="6" t="s">
        <v>4682</v>
      </c>
      <c r="D263" s="6" t="s">
        <v>3598</v>
      </c>
      <c r="E263" s="6" t="s">
        <v>3598</v>
      </c>
      <c r="F263" s="6" t="s">
        <v>3598</v>
      </c>
      <c r="G263" s="6" t="s">
        <v>1215</v>
      </c>
      <c r="H263" s="6" t="s">
        <v>1445</v>
      </c>
      <c r="I263" s="6" t="s">
        <v>4682</v>
      </c>
      <c r="J263" s="6" t="s">
        <v>383</v>
      </c>
      <c r="K263" s="6" t="s">
        <v>4679</v>
      </c>
      <c r="L263" s="2" t="s">
        <v>3600</v>
      </c>
      <c r="M263" s="2" t="s">
        <v>881</v>
      </c>
      <c r="N263" s="9" t="s">
        <v>884</v>
      </c>
      <c r="O263" s="6" t="s">
        <v>383</v>
      </c>
      <c r="P263" s="6" t="s">
        <v>106</v>
      </c>
      <c r="Q263" s="6" t="s">
        <v>4960</v>
      </c>
      <c r="R263" s="6" t="s">
        <v>5567</v>
      </c>
    </row>
    <row r="264" customFormat="false" ht="35.05" hidden="false" customHeight="false" outlineLevel="0" collapsed="false">
      <c r="A264" s="6" t="s">
        <v>4782</v>
      </c>
      <c r="B264" s="6" t="s">
        <v>102</v>
      </c>
      <c r="C264" s="6" t="s">
        <v>4870</v>
      </c>
      <c r="D264" s="6" t="s">
        <v>2843</v>
      </c>
      <c r="E264" s="6" t="s">
        <v>2843</v>
      </c>
      <c r="F264" s="6" t="s">
        <v>2844</v>
      </c>
      <c r="G264" s="6" t="s">
        <v>507</v>
      </c>
      <c r="H264" s="6" t="s">
        <v>287</v>
      </c>
      <c r="I264" s="6" t="s">
        <v>5617</v>
      </c>
      <c r="J264" s="6" t="s">
        <v>5365</v>
      </c>
      <c r="K264" s="6" t="s">
        <v>4790</v>
      </c>
      <c r="L264" s="2" t="s">
        <v>2847</v>
      </c>
      <c r="M264" s="2" t="s">
        <v>2846</v>
      </c>
      <c r="N264" s="9" t="s">
        <v>2848</v>
      </c>
      <c r="O264" s="6" t="s">
        <v>97</v>
      </c>
      <c r="P264" s="6" t="s">
        <v>106</v>
      </c>
      <c r="Q264" s="6" t="s">
        <v>5631</v>
      </c>
      <c r="R264" s="6" t="s">
        <v>5357</v>
      </c>
    </row>
    <row r="265" customFormat="false" ht="15" hidden="false" customHeight="false" outlineLevel="0" collapsed="false">
      <c r="A265" s="6" t="s">
        <v>4782</v>
      </c>
      <c r="B265" s="6" t="s">
        <v>102</v>
      </c>
      <c r="C265" s="6" t="s">
        <v>4870</v>
      </c>
      <c r="D265" s="6" t="s">
        <v>3343</v>
      </c>
      <c r="E265" s="6" t="s">
        <v>5632</v>
      </c>
      <c r="F265" s="6" t="s">
        <v>3343</v>
      </c>
      <c r="G265" s="6" t="s">
        <v>1583</v>
      </c>
      <c r="H265" s="6" t="s">
        <v>287</v>
      </c>
      <c r="I265" s="6" t="s">
        <v>4684</v>
      </c>
      <c r="J265" s="6" t="s">
        <v>5365</v>
      </c>
      <c r="K265" s="6" t="s">
        <v>4679</v>
      </c>
      <c r="L265" s="2" t="s">
        <v>5633</v>
      </c>
      <c r="M265" s="2"/>
      <c r="N265" s="9" t="s">
        <v>3347</v>
      </c>
      <c r="O265" s="6" t="s">
        <v>84</v>
      </c>
      <c r="P265" s="6" t="s">
        <v>106</v>
      </c>
      <c r="Q265" s="6" t="s">
        <v>5634</v>
      </c>
      <c r="R265" s="6" t="s">
        <v>5613</v>
      </c>
    </row>
    <row r="266" customFormat="false" ht="15" hidden="false" customHeight="false" outlineLevel="0" collapsed="false">
      <c r="A266" s="6" t="s">
        <v>4782</v>
      </c>
      <c r="B266" s="6" t="s">
        <v>102</v>
      </c>
      <c r="C266" s="6" t="s">
        <v>4870</v>
      </c>
      <c r="D266" s="6" t="s">
        <v>3374</v>
      </c>
      <c r="E266" s="6" t="s">
        <v>3375</v>
      </c>
      <c r="F266" s="6" t="s">
        <v>3374</v>
      </c>
      <c r="G266" s="6" t="s">
        <v>1583</v>
      </c>
      <c r="H266" s="6" t="s">
        <v>287</v>
      </c>
      <c r="I266" s="6" t="s">
        <v>5617</v>
      </c>
      <c r="J266" s="6" t="s">
        <v>5365</v>
      </c>
      <c r="K266" s="6" t="s">
        <v>4679</v>
      </c>
      <c r="L266" s="2" t="s">
        <v>5635</v>
      </c>
      <c r="M266" s="2"/>
      <c r="N266" s="9" t="s">
        <v>3378</v>
      </c>
      <c r="O266" s="6" t="s">
        <v>226</v>
      </c>
      <c r="P266" s="6" t="s">
        <v>106</v>
      </c>
      <c r="Q266" s="6" t="s">
        <v>5634</v>
      </c>
      <c r="R266" s="6" t="s">
        <v>5613</v>
      </c>
    </row>
    <row r="267" customFormat="false" ht="23.85" hidden="false" customHeight="false" outlineLevel="0" collapsed="false">
      <c r="A267" s="6" t="s">
        <v>4782</v>
      </c>
      <c r="B267" s="6" t="s">
        <v>102</v>
      </c>
      <c r="C267" s="6" t="s">
        <v>4870</v>
      </c>
      <c r="D267" s="6" t="s">
        <v>2520</v>
      </c>
      <c r="E267" s="6" t="s">
        <v>2520</v>
      </c>
      <c r="F267" s="6" t="s">
        <v>723</v>
      </c>
      <c r="G267" s="6" t="s">
        <v>626</v>
      </c>
      <c r="H267" s="6" t="s">
        <v>287</v>
      </c>
      <c r="I267" s="6" t="s">
        <v>4684</v>
      </c>
      <c r="J267" s="6" t="s">
        <v>281</v>
      </c>
      <c r="K267" s="6" t="s">
        <v>4675</v>
      </c>
      <c r="L267" s="2" t="s">
        <v>2523</v>
      </c>
      <c r="M267" s="2" t="s">
        <v>5636</v>
      </c>
      <c r="N267" s="9" t="s">
        <v>2524</v>
      </c>
      <c r="O267" s="6" t="s">
        <v>281</v>
      </c>
      <c r="P267" s="6" t="s">
        <v>85</v>
      </c>
      <c r="Q267" s="6" t="s">
        <v>5634</v>
      </c>
      <c r="R267" s="6" t="s">
        <v>5613</v>
      </c>
    </row>
    <row r="268" customFormat="false" ht="23.85" hidden="false" customHeight="false" outlineLevel="0" collapsed="false">
      <c r="A268" s="6" t="s">
        <v>4782</v>
      </c>
      <c r="B268" s="6" t="s">
        <v>102</v>
      </c>
      <c r="C268" s="6" t="s">
        <v>4870</v>
      </c>
      <c r="D268" s="6" t="s">
        <v>2585</v>
      </c>
      <c r="E268" s="6" t="s">
        <v>2585</v>
      </c>
      <c r="F268" s="6" t="s">
        <v>134</v>
      </c>
      <c r="G268" s="6" t="s">
        <v>182</v>
      </c>
      <c r="H268" s="6" t="s">
        <v>287</v>
      </c>
      <c r="I268" s="6" t="s">
        <v>4684</v>
      </c>
      <c r="J268" s="6" t="s">
        <v>5365</v>
      </c>
      <c r="K268" s="6" t="s">
        <v>4790</v>
      </c>
      <c r="L268" s="2" t="s">
        <v>2588</v>
      </c>
      <c r="M268" s="2" t="s">
        <v>2587</v>
      </c>
      <c r="N268" s="9" t="s">
        <v>2589</v>
      </c>
      <c r="O268" s="6" t="s">
        <v>504</v>
      </c>
      <c r="P268" s="6" t="s">
        <v>106</v>
      </c>
      <c r="Q268" s="6" t="s">
        <v>5634</v>
      </c>
      <c r="R268" s="6" t="s">
        <v>5613</v>
      </c>
    </row>
    <row r="269" customFormat="false" ht="15" hidden="false" customHeight="false" outlineLevel="0" collapsed="false">
      <c r="A269" s="6" t="s">
        <v>4782</v>
      </c>
      <c r="B269" s="6" t="s">
        <v>102</v>
      </c>
      <c r="C269" s="6" t="s">
        <v>4870</v>
      </c>
      <c r="D269" s="6" t="s">
        <v>4068</v>
      </c>
      <c r="E269" s="6" t="s">
        <v>4068</v>
      </c>
      <c r="F269" s="6" t="s">
        <v>4068</v>
      </c>
      <c r="G269" s="6" t="s">
        <v>1215</v>
      </c>
      <c r="H269" s="6" t="s">
        <v>1445</v>
      </c>
      <c r="I269" s="6" t="s">
        <v>4676</v>
      </c>
      <c r="J269" s="6" t="s">
        <v>4071</v>
      </c>
      <c r="K269" s="6" t="s">
        <v>4679</v>
      </c>
      <c r="L269" s="2" t="s">
        <v>4070</v>
      </c>
      <c r="M269" s="2"/>
      <c r="N269" s="9" t="s">
        <v>4072</v>
      </c>
      <c r="O269" s="6" t="s">
        <v>4071</v>
      </c>
      <c r="P269" s="6" t="s">
        <v>106</v>
      </c>
      <c r="Q269" s="6" t="s">
        <v>5634</v>
      </c>
      <c r="R269" s="6" t="s">
        <v>5613</v>
      </c>
    </row>
    <row r="270" customFormat="false" ht="35.05" hidden="false" customHeight="false" outlineLevel="0" collapsed="false">
      <c r="A270" s="6" t="s">
        <v>4782</v>
      </c>
      <c r="B270" s="6" t="s">
        <v>102</v>
      </c>
      <c r="C270" s="6" t="s">
        <v>4870</v>
      </c>
      <c r="D270" s="6" t="s">
        <v>3894</v>
      </c>
      <c r="E270" s="6" t="s">
        <v>3894</v>
      </c>
      <c r="F270" s="6" t="s">
        <v>3895</v>
      </c>
      <c r="G270" s="6" t="s">
        <v>1127</v>
      </c>
      <c r="H270" s="6" t="s">
        <v>1445</v>
      </c>
      <c r="I270" s="6" t="s">
        <v>4680</v>
      </c>
      <c r="J270" s="6" t="s">
        <v>178</v>
      </c>
      <c r="K270" s="6" t="s">
        <v>4675</v>
      </c>
      <c r="L270" s="2" t="s">
        <v>3899</v>
      </c>
      <c r="M270" s="2" t="s">
        <v>3898</v>
      </c>
      <c r="N270" s="9" t="s">
        <v>3900</v>
      </c>
      <c r="O270" s="6" t="s">
        <v>178</v>
      </c>
      <c r="P270" s="6" t="s">
        <v>85</v>
      </c>
      <c r="Q270" s="6" t="s">
        <v>4782</v>
      </c>
      <c r="R270" s="6" t="s">
        <v>5433</v>
      </c>
    </row>
    <row r="271" customFormat="false" ht="15" hidden="false" customHeight="false" outlineLevel="0" collapsed="false">
      <c r="A271" s="6" t="s">
        <v>4782</v>
      </c>
      <c r="B271" s="6" t="s">
        <v>102</v>
      </c>
      <c r="C271" s="6" t="s">
        <v>4870</v>
      </c>
      <c r="D271" s="6" t="s">
        <v>2999</v>
      </c>
      <c r="E271" s="6" t="s">
        <v>2999</v>
      </c>
      <c r="F271" s="6" t="s">
        <v>3001</v>
      </c>
      <c r="G271" s="6" t="s">
        <v>3000</v>
      </c>
      <c r="H271" s="6" t="s">
        <v>1445</v>
      </c>
      <c r="I271" s="6" t="s">
        <v>4676</v>
      </c>
      <c r="J271" s="6" t="s">
        <v>5365</v>
      </c>
      <c r="K271" s="6" t="s">
        <v>4679</v>
      </c>
      <c r="L271" s="2" t="s">
        <v>5637</v>
      </c>
      <c r="M271" s="2" t="s">
        <v>5638</v>
      </c>
      <c r="N271" s="9" t="s">
        <v>5639</v>
      </c>
      <c r="O271" s="6" t="s">
        <v>84</v>
      </c>
      <c r="P271" s="6" t="s">
        <v>106</v>
      </c>
      <c r="Q271" s="6" t="s">
        <v>5634</v>
      </c>
      <c r="R271" s="6" t="s">
        <v>5613</v>
      </c>
    </row>
    <row r="272" customFormat="false" ht="23.85" hidden="false" customHeight="false" outlineLevel="0" collapsed="false">
      <c r="A272" s="6" t="s">
        <v>4782</v>
      </c>
      <c r="B272" s="6" t="s">
        <v>102</v>
      </c>
      <c r="C272" s="6" t="s">
        <v>4870</v>
      </c>
      <c r="D272" s="6" t="s">
        <v>4429</v>
      </c>
      <c r="E272" s="6" t="s">
        <v>4429</v>
      </c>
      <c r="F272" s="6" t="s">
        <v>4202</v>
      </c>
      <c r="G272" s="6" t="s">
        <v>2312</v>
      </c>
      <c r="H272" s="6" t="s">
        <v>1445</v>
      </c>
      <c r="I272" s="6" t="s">
        <v>4680</v>
      </c>
      <c r="J272" s="6" t="s">
        <v>226</v>
      </c>
      <c r="K272" s="6" t="s">
        <v>4790</v>
      </c>
      <c r="L272" s="2" t="s">
        <v>4431</v>
      </c>
      <c r="M272" s="2"/>
      <c r="N272" s="9" t="s">
        <v>4432</v>
      </c>
      <c r="O272" s="6" t="s">
        <v>226</v>
      </c>
      <c r="P272" s="6" t="s">
        <v>85</v>
      </c>
      <c r="Q272" s="6" t="s">
        <v>5634</v>
      </c>
      <c r="R272" s="6" t="s">
        <v>5613</v>
      </c>
    </row>
    <row r="273" customFormat="false" ht="15" hidden="false" customHeight="false" outlineLevel="0" collapsed="false">
      <c r="A273" s="6" t="s">
        <v>4782</v>
      </c>
      <c r="B273" s="6" t="s">
        <v>102</v>
      </c>
      <c r="C273" s="6" t="s">
        <v>4870</v>
      </c>
      <c r="D273" s="6" t="s">
        <v>3099</v>
      </c>
      <c r="E273" s="6" t="s">
        <v>5640</v>
      </c>
      <c r="F273" s="6" t="s">
        <v>3099</v>
      </c>
      <c r="G273" s="6" t="s">
        <v>507</v>
      </c>
      <c r="H273" s="6" t="s">
        <v>1445</v>
      </c>
      <c r="I273" s="6" t="s">
        <v>4684</v>
      </c>
      <c r="J273" s="6" t="s">
        <v>5365</v>
      </c>
      <c r="K273" s="6" t="s">
        <v>4679</v>
      </c>
      <c r="L273" s="2" t="s">
        <v>5641</v>
      </c>
      <c r="M273" s="2"/>
      <c r="N273" s="9" t="s">
        <v>4004</v>
      </c>
      <c r="O273" s="6" t="s">
        <v>411</v>
      </c>
      <c r="P273" s="6" t="s">
        <v>106</v>
      </c>
      <c r="Q273" s="6" t="s">
        <v>5634</v>
      </c>
      <c r="R273" s="6" t="s">
        <v>5613</v>
      </c>
    </row>
    <row r="274" customFormat="false" ht="15" hidden="false" customHeight="false" outlineLevel="0" collapsed="false">
      <c r="A274" s="6" t="s">
        <v>4782</v>
      </c>
      <c r="B274" s="6" t="s">
        <v>102</v>
      </c>
      <c r="C274" s="6" t="s">
        <v>4870</v>
      </c>
      <c r="D274" s="6" t="s">
        <v>3131</v>
      </c>
      <c r="E274" s="6" t="s">
        <v>3131</v>
      </c>
      <c r="F274" s="6" t="s">
        <v>3132</v>
      </c>
      <c r="G274" s="6" t="s">
        <v>153</v>
      </c>
      <c r="H274" s="6" t="s">
        <v>1445</v>
      </c>
      <c r="I274" s="6" t="s">
        <v>4684</v>
      </c>
      <c r="J274" s="6" t="s">
        <v>5365</v>
      </c>
      <c r="K274" s="6" t="s">
        <v>4679</v>
      </c>
      <c r="L274" s="2" t="s">
        <v>3135</v>
      </c>
      <c r="M274" s="2" t="s">
        <v>3134</v>
      </c>
      <c r="N274" s="9" t="s">
        <v>3136</v>
      </c>
      <c r="O274" s="6" t="s">
        <v>411</v>
      </c>
      <c r="P274" s="6" t="s">
        <v>106</v>
      </c>
      <c r="Q274" s="6" t="s">
        <v>5634</v>
      </c>
      <c r="R274" s="6" t="s">
        <v>5613</v>
      </c>
    </row>
    <row r="275" customFormat="false" ht="23.85" hidden="false" customHeight="false" outlineLevel="0" collapsed="false">
      <c r="A275" s="6" t="s">
        <v>4757</v>
      </c>
      <c r="B275" s="6" t="s">
        <v>102</v>
      </c>
      <c r="C275" s="6" t="s">
        <v>4697</v>
      </c>
      <c r="D275" s="6" t="s">
        <v>152</v>
      </c>
      <c r="E275" s="6" t="s">
        <v>152</v>
      </c>
      <c r="F275" s="6" t="s">
        <v>154</v>
      </c>
      <c r="G275" s="6" t="s">
        <v>153</v>
      </c>
      <c r="H275" s="6" t="s">
        <v>77</v>
      </c>
      <c r="I275" s="6" t="s">
        <v>4697</v>
      </c>
      <c r="J275" s="6" t="s">
        <v>5366</v>
      </c>
      <c r="K275" s="6" t="s">
        <v>4790</v>
      </c>
      <c r="L275" s="2" t="s">
        <v>4820</v>
      </c>
      <c r="M275" s="2" t="s">
        <v>4819</v>
      </c>
      <c r="N275" s="9" t="s">
        <v>161</v>
      </c>
      <c r="O275" s="6" t="s">
        <v>123</v>
      </c>
      <c r="P275" s="6" t="s">
        <v>85</v>
      </c>
      <c r="Q275" s="6" t="s">
        <v>5642</v>
      </c>
      <c r="R275" s="6" t="s">
        <v>5433</v>
      </c>
    </row>
    <row r="276" customFormat="false" ht="15" hidden="false" customHeight="false" outlineLevel="0" collapsed="false">
      <c r="A276" s="6" t="s">
        <v>4757</v>
      </c>
      <c r="B276" s="6" t="s">
        <v>102</v>
      </c>
      <c r="C276" s="6" t="s">
        <v>4697</v>
      </c>
      <c r="D276" s="6" t="s">
        <v>3441</v>
      </c>
      <c r="E276" s="6" t="s">
        <v>3441</v>
      </c>
      <c r="F276" s="6" t="s">
        <v>3442</v>
      </c>
      <c r="G276" s="6" t="s">
        <v>1583</v>
      </c>
      <c r="H276" s="6" t="s">
        <v>287</v>
      </c>
      <c r="I276" s="6" t="s">
        <v>4697</v>
      </c>
      <c r="J276" s="6" t="s">
        <v>5365</v>
      </c>
      <c r="K276" s="6" t="s">
        <v>4726</v>
      </c>
      <c r="L276" s="2" t="s">
        <v>4774</v>
      </c>
      <c r="M276" s="2" t="s">
        <v>4773</v>
      </c>
      <c r="N276" s="9" t="s">
        <v>3447</v>
      </c>
      <c r="O276" s="6" t="s">
        <v>178</v>
      </c>
      <c r="P276" s="6" t="s">
        <v>85</v>
      </c>
      <c r="Q276" s="6" t="s">
        <v>5643</v>
      </c>
      <c r="R276" s="6" t="s">
        <v>5433</v>
      </c>
    </row>
    <row r="277" customFormat="false" ht="23.85" hidden="false" customHeight="false" outlineLevel="0" collapsed="false">
      <c r="A277" s="6" t="s">
        <v>4757</v>
      </c>
      <c r="B277" s="6" t="s">
        <v>102</v>
      </c>
      <c r="C277" s="6" t="s">
        <v>4697</v>
      </c>
      <c r="D277" s="6" t="s">
        <v>3875</v>
      </c>
      <c r="E277" s="6" t="s">
        <v>3875</v>
      </c>
      <c r="F277" s="6" t="s">
        <v>3876</v>
      </c>
      <c r="G277" s="6" t="s">
        <v>507</v>
      </c>
      <c r="H277" s="6" t="s">
        <v>1445</v>
      </c>
      <c r="I277" s="6" t="s">
        <v>4697</v>
      </c>
      <c r="J277" s="6" t="s">
        <v>130</v>
      </c>
      <c r="K277" s="6" t="s">
        <v>4675</v>
      </c>
      <c r="L277" s="2" t="s">
        <v>3879</v>
      </c>
      <c r="M277" s="2" t="s">
        <v>4756</v>
      </c>
      <c r="N277" s="9" t="s">
        <v>4758</v>
      </c>
      <c r="O277" s="6" t="s">
        <v>130</v>
      </c>
      <c r="P277" s="6" t="s">
        <v>85</v>
      </c>
      <c r="Q277" s="6" t="s">
        <v>4757</v>
      </c>
      <c r="R277" s="6" t="s">
        <v>5433</v>
      </c>
    </row>
    <row r="278" customFormat="false" ht="23.85" hidden="false" customHeight="false" outlineLevel="0" collapsed="false">
      <c r="A278" s="6" t="s">
        <v>4719</v>
      </c>
      <c r="B278" s="6" t="s">
        <v>102</v>
      </c>
      <c r="C278" s="6" t="s">
        <v>4848</v>
      </c>
      <c r="D278" s="6" t="s">
        <v>99</v>
      </c>
      <c r="E278" s="6" t="s">
        <v>99</v>
      </c>
      <c r="F278" s="6" t="s">
        <v>100</v>
      </c>
      <c r="G278" s="6" t="s">
        <v>90</v>
      </c>
      <c r="H278" s="6" t="s">
        <v>77</v>
      </c>
      <c r="I278" s="6" t="s">
        <v>4684</v>
      </c>
      <c r="J278" s="6" t="s">
        <v>5365</v>
      </c>
      <c r="K278" s="6" t="s">
        <v>4790</v>
      </c>
      <c r="L278" s="2" t="s">
        <v>105</v>
      </c>
      <c r="M278" s="2" t="s">
        <v>5644</v>
      </c>
      <c r="N278" s="9" t="s">
        <v>107</v>
      </c>
      <c r="O278" s="6" t="s">
        <v>256</v>
      </c>
      <c r="P278" s="6" t="s">
        <v>106</v>
      </c>
      <c r="Q278" s="6" t="s">
        <v>4719</v>
      </c>
      <c r="R278" s="6" t="s">
        <v>5357</v>
      </c>
    </row>
    <row r="279" customFormat="false" ht="35.05" hidden="false" customHeight="false" outlineLevel="0" collapsed="false">
      <c r="A279" s="6" t="s">
        <v>4719</v>
      </c>
      <c r="B279" s="6" t="s">
        <v>102</v>
      </c>
      <c r="C279" s="6" t="s">
        <v>4848</v>
      </c>
      <c r="D279" s="6" t="s">
        <v>1918</v>
      </c>
      <c r="E279" s="6" t="s">
        <v>1918</v>
      </c>
      <c r="F279" s="6" t="s">
        <v>1919</v>
      </c>
      <c r="G279" s="6" t="s">
        <v>90</v>
      </c>
      <c r="H279" s="6" t="s">
        <v>287</v>
      </c>
      <c r="I279" s="6" t="s">
        <v>4684</v>
      </c>
      <c r="J279" s="6" t="s">
        <v>5477</v>
      </c>
      <c r="K279" s="6" t="s">
        <v>4790</v>
      </c>
      <c r="L279" s="2" t="s">
        <v>1924</v>
      </c>
      <c r="M279" s="2" t="s">
        <v>5645</v>
      </c>
      <c r="N279" s="9" t="s">
        <v>5646</v>
      </c>
      <c r="O279" s="6" t="s">
        <v>97</v>
      </c>
      <c r="P279" s="6" t="s">
        <v>85</v>
      </c>
      <c r="Q279" s="6" t="s">
        <v>4927</v>
      </c>
      <c r="R279" s="6" t="s">
        <v>5357</v>
      </c>
    </row>
    <row r="280" customFormat="false" ht="15" hidden="false" customHeight="false" outlineLevel="0" collapsed="false">
      <c r="A280" s="6" t="s">
        <v>4719</v>
      </c>
      <c r="B280" s="6" t="s">
        <v>102</v>
      </c>
      <c r="C280" s="6" t="s">
        <v>4848</v>
      </c>
      <c r="D280" s="6" t="s">
        <v>1918</v>
      </c>
      <c r="E280" s="6" t="s">
        <v>1918</v>
      </c>
      <c r="F280" s="6" t="s">
        <v>2169</v>
      </c>
      <c r="G280" s="6" t="s">
        <v>1085</v>
      </c>
      <c r="H280" s="6" t="s">
        <v>287</v>
      </c>
      <c r="I280" s="6" t="s">
        <v>4680</v>
      </c>
      <c r="J280" s="6" t="s">
        <v>2856</v>
      </c>
      <c r="K280" s="6" t="s">
        <v>4790</v>
      </c>
      <c r="L280" s="2" t="s">
        <v>5647</v>
      </c>
      <c r="M280" s="2" t="s">
        <v>5648</v>
      </c>
      <c r="N280" s="9" t="s">
        <v>5649</v>
      </c>
      <c r="O280" s="6" t="s">
        <v>2856</v>
      </c>
      <c r="P280" s="6" t="s">
        <v>106</v>
      </c>
      <c r="Q280" s="6" t="s">
        <v>4719</v>
      </c>
      <c r="R280" s="6" t="s">
        <v>5613</v>
      </c>
    </row>
    <row r="281" customFormat="false" ht="23.85" hidden="false" customHeight="false" outlineLevel="0" collapsed="false">
      <c r="A281" s="6" t="s">
        <v>4719</v>
      </c>
      <c r="B281" s="6" t="s">
        <v>102</v>
      </c>
      <c r="C281" s="6" t="s">
        <v>4848</v>
      </c>
      <c r="D281" s="6" t="s">
        <v>2293</v>
      </c>
      <c r="E281" s="6" t="s">
        <v>5650</v>
      </c>
      <c r="F281" s="6" t="s">
        <v>2293</v>
      </c>
      <c r="G281" s="6" t="s">
        <v>1215</v>
      </c>
      <c r="H281" s="6" t="s">
        <v>287</v>
      </c>
      <c r="I281" s="6" t="s">
        <v>4684</v>
      </c>
      <c r="J281" s="6" t="s">
        <v>5365</v>
      </c>
      <c r="K281" s="6" t="s">
        <v>4790</v>
      </c>
      <c r="L281" s="2" t="s">
        <v>5651</v>
      </c>
      <c r="M281" s="2" t="s">
        <v>5652</v>
      </c>
      <c r="N281" s="9" t="s">
        <v>2299</v>
      </c>
      <c r="O281" s="6" t="s">
        <v>504</v>
      </c>
      <c r="P281" s="6" t="s">
        <v>106</v>
      </c>
      <c r="Q281" s="6" t="s">
        <v>4719</v>
      </c>
      <c r="R281" s="6" t="s">
        <v>5613</v>
      </c>
    </row>
    <row r="282" customFormat="false" ht="23.85" hidden="false" customHeight="false" outlineLevel="0" collapsed="false">
      <c r="A282" s="6" t="s">
        <v>4719</v>
      </c>
      <c r="B282" s="6" t="s">
        <v>102</v>
      </c>
      <c r="C282" s="6" t="s">
        <v>4848</v>
      </c>
      <c r="D282" s="6" t="s">
        <v>1272</v>
      </c>
      <c r="E282" s="6" t="s">
        <v>1272</v>
      </c>
      <c r="F282" s="6" t="s">
        <v>1273</v>
      </c>
      <c r="G282" s="6" t="s">
        <v>118</v>
      </c>
      <c r="H282" s="6" t="s">
        <v>287</v>
      </c>
      <c r="I282" s="6" t="s">
        <v>4684</v>
      </c>
      <c r="J282" s="6" t="s">
        <v>84</v>
      </c>
      <c r="K282" s="6" t="s">
        <v>4679</v>
      </c>
      <c r="L282" s="2" t="s">
        <v>5653</v>
      </c>
      <c r="M282" s="2" t="s">
        <v>5654</v>
      </c>
      <c r="N282" s="9" t="s">
        <v>1279</v>
      </c>
      <c r="O282" s="6" t="s">
        <v>84</v>
      </c>
      <c r="P282" s="6" t="s">
        <v>106</v>
      </c>
      <c r="Q282" s="6" t="s">
        <v>4719</v>
      </c>
      <c r="R282" s="6" t="s">
        <v>5357</v>
      </c>
    </row>
    <row r="283" customFormat="false" ht="15" hidden="false" customHeight="false" outlineLevel="0" collapsed="false">
      <c r="A283" s="6" t="s">
        <v>4719</v>
      </c>
      <c r="B283" s="6" t="s">
        <v>102</v>
      </c>
      <c r="C283" s="6" t="s">
        <v>4848</v>
      </c>
      <c r="D283" s="6" t="s">
        <v>1976</v>
      </c>
      <c r="E283" s="6" t="s">
        <v>1976</v>
      </c>
      <c r="F283" s="6" t="s">
        <v>1977</v>
      </c>
      <c r="G283" s="6" t="s">
        <v>239</v>
      </c>
      <c r="H283" s="6" t="s">
        <v>287</v>
      </c>
      <c r="I283" s="6" t="s">
        <v>4684</v>
      </c>
      <c r="J283" s="6" t="s">
        <v>5365</v>
      </c>
      <c r="K283" s="6" t="s">
        <v>4790</v>
      </c>
      <c r="L283" s="2" t="s">
        <v>1978</v>
      </c>
      <c r="M283" s="2"/>
      <c r="N283" s="9" t="s">
        <v>1979</v>
      </c>
      <c r="O283" s="6" t="s">
        <v>440</v>
      </c>
      <c r="P283" s="6" t="s">
        <v>106</v>
      </c>
      <c r="Q283" s="6" t="s">
        <v>4719</v>
      </c>
      <c r="R283" s="6" t="s">
        <v>5613</v>
      </c>
    </row>
    <row r="284" customFormat="false" ht="15" hidden="false" customHeight="false" outlineLevel="0" collapsed="false">
      <c r="A284" s="6" t="s">
        <v>4719</v>
      </c>
      <c r="B284" s="6" t="s">
        <v>102</v>
      </c>
      <c r="C284" s="6" t="s">
        <v>4848</v>
      </c>
      <c r="D284" s="6" t="s">
        <v>3252</v>
      </c>
      <c r="E284" s="6" t="s">
        <v>5655</v>
      </c>
      <c r="F284" s="6" t="s">
        <v>3253</v>
      </c>
      <c r="G284" s="6" t="s">
        <v>1215</v>
      </c>
      <c r="H284" s="6" t="s">
        <v>287</v>
      </c>
      <c r="I284" s="6" t="s">
        <v>4684</v>
      </c>
      <c r="J284" s="6" t="s">
        <v>5365</v>
      </c>
      <c r="K284" s="6" t="s">
        <v>4790</v>
      </c>
      <c r="L284" s="2" t="s">
        <v>3256</v>
      </c>
      <c r="M284" s="2" t="s">
        <v>5656</v>
      </c>
      <c r="N284" s="9" t="s">
        <v>3258</v>
      </c>
      <c r="O284" s="6" t="s">
        <v>256</v>
      </c>
      <c r="P284" s="6" t="s">
        <v>106</v>
      </c>
      <c r="Q284" s="6" t="s">
        <v>4719</v>
      </c>
      <c r="R284" s="6" t="s">
        <v>5613</v>
      </c>
    </row>
    <row r="285" customFormat="false" ht="23.85" hidden="false" customHeight="false" outlineLevel="0" collapsed="false">
      <c r="A285" s="6" t="s">
        <v>4719</v>
      </c>
      <c r="B285" s="6" t="s">
        <v>102</v>
      </c>
      <c r="C285" s="6" t="s">
        <v>4848</v>
      </c>
      <c r="D285" s="6" t="s">
        <v>1227</v>
      </c>
      <c r="E285" s="6" t="s">
        <v>1227</v>
      </c>
      <c r="F285" s="6" t="s">
        <v>1228</v>
      </c>
      <c r="G285" s="6" t="s">
        <v>182</v>
      </c>
      <c r="H285" s="6" t="s">
        <v>287</v>
      </c>
      <c r="I285" s="6" t="s">
        <v>4684</v>
      </c>
      <c r="J285" s="6" t="s">
        <v>5365</v>
      </c>
      <c r="K285" s="6" t="s">
        <v>4790</v>
      </c>
      <c r="L285" s="2" t="s">
        <v>1231</v>
      </c>
      <c r="M285" s="2" t="s">
        <v>1230</v>
      </c>
      <c r="N285" s="9" t="s">
        <v>1232</v>
      </c>
      <c r="O285" s="6" t="s">
        <v>130</v>
      </c>
      <c r="P285" s="6" t="s">
        <v>106</v>
      </c>
      <c r="Q285" s="6" t="s">
        <v>4719</v>
      </c>
      <c r="R285" s="6" t="s">
        <v>5613</v>
      </c>
    </row>
    <row r="286" customFormat="false" ht="23.85" hidden="false" customHeight="false" outlineLevel="0" collapsed="false">
      <c r="A286" s="6" t="s">
        <v>4719</v>
      </c>
      <c r="B286" s="6" t="s">
        <v>102</v>
      </c>
      <c r="C286" s="6" t="s">
        <v>4848</v>
      </c>
      <c r="D286" s="6" t="s">
        <v>1845</v>
      </c>
      <c r="E286" s="6" t="s">
        <v>5657</v>
      </c>
      <c r="F286" s="6" t="s">
        <v>701</v>
      </c>
      <c r="G286" s="6" t="s">
        <v>153</v>
      </c>
      <c r="H286" s="6" t="s">
        <v>287</v>
      </c>
      <c r="I286" s="6" t="s">
        <v>4684</v>
      </c>
      <c r="J286" s="6" t="s">
        <v>5365</v>
      </c>
      <c r="K286" s="6" t="s">
        <v>4790</v>
      </c>
      <c r="L286" s="2" t="s">
        <v>1847</v>
      </c>
      <c r="M286" s="2" t="s">
        <v>5658</v>
      </c>
      <c r="N286" s="9" t="s">
        <v>1848</v>
      </c>
      <c r="O286" s="6" t="s">
        <v>130</v>
      </c>
      <c r="P286" s="6" t="s">
        <v>106</v>
      </c>
      <c r="Q286" s="6" t="s">
        <v>4719</v>
      </c>
      <c r="R286" s="6" t="s">
        <v>5613</v>
      </c>
    </row>
    <row r="287" customFormat="false" ht="23.85" hidden="false" customHeight="false" outlineLevel="0" collapsed="false">
      <c r="A287" s="6" t="s">
        <v>4719</v>
      </c>
      <c r="B287" s="6" t="s">
        <v>102</v>
      </c>
      <c r="C287" s="6" t="s">
        <v>4848</v>
      </c>
      <c r="D287" s="6" t="s">
        <v>405</v>
      </c>
      <c r="E287" s="6" t="s">
        <v>405</v>
      </c>
      <c r="F287" s="6" t="s">
        <v>406</v>
      </c>
      <c r="G287" s="6" t="s">
        <v>239</v>
      </c>
      <c r="H287" s="6" t="s">
        <v>287</v>
      </c>
      <c r="I287" s="6" t="s">
        <v>4684</v>
      </c>
      <c r="J287" s="6" t="s">
        <v>5365</v>
      </c>
      <c r="K287" s="6" t="s">
        <v>4790</v>
      </c>
      <c r="L287" s="2" t="s">
        <v>410</v>
      </c>
      <c r="M287" s="2" t="s">
        <v>5659</v>
      </c>
      <c r="N287" s="9" t="s">
        <v>5660</v>
      </c>
      <c r="O287" s="6" t="s">
        <v>411</v>
      </c>
      <c r="P287" s="6" t="s">
        <v>106</v>
      </c>
      <c r="Q287" s="6" t="s">
        <v>4719</v>
      </c>
      <c r="R287" s="6" t="s">
        <v>5613</v>
      </c>
    </row>
    <row r="288" customFormat="false" ht="23.85" hidden="false" customHeight="false" outlineLevel="0" collapsed="false">
      <c r="A288" s="6" t="s">
        <v>4719</v>
      </c>
      <c r="B288" s="6" t="s">
        <v>102</v>
      </c>
      <c r="C288" s="6" t="s">
        <v>4848</v>
      </c>
      <c r="D288" s="6" t="s">
        <v>420</v>
      </c>
      <c r="E288" s="6" t="s">
        <v>420</v>
      </c>
      <c r="F288" s="6" t="s">
        <v>3001</v>
      </c>
      <c r="G288" s="6" t="s">
        <v>239</v>
      </c>
      <c r="H288" s="6" t="s">
        <v>287</v>
      </c>
      <c r="I288" s="6" t="s">
        <v>4684</v>
      </c>
      <c r="J288" s="6" t="s">
        <v>5365</v>
      </c>
      <c r="K288" s="6" t="s">
        <v>4790</v>
      </c>
      <c r="L288" s="2" t="s">
        <v>5661</v>
      </c>
      <c r="M288" s="2" t="s">
        <v>5662</v>
      </c>
      <c r="N288" s="9" t="s">
        <v>1848</v>
      </c>
      <c r="O288" s="6" t="s">
        <v>130</v>
      </c>
      <c r="P288" s="6" t="s">
        <v>106</v>
      </c>
      <c r="Q288" s="6" t="s">
        <v>4719</v>
      </c>
      <c r="R288" s="6" t="s">
        <v>5613</v>
      </c>
    </row>
    <row r="289" customFormat="false" ht="15" hidden="false" customHeight="false" outlineLevel="0" collapsed="false">
      <c r="A289" s="6" t="s">
        <v>4719</v>
      </c>
      <c r="B289" s="6" t="s">
        <v>102</v>
      </c>
      <c r="C289" s="6" t="s">
        <v>4848</v>
      </c>
      <c r="D289" s="6" t="s">
        <v>3437</v>
      </c>
      <c r="E289" s="6" t="s">
        <v>3437</v>
      </c>
      <c r="F289" s="6" t="s">
        <v>3437</v>
      </c>
      <c r="G289" s="6" t="s">
        <v>1215</v>
      </c>
      <c r="H289" s="6" t="s">
        <v>287</v>
      </c>
      <c r="I289" s="6" t="s">
        <v>4684</v>
      </c>
      <c r="J289" s="6" t="s">
        <v>411</v>
      </c>
      <c r="K289" s="6" t="s">
        <v>4679</v>
      </c>
      <c r="L289" s="2" t="s">
        <v>3439</v>
      </c>
      <c r="M289" s="2"/>
      <c r="N289" s="9" t="s">
        <v>3440</v>
      </c>
      <c r="O289" s="6" t="s">
        <v>411</v>
      </c>
      <c r="P289" s="6" t="s">
        <v>106</v>
      </c>
      <c r="Q289" s="6" t="s">
        <v>4719</v>
      </c>
      <c r="R289" s="6" t="s">
        <v>5613</v>
      </c>
    </row>
    <row r="290" customFormat="false" ht="35.05" hidden="false" customHeight="false" outlineLevel="0" collapsed="false">
      <c r="A290" s="6" t="s">
        <v>4719</v>
      </c>
      <c r="B290" s="6" t="s">
        <v>102</v>
      </c>
      <c r="C290" s="6" t="s">
        <v>4848</v>
      </c>
      <c r="D290" s="6" t="s">
        <v>4024</v>
      </c>
      <c r="E290" s="6" t="s">
        <v>4024</v>
      </c>
      <c r="F290" s="6" t="s">
        <v>4025</v>
      </c>
      <c r="G290" s="6" t="s">
        <v>1598</v>
      </c>
      <c r="H290" s="6" t="s">
        <v>1445</v>
      </c>
      <c r="I290" s="6" t="s">
        <v>4680</v>
      </c>
      <c r="J290" s="6" t="s">
        <v>160</v>
      </c>
      <c r="K290" s="6" t="s">
        <v>4675</v>
      </c>
      <c r="L290" s="2" t="s">
        <v>4028</v>
      </c>
      <c r="M290" s="2" t="s">
        <v>4027</v>
      </c>
      <c r="N290" s="9" t="s">
        <v>4029</v>
      </c>
      <c r="O290" s="6" t="s">
        <v>160</v>
      </c>
      <c r="P290" s="6" t="s">
        <v>85</v>
      </c>
      <c r="Q290" s="6" t="s">
        <v>4719</v>
      </c>
      <c r="R290" s="6" t="s">
        <v>5433</v>
      </c>
    </row>
    <row r="291" customFormat="false" ht="15" hidden="false" customHeight="false" outlineLevel="0" collapsed="false">
      <c r="A291" s="6" t="s">
        <v>4719</v>
      </c>
      <c r="B291" s="6" t="s">
        <v>102</v>
      </c>
      <c r="C291" s="6" t="s">
        <v>4848</v>
      </c>
      <c r="D291" s="6" t="s">
        <v>4053</v>
      </c>
      <c r="E291" s="6" t="s">
        <v>4053</v>
      </c>
      <c r="F291" s="6" t="s">
        <v>4054</v>
      </c>
      <c r="G291" s="6" t="s">
        <v>1215</v>
      </c>
      <c r="H291" s="6" t="s">
        <v>1445</v>
      </c>
      <c r="I291" s="6" t="s">
        <v>4684</v>
      </c>
      <c r="J291" s="6" t="s">
        <v>5365</v>
      </c>
      <c r="K291" s="6" t="s">
        <v>4679</v>
      </c>
      <c r="L291" s="2" t="s">
        <v>4055</v>
      </c>
      <c r="M291" s="2"/>
      <c r="N291" s="9" t="s">
        <v>4056</v>
      </c>
      <c r="O291" s="6" t="s">
        <v>1455</v>
      </c>
      <c r="P291" s="6" t="s">
        <v>106</v>
      </c>
      <c r="Q291" s="6" t="s">
        <v>4719</v>
      </c>
      <c r="R291" s="6" t="s">
        <v>5613</v>
      </c>
    </row>
    <row r="292" customFormat="false" ht="15" hidden="false" customHeight="false" outlineLevel="0" collapsed="false">
      <c r="A292" s="6" t="s">
        <v>4719</v>
      </c>
      <c r="B292" s="6" t="s">
        <v>102</v>
      </c>
      <c r="C292" s="6" t="s">
        <v>4848</v>
      </c>
      <c r="D292" s="6" t="s">
        <v>3828</v>
      </c>
      <c r="E292" s="6" t="s">
        <v>3828</v>
      </c>
      <c r="F292" s="6" t="s">
        <v>3823</v>
      </c>
      <c r="G292" s="6" t="s">
        <v>1598</v>
      </c>
      <c r="H292" s="6" t="s">
        <v>1445</v>
      </c>
      <c r="I292" s="6" t="s">
        <v>4684</v>
      </c>
      <c r="J292" s="6" t="s">
        <v>5365</v>
      </c>
      <c r="K292" s="6" t="s">
        <v>4790</v>
      </c>
      <c r="L292" s="2" t="s">
        <v>3830</v>
      </c>
      <c r="M292" s="2" t="s">
        <v>3829</v>
      </c>
      <c r="N292" s="9" t="s">
        <v>3831</v>
      </c>
      <c r="O292" s="6" t="s">
        <v>440</v>
      </c>
      <c r="P292" s="6" t="s">
        <v>106</v>
      </c>
      <c r="Q292" s="6" t="s">
        <v>4719</v>
      </c>
      <c r="R292" s="6" t="s">
        <v>5613</v>
      </c>
    </row>
    <row r="293" customFormat="false" ht="15" hidden="false" customHeight="false" outlineLevel="0" collapsed="false">
      <c r="A293" s="6" t="s">
        <v>4719</v>
      </c>
      <c r="B293" s="6" t="s">
        <v>102</v>
      </c>
      <c r="C293" s="6" t="s">
        <v>4848</v>
      </c>
      <c r="D293" s="6" t="s">
        <v>4082</v>
      </c>
      <c r="E293" s="6" t="s">
        <v>4082</v>
      </c>
      <c r="F293" s="6" t="s">
        <v>3863</v>
      </c>
      <c r="G293" s="6" t="s">
        <v>1598</v>
      </c>
      <c r="H293" s="6" t="s">
        <v>1445</v>
      </c>
      <c r="I293" s="6" t="s">
        <v>4684</v>
      </c>
      <c r="J293" s="6" t="s">
        <v>5365</v>
      </c>
      <c r="K293" s="6" t="s">
        <v>4679</v>
      </c>
      <c r="L293" s="2" t="s">
        <v>4083</v>
      </c>
      <c r="M293" s="2"/>
      <c r="N293" s="9" t="s">
        <v>4084</v>
      </c>
      <c r="O293" s="6" t="s">
        <v>655</v>
      </c>
      <c r="P293" s="6" t="s">
        <v>106</v>
      </c>
      <c r="Q293" s="6" t="s">
        <v>4719</v>
      </c>
      <c r="R293" s="6" t="s">
        <v>5613</v>
      </c>
    </row>
    <row r="294" customFormat="false" ht="15" hidden="false" customHeight="false" outlineLevel="0" collapsed="false">
      <c r="A294" s="6" t="s">
        <v>4719</v>
      </c>
      <c r="B294" s="6" t="s">
        <v>102</v>
      </c>
      <c r="C294" s="6" t="s">
        <v>4848</v>
      </c>
      <c r="D294" s="6" t="s">
        <v>3832</v>
      </c>
      <c r="E294" s="6" t="s">
        <v>5430</v>
      </c>
      <c r="F294" s="6" t="s">
        <v>3832</v>
      </c>
      <c r="G294" s="6" t="s">
        <v>1598</v>
      </c>
      <c r="H294" s="6" t="s">
        <v>1445</v>
      </c>
      <c r="I294" s="6" t="s">
        <v>4684</v>
      </c>
      <c r="J294" s="6" t="s">
        <v>5365</v>
      </c>
      <c r="K294" s="6" t="s">
        <v>4790</v>
      </c>
      <c r="L294" s="2" t="s">
        <v>5663</v>
      </c>
      <c r="M294" s="2" t="s">
        <v>4384</v>
      </c>
      <c r="N294" s="9" t="s">
        <v>672</v>
      </c>
      <c r="O294" s="6" t="s">
        <v>389</v>
      </c>
      <c r="P294" s="6" t="s">
        <v>106</v>
      </c>
      <c r="Q294" s="6" t="s">
        <v>4719</v>
      </c>
      <c r="R294" s="6" t="s">
        <v>5613</v>
      </c>
    </row>
    <row r="295" customFormat="false" ht="23.85" hidden="false" customHeight="false" outlineLevel="0" collapsed="false">
      <c r="A295" s="6" t="s">
        <v>4719</v>
      </c>
      <c r="B295" s="6" t="s">
        <v>102</v>
      </c>
      <c r="C295" s="6" t="s">
        <v>4848</v>
      </c>
      <c r="D295" s="6" t="s">
        <v>3524</v>
      </c>
      <c r="E295" s="6" t="s">
        <v>3524</v>
      </c>
      <c r="F295" s="6" t="s">
        <v>3525</v>
      </c>
      <c r="G295" s="6" t="s">
        <v>1598</v>
      </c>
      <c r="H295" s="6" t="s">
        <v>1445</v>
      </c>
      <c r="I295" s="6" t="s">
        <v>4684</v>
      </c>
      <c r="J295" s="6" t="s">
        <v>5365</v>
      </c>
      <c r="K295" s="6" t="s">
        <v>4726</v>
      </c>
      <c r="L295" s="2" t="s">
        <v>5664</v>
      </c>
      <c r="M295" s="2" t="s">
        <v>5665</v>
      </c>
      <c r="N295" s="9" t="s">
        <v>3529</v>
      </c>
      <c r="O295" s="6" t="s">
        <v>383</v>
      </c>
      <c r="P295" s="6" t="s">
        <v>106</v>
      </c>
      <c r="Q295" s="6" t="s">
        <v>4719</v>
      </c>
      <c r="R295" s="6" t="s">
        <v>5613</v>
      </c>
    </row>
    <row r="296" customFormat="false" ht="23.85" hidden="false" customHeight="false" outlineLevel="0" collapsed="false">
      <c r="A296" s="6" t="s">
        <v>4719</v>
      </c>
      <c r="B296" s="6" t="s">
        <v>102</v>
      </c>
      <c r="C296" s="6" t="s">
        <v>4848</v>
      </c>
      <c r="D296" s="6" t="s">
        <v>4121</v>
      </c>
      <c r="E296" s="6" t="s">
        <v>4121</v>
      </c>
      <c r="F296" s="6" t="s">
        <v>3793</v>
      </c>
      <c r="G296" s="6" t="s">
        <v>1598</v>
      </c>
      <c r="H296" s="6" t="s">
        <v>1445</v>
      </c>
      <c r="I296" s="6" t="s">
        <v>4684</v>
      </c>
      <c r="J296" s="6" t="s">
        <v>5365</v>
      </c>
      <c r="K296" s="6" t="s">
        <v>4790</v>
      </c>
      <c r="L296" s="2" t="s">
        <v>4122</v>
      </c>
      <c r="M296" s="2"/>
      <c r="N296" s="9" t="s">
        <v>4123</v>
      </c>
      <c r="O296" s="6" t="s">
        <v>150</v>
      </c>
      <c r="P296" s="6" t="s">
        <v>106</v>
      </c>
      <c r="Q296" s="6" t="s">
        <v>4719</v>
      </c>
      <c r="R296" s="6" t="s">
        <v>5613</v>
      </c>
    </row>
    <row r="297" customFormat="false" ht="15" hidden="false" customHeight="false" outlineLevel="0" collapsed="false">
      <c r="A297" s="6" t="s">
        <v>4719</v>
      </c>
      <c r="B297" s="6" t="s">
        <v>102</v>
      </c>
      <c r="C297" s="6" t="s">
        <v>4848</v>
      </c>
      <c r="D297" s="6" t="s">
        <v>3908</v>
      </c>
      <c r="E297" s="6" t="s">
        <v>3908</v>
      </c>
      <c r="F297" s="6" t="s">
        <v>3909</v>
      </c>
      <c r="G297" s="6" t="s">
        <v>507</v>
      </c>
      <c r="H297" s="6" t="s">
        <v>1445</v>
      </c>
      <c r="I297" s="6" t="s">
        <v>4684</v>
      </c>
      <c r="J297" s="6" t="s">
        <v>5365</v>
      </c>
      <c r="K297" s="6" t="s">
        <v>4790</v>
      </c>
      <c r="L297" s="2" t="s">
        <v>3910</v>
      </c>
      <c r="M297" s="2"/>
      <c r="N297" s="9" t="s">
        <v>1979</v>
      </c>
      <c r="O297" s="6" t="s">
        <v>440</v>
      </c>
      <c r="P297" s="6" t="s">
        <v>106</v>
      </c>
      <c r="Q297" s="6" t="s">
        <v>4719</v>
      </c>
      <c r="R297" s="6" t="s">
        <v>5613</v>
      </c>
    </row>
    <row r="298" customFormat="false" ht="23.85" hidden="false" customHeight="false" outlineLevel="0" collapsed="false">
      <c r="A298" s="6" t="s">
        <v>4719</v>
      </c>
      <c r="B298" s="6" t="s">
        <v>102</v>
      </c>
      <c r="C298" s="6" t="s">
        <v>4848</v>
      </c>
      <c r="D298" s="6" t="s">
        <v>2999</v>
      </c>
      <c r="E298" s="6" t="s">
        <v>5666</v>
      </c>
      <c r="F298" s="6" t="s">
        <v>3001</v>
      </c>
      <c r="G298" s="6" t="s">
        <v>3000</v>
      </c>
      <c r="H298" s="6" t="s">
        <v>1445</v>
      </c>
      <c r="I298" s="6" t="s">
        <v>4684</v>
      </c>
      <c r="J298" s="6" t="s">
        <v>5365</v>
      </c>
      <c r="K298" s="6" t="s">
        <v>4790</v>
      </c>
      <c r="L298" s="2" t="s">
        <v>5667</v>
      </c>
      <c r="M298" s="2" t="s">
        <v>5668</v>
      </c>
      <c r="N298" s="9" t="s">
        <v>5669</v>
      </c>
      <c r="O298" s="6" t="s">
        <v>97</v>
      </c>
      <c r="P298" s="6" t="s">
        <v>106</v>
      </c>
      <c r="Q298" s="6" t="s">
        <v>4719</v>
      </c>
      <c r="R298" s="6" t="s">
        <v>5613</v>
      </c>
    </row>
    <row r="299" customFormat="false" ht="23.85" hidden="false" customHeight="false" outlineLevel="0" collapsed="false">
      <c r="A299" s="6" t="s">
        <v>4719</v>
      </c>
      <c r="B299" s="6" t="s">
        <v>102</v>
      </c>
      <c r="C299" s="6" t="s">
        <v>4848</v>
      </c>
      <c r="D299" s="6" t="s">
        <v>3669</v>
      </c>
      <c r="E299" s="6" t="s">
        <v>3669</v>
      </c>
      <c r="F299" s="6" t="s">
        <v>1824</v>
      </c>
      <c r="G299" s="6" t="s">
        <v>153</v>
      </c>
      <c r="H299" s="6" t="s">
        <v>1445</v>
      </c>
      <c r="I299" s="6" t="s">
        <v>4684</v>
      </c>
      <c r="J299" s="6" t="s">
        <v>5365</v>
      </c>
      <c r="K299" s="6" t="s">
        <v>4790</v>
      </c>
      <c r="L299" s="2" t="s">
        <v>3671</v>
      </c>
      <c r="M299" s="2" t="s">
        <v>3670</v>
      </c>
      <c r="N299" s="9" t="s">
        <v>3672</v>
      </c>
      <c r="O299" s="6" t="s">
        <v>256</v>
      </c>
      <c r="P299" s="6" t="s">
        <v>106</v>
      </c>
      <c r="Q299" s="6" t="s">
        <v>4719</v>
      </c>
      <c r="R299" s="6" t="s">
        <v>5613</v>
      </c>
    </row>
    <row r="300" customFormat="false" ht="23.85" hidden="false" customHeight="false" outlineLevel="0" collapsed="false">
      <c r="A300" s="6" t="s">
        <v>4719</v>
      </c>
      <c r="B300" s="6" t="s">
        <v>102</v>
      </c>
      <c r="C300" s="6" t="s">
        <v>4848</v>
      </c>
      <c r="D300" s="6" t="s">
        <v>3561</v>
      </c>
      <c r="E300" s="6" t="s">
        <v>3561</v>
      </c>
      <c r="F300" s="6" t="s">
        <v>3562</v>
      </c>
      <c r="G300" s="6" t="s">
        <v>1598</v>
      </c>
      <c r="H300" s="6" t="s">
        <v>1445</v>
      </c>
      <c r="I300" s="6" t="s">
        <v>4684</v>
      </c>
      <c r="J300" s="6" t="s">
        <v>5365</v>
      </c>
      <c r="K300" s="6" t="s">
        <v>4790</v>
      </c>
      <c r="L300" s="2" t="s">
        <v>5670</v>
      </c>
      <c r="M300" s="2" t="s">
        <v>5671</v>
      </c>
      <c r="N300" s="9" t="s">
        <v>1848</v>
      </c>
      <c r="O300" s="6" t="s">
        <v>130</v>
      </c>
      <c r="P300" s="6" t="s">
        <v>85</v>
      </c>
      <c r="Q300" s="6" t="s">
        <v>4719</v>
      </c>
      <c r="R300" s="6" t="s">
        <v>5613</v>
      </c>
    </row>
    <row r="301" customFormat="false" ht="23.85" hidden="false" customHeight="false" outlineLevel="0" collapsed="false">
      <c r="A301" s="6" t="s">
        <v>4719</v>
      </c>
      <c r="B301" s="6" t="s">
        <v>102</v>
      </c>
      <c r="C301" s="6" t="s">
        <v>4848</v>
      </c>
      <c r="D301" s="6" t="s">
        <v>2653</v>
      </c>
      <c r="E301" s="6" t="s">
        <v>2653</v>
      </c>
      <c r="F301" s="6" t="s">
        <v>2654</v>
      </c>
      <c r="G301" s="6" t="s">
        <v>1127</v>
      </c>
      <c r="H301" s="6" t="s">
        <v>1445</v>
      </c>
      <c r="I301" s="6" t="s">
        <v>4684</v>
      </c>
      <c r="J301" s="6" t="s">
        <v>5521</v>
      </c>
      <c r="K301" s="6" t="s">
        <v>4790</v>
      </c>
      <c r="L301" s="2" t="s">
        <v>5672</v>
      </c>
      <c r="M301" s="2" t="s">
        <v>5673</v>
      </c>
      <c r="N301" s="9" t="s">
        <v>2660</v>
      </c>
      <c r="O301" s="6" t="s">
        <v>130</v>
      </c>
      <c r="P301" s="6" t="s">
        <v>85</v>
      </c>
      <c r="Q301" s="6" t="s">
        <v>4719</v>
      </c>
      <c r="R301" s="6" t="s">
        <v>5567</v>
      </c>
    </row>
    <row r="302" customFormat="false" ht="23.85" hidden="false" customHeight="false" outlineLevel="0" collapsed="false">
      <c r="A302" s="6" t="s">
        <v>4719</v>
      </c>
      <c r="B302" s="6" t="s">
        <v>102</v>
      </c>
      <c r="C302" s="6" t="s">
        <v>4848</v>
      </c>
      <c r="D302" s="6" t="s">
        <v>4383</v>
      </c>
      <c r="E302" s="6" t="s">
        <v>4383</v>
      </c>
      <c r="F302" s="6" t="s">
        <v>3562</v>
      </c>
      <c r="G302" s="6" t="s">
        <v>1598</v>
      </c>
      <c r="H302" s="6" t="s">
        <v>1445</v>
      </c>
      <c r="I302" s="6" t="s">
        <v>4684</v>
      </c>
      <c r="J302" s="6" t="s">
        <v>5365</v>
      </c>
      <c r="K302" s="6" t="s">
        <v>4790</v>
      </c>
      <c r="L302" s="2" t="s">
        <v>4385</v>
      </c>
      <c r="M302" s="2" t="s">
        <v>4384</v>
      </c>
      <c r="N302" s="9" t="s">
        <v>672</v>
      </c>
      <c r="O302" s="6" t="s">
        <v>389</v>
      </c>
      <c r="P302" s="6" t="s">
        <v>85</v>
      </c>
      <c r="Q302" s="6" t="s">
        <v>4719</v>
      </c>
      <c r="R302" s="6" t="s">
        <v>5613</v>
      </c>
    </row>
    <row r="303" customFormat="false" ht="15" hidden="false" customHeight="false" outlineLevel="0" collapsed="false">
      <c r="A303" s="6" t="s">
        <v>4719</v>
      </c>
      <c r="B303" s="6" t="s">
        <v>102</v>
      </c>
      <c r="C303" s="6" t="s">
        <v>4848</v>
      </c>
      <c r="D303" s="6" t="s">
        <v>3950</v>
      </c>
      <c r="E303" s="6" t="s">
        <v>3950</v>
      </c>
      <c r="F303" s="6" t="s">
        <v>3951</v>
      </c>
      <c r="G303" s="6" t="s">
        <v>507</v>
      </c>
      <c r="H303" s="6" t="s">
        <v>1445</v>
      </c>
      <c r="I303" s="6" t="s">
        <v>4684</v>
      </c>
      <c r="J303" s="6" t="s">
        <v>5365</v>
      </c>
      <c r="K303" s="6" t="s">
        <v>4790</v>
      </c>
      <c r="L303" s="2" t="s">
        <v>3952</v>
      </c>
      <c r="M303" s="2"/>
      <c r="N303" s="9" t="s">
        <v>672</v>
      </c>
      <c r="O303" s="6" t="s">
        <v>389</v>
      </c>
      <c r="P303" s="6" t="s">
        <v>106</v>
      </c>
      <c r="Q303" s="6" t="s">
        <v>4719</v>
      </c>
      <c r="R303" s="6" t="s">
        <v>5613</v>
      </c>
    </row>
    <row r="304" customFormat="false" ht="15" hidden="false" customHeight="false" outlineLevel="0" collapsed="false">
      <c r="A304" s="6" t="s">
        <v>4719</v>
      </c>
      <c r="B304" s="6" t="s">
        <v>102</v>
      </c>
      <c r="C304" s="6" t="s">
        <v>4848</v>
      </c>
      <c r="D304" s="6" t="s">
        <v>4491</v>
      </c>
      <c r="E304" s="6" t="s">
        <v>4491</v>
      </c>
      <c r="F304" s="6" t="s">
        <v>263</v>
      </c>
      <c r="G304" s="6" t="s">
        <v>1215</v>
      </c>
      <c r="H304" s="6" t="s">
        <v>1445</v>
      </c>
      <c r="I304" s="6" t="s">
        <v>4684</v>
      </c>
      <c r="J304" s="6" t="s">
        <v>1943</v>
      </c>
      <c r="K304" s="6" t="s">
        <v>4790</v>
      </c>
      <c r="L304" s="2" t="s">
        <v>4494</v>
      </c>
      <c r="M304" s="2" t="s">
        <v>4493</v>
      </c>
      <c r="N304" s="9" t="s">
        <v>4495</v>
      </c>
      <c r="O304" s="6" t="s">
        <v>1943</v>
      </c>
      <c r="P304" s="6" t="s">
        <v>85</v>
      </c>
      <c r="Q304" s="6" t="s">
        <v>4719</v>
      </c>
      <c r="R304" s="6" t="s">
        <v>5613</v>
      </c>
    </row>
    <row r="305" customFormat="false" ht="23.85" hidden="false" customHeight="false" outlineLevel="0" collapsed="false">
      <c r="A305" s="6" t="s">
        <v>4719</v>
      </c>
      <c r="B305" s="6" t="s">
        <v>102</v>
      </c>
      <c r="C305" s="6" t="s">
        <v>4848</v>
      </c>
      <c r="D305" s="6" t="s">
        <v>3120</v>
      </c>
      <c r="E305" s="6" t="s">
        <v>3120</v>
      </c>
      <c r="F305" s="6" t="s">
        <v>1228</v>
      </c>
      <c r="G305" s="6" t="s">
        <v>182</v>
      </c>
      <c r="H305" s="6" t="s">
        <v>1445</v>
      </c>
      <c r="I305" s="6" t="s">
        <v>4684</v>
      </c>
      <c r="J305" s="6" t="s">
        <v>5521</v>
      </c>
      <c r="K305" s="6" t="s">
        <v>4726</v>
      </c>
      <c r="L305" s="2" t="s">
        <v>3123</v>
      </c>
      <c r="M305" s="2" t="s">
        <v>5674</v>
      </c>
      <c r="N305" s="9" t="s">
        <v>3124</v>
      </c>
      <c r="O305" s="6" t="s">
        <v>97</v>
      </c>
      <c r="P305" s="6" t="s">
        <v>85</v>
      </c>
      <c r="Q305" s="6" t="s">
        <v>4719</v>
      </c>
      <c r="R305" s="6" t="s">
        <v>5567</v>
      </c>
    </row>
    <row r="306" customFormat="false" ht="23.85" hidden="false" customHeight="false" outlineLevel="0" collapsed="false">
      <c r="A306" s="6" t="s">
        <v>4719</v>
      </c>
      <c r="B306" s="6" t="s">
        <v>102</v>
      </c>
      <c r="C306" s="6" t="s">
        <v>4848</v>
      </c>
      <c r="D306" s="6" t="s">
        <v>1782</v>
      </c>
      <c r="E306" s="6" t="s">
        <v>1783</v>
      </c>
      <c r="F306" s="6" t="s">
        <v>1783</v>
      </c>
      <c r="G306" s="6" t="s">
        <v>507</v>
      </c>
      <c r="H306" s="6" t="s">
        <v>1445</v>
      </c>
      <c r="I306" s="6" t="s">
        <v>4684</v>
      </c>
      <c r="J306" s="6" t="s">
        <v>5365</v>
      </c>
      <c r="K306" s="6" t="s">
        <v>4679</v>
      </c>
      <c r="L306" s="2" t="s">
        <v>1786</v>
      </c>
      <c r="M306" s="2" t="s">
        <v>5675</v>
      </c>
      <c r="N306" s="9" t="s">
        <v>1787</v>
      </c>
      <c r="O306" s="6" t="s">
        <v>511</v>
      </c>
      <c r="P306" s="6" t="s">
        <v>106</v>
      </c>
      <c r="Q306" s="6" t="s">
        <v>4719</v>
      </c>
      <c r="R306" s="6" t="s">
        <v>5613</v>
      </c>
    </row>
    <row r="307" customFormat="false" ht="15" hidden="false" customHeight="false" outlineLevel="0" collapsed="false">
      <c r="A307" s="6" t="s">
        <v>4934</v>
      </c>
      <c r="B307" s="6" t="s">
        <v>102</v>
      </c>
      <c r="C307" s="6" t="s">
        <v>4848</v>
      </c>
      <c r="D307" s="6" t="s">
        <v>2749</v>
      </c>
      <c r="E307" s="6" t="s">
        <v>2749</v>
      </c>
      <c r="F307" s="6" t="s">
        <v>2750</v>
      </c>
      <c r="G307" s="6" t="s">
        <v>1583</v>
      </c>
      <c r="H307" s="6" t="s">
        <v>287</v>
      </c>
      <c r="I307" s="6" t="s">
        <v>4684</v>
      </c>
      <c r="J307" s="6" t="s">
        <v>5365</v>
      </c>
      <c r="K307" s="6" t="s">
        <v>4679</v>
      </c>
      <c r="L307" s="2" t="s">
        <v>2752</v>
      </c>
      <c r="M307" s="2" t="s">
        <v>2751</v>
      </c>
      <c r="N307" s="9" t="s">
        <v>2753</v>
      </c>
      <c r="O307" s="6" t="s">
        <v>1431</v>
      </c>
      <c r="P307" s="6" t="s">
        <v>106</v>
      </c>
      <c r="Q307" s="6" t="s">
        <v>5676</v>
      </c>
      <c r="R307" s="6" t="s">
        <v>5613</v>
      </c>
    </row>
    <row r="308" customFormat="false" ht="23.85" hidden="false" customHeight="false" outlineLevel="0" collapsed="false">
      <c r="A308" s="6" t="s">
        <v>4934</v>
      </c>
      <c r="B308" s="6" t="s">
        <v>102</v>
      </c>
      <c r="C308" s="6" t="s">
        <v>4848</v>
      </c>
      <c r="D308" s="6" t="s">
        <v>2311</v>
      </c>
      <c r="E308" s="6" t="s">
        <v>2311</v>
      </c>
      <c r="F308" s="6" t="s">
        <v>2313</v>
      </c>
      <c r="G308" s="6" t="s">
        <v>2312</v>
      </c>
      <c r="H308" s="6" t="s">
        <v>287</v>
      </c>
      <c r="I308" s="6" t="s">
        <v>4684</v>
      </c>
      <c r="J308" s="6" t="s">
        <v>5365</v>
      </c>
      <c r="K308" s="6" t="s">
        <v>4679</v>
      </c>
      <c r="L308" s="2" t="s">
        <v>2314</v>
      </c>
      <c r="M308" s="2" t="s">
        <v>1767</v>
      </c>
      <c r="N308" s="9" t="s">
        <v>2315</v>
      </c>
      <c r="O308" s="6" t="s">
        <v>883</v>
      </c>
      <c r="P308" s="6" t="s">
        <v>106</v>
      </c>
      <c r="Q308" s="6" t="s">
        <v>5677</v>
      </c>
      <c r="R308" s="6" t="s">
        <v>5613</v>
      </c>
    </row>
    <row r="309" customFormat="false" ht="15" hidden="false" customHeight="false" outlineLevel="0" collapsed="false">
      <c r="A309" s="6" t="s">
        <v>4934</v>
      </c>
      <c r="B309" s="6" t="s">
        <v>102</v>
      </c>
      <c r="C309" s="6" t="s">
        <v>4848</v>
      </c>
      <c r="D309" s="6" t="s">
        <v>1098</v>
      </c>
      <c r="E309" s="6" t="s">
        <v>1098</v>
      </c>
      <c r="F309" s="6" t="s">
        <v>1099</v>
      </c>
      <c r="G309" s="6" t="s">
        <v>507</v>
      </c>
      <c r="H309" s="6" t="s">
        <v>287</v>
      </c>
      <c r="I309" s="6" t="s">
        <v>4684</v>
      </c>
      <c r="J309" s="6" t="s">
        <v>5365</v>
      </c>
      <c r="K309" s="6" t="s">
        <v>4679</v>
      </c>
      <c r="L309" s="2" t="s">
        <v>5678</v>
      </c>
      <c r="M309" s="2" t="s">
        <v>5679</v>
      </c>
      <c r="N309" s="9" t="s">
        <v>1103</v>
      </c>
      <c r="O309" s="6" t="s">
        <v>683</v>
      </c>
      <c r="P309" s="6" t="s">
        <v>106</v>
      </c>
      <c r="Q309" s="6" t="s">
        <v>5677</v>
      </c>
      <c r="R309" s="6" t="s">
        <v>5613</v>
      </c>
    </row>
    <row r="310" customFormat="false" ht="23.85" hidden="false" customHeight="false" outlineLevel="0" collapsed="false">
      <c r="A310" s="6" t="s">
        <v>4934</v>
      </c>
      <c r="B310" s="6" t="s">
        <v>102</v>
      </c>
      <c r="C310" s="6" t="s">
        <v>4848</v>
      </c>
      <c r="D310" s="6" t="s">
        <v>1658</v>
      </c>
      <c r="E310" s="6" t="s">
        <v>1658</v>
      </c>
      <c r="F310" s="6" t="s">
        <v>5680</v>
      </c>
      <c r="G310" s="6" t="s">
        <v>1583</v>
      </c>
      <c r="H310" s="6" t="s">
        <v>287</v>
      </c>
      <c r="I310" s="6" t="s">
        <v>4684</v>
      </c>
      <c r="J310" s="6" t="s">
        <v>1455</v>
      </c>
      <c r="K310" s="6" t="s">
        <v>4679</v>
      </c>
      <c r="L310" s="2" t="s">
        <v>5681</v>
      </c>
      <c r="M310" s="2" t="s">
        <v>5682</v>
      </c>
      <c r="N310" s="9" t="s">
        <v>1663</v>
      </c>
      <c r="O310" s="6" t="s">
        <v>1455</v>
      </c>
      <c r="P310" s="6" t="s">
        <v>85</v>
      </c>
      <c r="Q310" s="6" t="s">
        <v>5677</v>
      </c>
      <c r="R310" s="6" t="s">
        <v>5613</v>
      </c>
    </row>
    <row r="311" customFormat="false" ht="23.85" hidden="false" customHeight="false" outlineLevel="0" collapsed="false">
      <c r="A311" s="6" t="s">
        <v>4934</v>
      </c>
      <c r="B311" s="6" t="s">
        <v>102</v>
      </c>
      <c r="C311" s="6" t="s">
        <v>4848</v>
      </c>
      <c r="D311" s="6" t="s">
        <v>1764</v>
      </c>
      <c r="E311" s="6" t="s">
        <v>1764</v>
      </c>
      <c r="F311" s="6" t="s">
        <v>1765</v>
      </c>
      <c r="G311" s="6" t="s">
        <v>1127</v>
      </c>
      <c r="H311" s="6" t="s">
        <v>287</v>
      </c>
      <c r="I311" s="6" t="s">
        <v>4684</v>
      </c>
      <c r="J311" s="6" t="s">
        <v>236</v>
      </c>
      <c r="K311" s="6" t="s">
        <v>4679</v>
      </c>
      <c r="L311" s="2" t="s">
        <v>1768</v>
      </c>
      <c r="M311" s="2" t="s">
        <v>1767</v>
      </c>
      <c r="N311" s="9" t="s">
        <v>1769</v>
      </c>
      <c r="O311" s="6" t="s">
        <v>236</v>
      </c>
      <c r="P311" s="6" t="s">
        <v>85</v>
      </c>
      <c r="Q311" s="6" t="s">
        <v>5676</v>
      </c>
      <c r="R311" s="6" t="s">
        <v>5613</v>
      </c>
    </row>
    <row r="312" customFormat="false" ht="23.85" hidden="false" customHeight="false" outlineLevel="0" collapsed="false">
      <c r="A312" s="6" t="s">
        <v>4934</v>
      </c>
      <c r="B312" s="6" t="s">
        <v>102</v>
      </c>
      <c r="C312" s="6" t="s">
        <v>4848</v>
      </c>
      <c r="D312" s="6" t="s">
        <v>2247</v>
      </c>
      <c r="E312" s="6" t="s">
        <v>2247</v>
      </c>
      <c r="F312" s="6" t="s">
        <v>2248</v>
      </c>
      <c r="G312" s="6" t="s">
        <v>239</v>
      </c>
      <c r="H312" s="6" t="s">
        <v>1445</v>
      </c>
      <c r="I312" s="6" t="s">
        <v>4684</v>
      </c>
      <c r="J312" s="6" t="s">
        <v>5365</v>
      </c>
      <c r="K312" s="6" t="s">
        <v>4679</v>
      </c>
      <c r="L312" s="2" t="s">
        <v>2249</v>
      </c>
      <c r="M312" s="2" t="s">
        <v>1767</v>
      </c>
      <c r="N312" s="9" t="s">
        <v>2250</v>
      </c>
      <c r="O312" s="6" t="s">
        <v>411</v>
      </c>
      <c r="P312" s="6" t="s">
        <v>106</v>
      </c>
      <c r="Q312" s="6" t="s">
        <v>5676</v>
      </c>
      <c r="R312" s="6" t="s">
        <v>5613</v>
      </c>
    </row>
    <row r="313" customFormat="false" ht="35.05" hidden="false" customHeight="false" outlineLevel="0" collapsed="false">
      <c r="A313" s="6" t="s">
        <v>4934</v>
      </c>
      <c r="B313" s="6" t="s">
        <v>102</v>
      </c>
      <c r="C313" s="6" t="s">
        <v>4848</v>
      </c>
      <c r="D313" s="6" t="s">
        <v>3536</v>
      </c>
      <c r="E313" s="6" t="s">
        <v>3536</v>
      </c>
      <c r="F313" s="6" t="s">
        <v>3537</v>
      </c>
      <c r="G313" s="6" t="s">
        <v>2312</v>
      </c>
      <c r="H313" s="6" t="s">
        <v>1445</v>
      </c>
      <c r="I313" s="6" t="s">
        <v>4684</v>
      </c>
      <c r="J313" s="6" t="s">
        <v>332</v>
      </c>
      <c r="K313" s="6" t="s">
        <v>4679</v>
      </c>
      <c r="L313" s="2" t="s">
        <v>3539</v>
      </c>
      <c r="M313" s="2" t="s">
        <v>3538</v>
      </c>
      <c r="N313" s="9" t="s">
        <v>3540</v>
      </c>
      <c r="O313" s="6" t="s">
        <v>332</v>
      </c>
      <c r="P313" s="6" t="s">
        <v>85</v>
      </c>
      <c r="Q313" s="6" t="s">
        <v>5676</v>
      </c>
      <c r="R313" s="6" t="s">
        <v>5613</v>
      </c>
    </row>
    <row r="314" customFormat="false" ht="15" hidden="false" customHeight="false" outlineLevel="0" collapsed="false">
      <c r="A314" s="6" t="s">
        <v>4934</v>
      </c>
      <c r="B314" s="6" t="s">
        <v>102</v>
      </c>
      <c r="C314" s="6" t="s">
        <v>4848</v>
      </c>
      <c r="D314" s="6" t="s">
        <v>3679</v>
      </c>
      <c r="E314" s="6" t="s">
        <v>3679</v>
      </c>
      <c r="F314" s="6" t="s">
        <v>1824</v>
      </c>
      <c r="G314" s="6" t="s">
        <v>153</v>
      </c>
      <c r="H314" s="6" t="s">
        <v>1445</v>
      </c>
      <c r="I314" s="6" t="s">
        <v>4684</v>
      </c>
      <c r="J314" s="6" t="s">
        <v>5365</v>
      </c>
      <c r="K314" s="6" t="s">
        <v>4679</v>
      </c>
      <c r="L314" s="2" t="s">
        <v>3681</v>
      </c>
      <c r="M314" s="2" t="s">
        <v>3680</v>
      </c>
      <c r="N314" s="9" t="s">
        <v>3682</v>
      </c>
      <c r="O314" s="6" t="s">
        <v>411</v>
      </c>
      <c r="P314" s="6" t="s">
        <v>106</v>
      </c>
      <c r="Q314" s="6" t="s">
        <v>5677</v>
      </c>
      <c r="R314" s="6" t="s">
        <v>5613</v>
      </c>
    </row>
    <row r="315" customFormat="false" ht="23.85" hidden="false" customHeight="false" outlineLevel="0" collapsed="false">
      <c r="A315" s="6" t="s">
        <v>4934</v>
      </c>
      <c r="B315" s="6" t="s">
        <v>102</v>
      </c>
      <c r="C315" s="6" t="s">
        <v>4848</v>
      </c>
      <c r="D315" s="6" t="s">
        <v>2710</v>
      </c>
      <c r="E315" s="6" t="s">
        <v>2710</v>
      </c>
      <c r="F315" s="6" t="s">
        <v>701</v>
      </c>
      <c r="G315" s="6" t="s">
        <v>153</v>
      </c>
      <c r="H315" s="6" t="s">
        <v>1445</v>
      </c>
      <c r="I315" s="6" t="s">
        <v>4684</v>
      </c>
      <c r="J315" s="6" t="s">
        <v>5365</v>
      </c>
      <c r="K315" s="6" t="s">
        <v>4679</v>
      </c>
      <c r="L315" s="2" t="s">
        <v>2711</v>
      </c>
      <c r="M315" s="2" t="s">
        <v>1767</v>
      </c>
      <c r="N315" s="9" t="s">
        <v>2712</v>
      </c>
      <c r="O315" s="6" t="s">
        <v>1455</v>
      </c>
      <c r="P315" s="6" t="s">
        <v>106</v>
      </c>
      <c r="Q315" s="6" t="s">
        <v>5677</v>
      </c>
      <c r="R315" s="6" t="s">
        <v>5613</v>
      </c>
    </row>
    <row r="316" customFormat="false" ht="23.85" hidden="false" customHeight="false" outlineLevel="0" collapsed="false">
      <c r="A316" s="6" t="s">
        <v>4934</v>
      </c>
      <c r="B316" s="6" t="s">
        <v>102</v>
      </c>
      <c r="C316" s="6" t="s">
        <v>4848</v>
      </c>
      <c r="D316" s="6" t="s">
        <v>3592</v>
      </c>
      <c r="E316" s="6" t="s">
        <v>3592</v>
      </c>
      <c r="F316" s="6" t="s">
        <v>3593</v>
      </c>
      <c r="G316" s="6" t="s">
        <v>1215</v>
      </c>
      <c r="H316" s="6" t="s">
        <v>1445</v>
      </c>
      <c r="I316" s="6" t="s">
        <v>4684</v>
      </c>
      <c r="J316" s="6" t="s">
        <v>236</v>
      </c>
      <c r="K316" s="6" t="s">
        <v>4679</v>
      </c>
      <c r="L316" s="2" t="s">
        <v>1768</v>
      </c>
      <c r="M316" s="2" t="s">
        <v>1767</v>
      </c>
      <c r="N316" s="9" t="s">
        <v>1769</v>
      </c>
      <c r="O316" s="6" t="s">
        <v>236</v>
      </c>
      <c r="P316" s="6" t="s">
        <v>85</v>
      </c>
      <c r="Q316" s="6" t="s">
        <v>5676</v>
      </c>
      <c r="R316" s="6" t="s">
        <v>5613</v>
      </c>
    </row>
    <row r="317" customFormat="false" ht="23.85" hidden="false" customHeight="false" outlineLevel="0" collapsed="false">
      <c r="A317" s="6" t="s">
        <v>4934</v>
      </c>
      <c r="B317" s="6" t="s">
        <v>102</v>
      </c>
      <c r="C317" s="6" t="s">
        <v>4848</v>
      </c>
      <c r="D317" s="6" t="s">
        <v>3594</v>
      </c>
      <c r="E317" s="6" t="s">
        <v>3594</v>
      </c>
      <c r="F317" s="6" t="s">
        <v>3595</v>
      </c>
      <c r="G317" s="6" t="s">
        <v>1583</v>
      </c>
      <c r="H317" s="6" t="s">
        <v>1445</v>
      </c>
      <c r="I317" s="6" t="s">
        <v>4684</v>
      </c>
      <c r="J317" s="6" t="s">
        <v>5365</v>
      </c>
      <c r="K317" s="6" t="s">
        <v>4679</v>
      </c>
      <c r="L317" s="2" t="s">
        <v>3596</v>
      </c>
      <c r="M317" s="2" t="s">
        <v>1767</v>
      </c>
      <c r="N317" s="9" t="s">
        <v>3597</v>
      </c>
      <c r="O317" s="6" t="s">
        <v>411</v>
      </c>
      <c r="P317" s="6" t="s">
        <v>106</v>
      </c>
      <c r="Q317" s="6" t="s">
        <v>5676</v>
      </c>
      <c r="R317" s="6" t="s">
        <v>5613</v>
      </c>
    </row>
    <row r="318" customFormat="false" ht="23.85" hidden="false" customHeight="false" outlineLevel="0" collapsed="false">
      <c r="A318" s="6" t="s">
        <v>4934</v>
      </c>
      <c r="B318" s="6" t="s">
        <v>102</v>
      </c>
      <c r="C318" s="6" t="s">
        <v>4848</v>
      </c>
      <c r="D318" s="6" t="s">
        <v>1688</v>
      </c>
      <c r="E318" s="6" t="s">
        <v>1689</v>
      </c>
      <c r="F318" s="6" t="s">
        <v>1688</v>
      </c>
      <c r="G318" s="6" t="s">
        <v>1583</v>
      </c>
      <c r="H318" s="6" t="s">
        <v>1445</v>
      </c>
      <c r="I318" s="6" t="s">
        <v>4684</v>
      </c>
      <c r="J318" s="6" t="s">
        <v>5365</v>
      </c>
      <c r="K318" s="6" t="s">
        <v>4679</v>
      </c>
      <c r="L318" s="2" t="s">
        <v>5683</v>
      </c>
      <c r="M318" s="2" t="s">
        <v>1767</v>
      </c>
      <c r="N318" s="9" t="s">
        <v>5684</v>
      </c>
      <c r="O318" s="6" t="s">
        <v>143</v>
      </c>
      <c r="P318" s="6" t="s">
        <v>106</v>
      </c>
      <c r="Q318" s="6" t="s">
        <v>5676</v>
      </c>
      <c r="R318" s="6" t="s">
        <v>5613</v>
      </c>
    </row>
    <row r="319" customFormat="false" ht="23.85" hidden="false" customHeight="false" outlineLevel="0" collapsed="false">
      <c r="A319" s="6" t="s">
        <v>4934</v>
      </c>
      <c r="B319" s="6" t="s">
        <v>102</v>
      </c>
      <c r="C319" s="6" t="s">
        <v>4848</v>
      </c>
      <c r="D319" s="6" t="s">
        <v>3610</v>
      </c>
      <c r="E319" s="6" t="s">
        <v>3610</v>
      </c>
      <c r="F319" s="6" t="s">
        <v>3611</v>
      </c>
      <c r="G319" s="6" t="s">
        <v>1598</v>
      </c>
      <c r="H319" s="6" t="s">
        <v>1445</v>
      </c>
      <c r="I319" s="6" t="s">
        <v>4684</v>
      </c>
      <c r="J319" s="6" t="s">
        <v>236</v>
      </c>
      <c r="K319" s="6" t="s">
        <v>4679</v>
      </c>
      <c r="L319" s="2" t="s">
        <v>1768</v>
      </c>
      <c r="M319" s="2" t="s">
        <v>1767</v>
      </c>
      <c r="N319" s="9" t="s">
        <v>1769</v>
      </c>
      <c r="O319" s="6" t="s">
        <v>236</v>
      </c>
      <c r="P319" s="6" t="s">
        <v>85</v>
      </c>
      <c r="Q319" s="6" t="s">
        <v>5676</v>
      </c>
      <c r="R319" s="6" t="s">
        <v>5613</v>
      </c>
    </row>
    <row r="320" customFormat="false" ht="46.25" hidden="false" customHeight="false" outlineLevel="0" collapsed="false">
      <c r="A320" s="6" t="s">
        <v>4919</v>
      </c>
      <c r="B320" s="6" t="s">
        <v>102</v>
      </c>
      <c r="C320" s="6" t="s">
        <v>4848</v>
      </c>
      <c r="D320" s="6" t="s">
        <v>1571</v>
      </c>
      <c r="E320" s="6" t="s">
        <v>1571</v>
      </c>
      <c r="F320" s="6" t="s">
        <v>288</v>
      </c>
      <c r="G320" s="6" t="s">
        <v>1215</v>
      </c>
      <c r="H320" s="6" t="s">
        <v>287</v>
      </c>
      <c r="I320" s="6" t="s">
        <v>4684</v>
      </c>
      <c r="J320" s="6" t="s">
        <v>5365</v>
      </c>
      <c r="K320" s="6" t="s">
        <v>4679</v>
      </c>
      <c r="L320" s="2" t="s">
        <v>1573</v>
      </c>
      <c r="M320" s="2" t="s">
        <v>1572</v>
      </c>
      <c r="N320" s="9" t="s">
        <v>1449</v>
      </c>
      <c r="O320" s="6" t="s">
        <v>504</v>
      </c>
      <c r="P320" s="6" t="s">
        <v>106</v>
      </c>
      <c r="Q320" s="6" t="s">
        <v>4923</v>
      </c>
      <c r="R320" s="6" t="s">
        <v>5567</v>
      </c>
    </row>
    <row r="321" customFormat="false" ht="46.25" hidden="false" customHeight="false" outlineLevel="0" collapsed="false">
      <c r="A321" s="6" t="s">
        <v>4919</v>
      </c>
      <c r="B321" s="6" t="s">
        <v>102</v>
      </c>
      <c r="C321" s="6" t="s">
        <v>4848</v>
      </c>
      <c r="D321" s="6" t="s">
        <v>335</v>
      </c>
      <c r="E321" s="6" t="s">
        <v>335</v>
      </c>
      <c r="F321" s="6" t="s">
        <v>336</v>
      </c>
      <c r="G321" s="6" t="s">
        <v>239</v>
      </c>
      <c r="H321" s="6" t="s">
        <v>287</v>
      </c>
      <c r="I321" s="6" t="s">
        <v>4684</v>
      </c>
      <c r="J321" s="6" t="s">
        <v>5366</v>
      </c>
      <c r="K321" s="6" t="s">
        <v>4679</v>
      </c>
      <c r="L321" s="2" t="s">
        <v>340</v>
      </c>
      <c r="M321" s="2" t="s">
        <v>339</v>
      </c>
      <c r="N321" s="9" t="s">
        <v>342</v>
      </c>
      <c r="O321" s="6" t="s">
        <v>341</v>
      </c>
      <c r="P321" s="6" t="s">
        <v>106</v>
      </c>
      <c r="Q321" s="6" t="s">
        <v>4923</v>
      </c>
      <c r="R321" s="6" t="s">
        <v>5368</v>
      </c>
    </row>
    <row r="322" customFormat="false" ht="23.85" hidden="false" customHeight="false" outlineLevel="0" collapsed="false">
      <c r="A322" s="6" t="s">
        <v>4919</v>
      </c>
      <c r="B322" s="6" t="s">
        <v>102</v>
      </c>
      <c r="C322" s="6" t="s">
        <v>4848</v>
      </c>
      <c r="D322" s="6" t="s">
        <v>1627</v>
      </c>
      <c r="E322" s="6" t="s">
        <v>1627</v>
      </c>
      <c r="F322" s="6" t="s">
        <v>1627</v>
      </c>
      <c r="G322" s="6" t="s">
        <v>1215</v>
      </c>
      <c r="H322" s="6" t="s">
        <v>287</v>
      </c>
      <c r="I322" s="6" t="s">
        <v>4684</v>
      </c>
      <c r="J322" s="6" t="s">
        <v>5365</v>
      </c>
      <c r="K322" s="6" t="s">
        <v>4679</v>
      </c>
      <c r="L322" s="2" t="s">
        <v>1628</v>
      </c>
      <c r="M322" s="2" t="s">
        <v>1447</v>
      </c>
      <c r="N322" s="9" t="s">
        <v>1449</v>
      </c>
      <c r="O322" s="6" t="s">
        <v>504</v>
      </c>
      <c r="P322" s="6" t="s">
        <v>106</v>
      </c>
      <c r="Q322" s="6" t="s">
        <v>4923</v>
      </c>
      <c r="R322" s="6" t="s">
        <v>5567</v>
      </c>
    </row>
    <row r="323" customFormat="false" ht="23.85" hidden="false" customHeight="false" outlineLevel="0" collapsed="false">
      <c r="A323" s="6" t="s">
        <v>4919</v>
      </c>
      <c r="B323" s="6" t="s">
        <v>102</v>
      </c>
      <c r="C323" s="6" t="s">
        <v>4848</v>
      </c>
      <c r="D323" s="6" t="s">
        <v>1629</v>
      </c>
      <c r="E323" s="6" t="s">
        <v>1629</v>
      </c>
      <c r="F323" s="6" t="s">
        <v>1630</v>
      </c>
      <c r="G323" s="6" t="s">
        <v>1583</v>
      </c>
      <c r="H323" s="6" t="s">
        <v>287</v>
      </c>
      <c r="I323" s="6" t="s">
        <v>4684</v>
      </c>
      <c r="J323" s="6" t="s">
        <v>5365</v>
      </c>
      <c r="K323" s="6" t="s">
        <v>4679</v>
      </c>
      <c r="L323" s="2" t="s">
        <v>1631</v>
      </c>
      <c r="M323" s="2" t="s">
        <v>1447</v>
      </c>
      <c r="N323" s="9" t="s">
        <v>733</v>
      </c>
      <c r="O323" s="6" t="s">
        <v>1162</v>
      </c>
      <c r="P323" s="6" t="s">
        <v>106</v>
      </c>
      <c r="Q323" s="6" t="s">
        <v>4923</v>
      </c>
      <c r="R323" s="6" t="s">
        <v>5567</v>
      </c>
    </row>
    <row r="324" customFormat="false" ht="23.85" hidden="false" customHeight="false" outlineLevel="0" collapsed="false">
      <c r="A324" s="6" t="s">
        <v>4919</v>
      </c>
      <c r="B324" s="6" t="s">
        <v>102</v>
      </c>
      <c r="C324" s="6" t="s">
        <v>4848</v>
      </c>
      <c r="D324" s="6" t="s">
        <v>399</v>
      </c>
      <c r="E324" s="6" t="s">
        <v>399</v>
      </c>
      <c r="F324" s="6" t="s">
        <v>400</v>
      </c>
      <c r="G324" s="6" t="s">
        <v>76</v>
      </c>
      <c r="H324" s="6" t="s">
        <v>287</v>
      </c>
      <c r="I324" s="6" t="s">
        <v>4684</v>
      </c>
      <c r="J324" s="6" t="s">
        <v>5365</v>
      </c>
      <c r="K324" s="6" t="s">
        <v>4790</v>
      </c>
      <c r="L324" s="2" t="s">
        <v>403</v>
      </c>
      <c r="M324" s="2" t="s">
        <v>402</v>
      </c>
      <c r="N324" s="9" t="s">
        <v>404</v>
      </c>
      <c r="O324" s="6" t="s">
        <v>236</v>
      </c>
      <c r="P324" s="6" t="s">
        <v>106</v>
      </c>
      <c r="Q324" s="6" t="s">
        <v>4923</v>
      </c>
      <c r="R324" s="6" t="s">
        <v>5368</v>
      </c>
    </row>
    <row r="325" customFormat="false" ht="35.05" hidden="false" customHeight="false" outlineLevel="0" collapsed="false">
      <c r="A325" s="6" t="s">
        <v>4919</v>
      </c>
      <c r="B325" s="6" t="s">
        <v>102</v>
      </c>
      <c r="C325" s="6" t="s">
        <v>4848</v>
      </c>
      <c r="D325" s="6" t="s">
        <v>1638</v>
      </c>
      <c r="E325" s="6" t="s">
        <v>1638</v>
      </c>
      <c r="F325" s="6" t="s">
        <v>1630</v>
      </c>
      <c r="G325" s="6" t="s">
        <v>1583</v>
      </c>
      <c r="H325" s="6" t="s">
        <v>287</v>
      </c>
      <c r="I325" s="6" t="s">
        <v>4684</v>
      </c>
      <c r="J325" s="6" t="s">
        <v>150</v>
      </c>
      <c r="K325" s="6" t="s">
        <v>4679</v>
      </c>
      <c r="L325" s="2" t="s">
        <v>1641</v>
      </c>
      <c r="M325" s="2" t="s">
        <v>1640</v>
      </c>
      <c r="N325" s="9" t="s">
        <v>1642</v>
      </c>
      <c r="O325" s="6" t="s">
        <v>150</v>
      </c>
      <c r="P325" s="6" t="s">
        <v>85</v>
      </c>
      <c r="Q325" s="6" t="s">
        <v>4923</v>
      </c>
      <c r="R325" s="6" t="s">
        <v>5567</v>
      </c>
    </row>
    <row r="326" customFormat="false" ht="35.05" hidden="false" customHeight="false" outlineLevel="0" collapsed="false">
      <c r="A326" s="6" t="s">
        <v>4919</v>
      </c>
      <c r="B326" s="6" t="s">
        <v>102</v>
      </c>
      <c r="C326" s="6" t="s">
        <v>4848</v>
      </c>
      <c r="D326" s="6" t="s">
        <v>420</v>
      </c>
      <c r="E326" s="6" t="s">
        <v>420</v>
      </c>
      <c r="F326" s="6" t="s">
        <v>3001</v>
      </c>
      <c r="G326" s="6" t="s">
        <v>239</v>
      </c>
      <c r="H326" s="6" t="s">
        <v>287</v>
      </c>
      <c r="I326" s="6" t="s">
        <v>4684</v>
      </c>
      <c r="J326" s="6" t="s">
        <v>5365</v>
      </c>
      <c r="K326" s="6" t="s">
        <v>4679</v>
      </c>
      <c r="L326" s="2" t="s">
        <v>5685</v>
      </c>
      <c r="M326" s="2" t="s">
        <v>5686</v>
      </c>
      <c r="N326" s="9" t="s">
        <v>427</v>
      </c>
      <c r="O326" s="6" t="s">
        <v>150</v>
      </c>
      <c r="P326" s="6" t="s">
        <v>85</v>
      </c>
      <c r="Q326" s="6" t="s">
        <v>4923</v>
      </c>
      <c r="R326" s="6" t="s">
        <v>5567</v>
      </c>
    </row>
    <row r="327" customFormat="false" ht="46.25" hidden="false" customHeight="false" outlineLevel="0" collapsed="false">
      <c r="A327" s="6" t="s">
        <v>4919</v>
      </c>
      <c r="B327" s="6" t="s">
        <v>102</v>
      </c>
      <c r="C327" s="6" t="s">
        <v>4848</v>
      </c>
      <c r="D327" s="6" t="s">
        <v>3406</v>
      </c>
      <c r="E327" s="6" t="s">
        <v>3406</v>
      </c>
      <c r="F327" s="6" t="s">
        <v>5687</v>
      </c>
      <c r="G327" s="6" t="s">
        <v>2312</v>
      </c>
      <c r="H327" s="6" t="s">
        <v>287</v>
      </c>
      <c r="I327" s="6" t="s">
        <v>4684</v>
      </c>
      <c r="J327" s="6" t="s">
        <v>448</v>
      </c>
      <c r="K327" s="6" t="s">
        <v>4679</v>
      </c>
      <c r="L327" s="2" t="s">
        <v>5688</v>
      </c>
      <c r="M327" s="2" t="s">
        <v>5689</v>
      </c>
      <c r="N327" s="9" t="s">
        <v>3410</v>
      </c>
      <c r="O327" s="6" t="s">
        <v>226</v>
      </c>
      <c r="P327" s="6" t="s">
        <v>85</v>
      </c>
      <c r="Q327" s="6" t="s">
        <v>4923</v>
      </c>
      <c r="R327" s="6" t="s">
        <v>5567</v>
      </c>
    </row>
    <row r="328" customFormat="false" ht="35.05" hidden="false" customHeight="false" outlineLevel="0" collapsed="false">
      <c r="A328" s="6" t="s">
        <v>4919</v>
      </c>
      <c r="B328" s="6" t="s">
        <v>102</v>
      </c>
      <c r="C328" s="6" t="s">
        <v>4848</v>
      </c>
      <c r="D328" s="6" t="s">
        <v>1643</v>
      </c>
      <c r="E328" s="6" t="s">
        <v>1645</v>
      </c>
      <c r="F328" s="6" t="s">
        <v>1645</v>
      </c>
      <c r="G328" s="6" t="s">
        <v>1644</v>
      </c>
      <c r="H328" s="6" t="s">
        <v>287</v>
      </c>
      <c r="I328" s="6" t="s">
        <v>4684</v>
      </c>
      <c r="J328" s="6" t="s">
        <v>5365</v>
      </c>
      <c r="K328" s="6" t="s">
        <v>4679</v>
      </c>
      <c r="L328" s="2" t="s">
        <v>5690</v>
      </c>
      <c r="M328" s="2" t="s">
        <v>5691</v>
      </c>
      <c r="N328" s="9" t="s">
        <v>1449</v>
      </c>
      <c r="O328" s="6" t="s">
        <v>504</v>
      </c>
      <c r="P328" s="6" t="s">
        <v>106</v>
      </c>
      <c r="Q328" s="6" t="s">
        <v>4923</v>
      </c>
      <c r="R328" s="6" t="s">
        <v>5567</v>
      </c>
    </row>
    <row r="329" customFormat="false" ht="23.85" hidden="false" customHeight="false" outlineLevel="0" collapsed="false">
      <c r="A329" s="6" t="s">
        <v>4919</v>
      </c>
      <c r="B329" s="6" t="s">
        <v>102</v>
      </c>
      <c r="C329" s="6" t="s">
        <v>4848</v>
      </c>
      <c r="D329" s="6" t="s">
        <v>1652</v>
      </c>
      <c r="E329" s="6" t="s">
        <v>1652</v>
      </c>
      <c r="F329" s="6" t="s">
        <v>1653</v>
      </c>
      <c r="G329" s="6" t="s">
        <v>1583</v>
      </c>
      <c r="H329" s="6" t="s">
        <v>287</v>
      </c>
      <c r="I329" s="6" t="s">
        <v>4684</v>
      </c>
      <c r="J329" s="6" t="s">
        <v>5365</v>
      </c>
      <c r="K329" s="6" t="s">
        <v>4679</v>
      </c>
      <c r="L329" s="2" t="s">
        <v>5692</v>
      </c>
      <c r="M329" s="2" t="s">
        <v>5693</v>
      </c>
      <c r="N329" s="9" t="s">
        <v>1657</v>
      </c>
      <c r="O329" s="6" t="s">
        <v>389</v>
      </c>
      <c r="P329" s="6" t="s">
        <v>98</v>
      </c>
      <c r="Q329" s="6" t="s">
        <v>4923</v>
      </c>
      <c r="R329" s="6" t="s">
        <v>5567</v>
      </c>
    </row>
    <row r="330" customFormat="false" ht="35.05" hidden="false" customHeight="false" outlineLevel="0" collapsed="false">
      <c r="A330" s="6" t="s">
        <v>4919</v>
      </c>
      <c r="B330" s="6" t="s">
        <v>102</v>
      </c>
      <c r="C330" s="6" t="s">
        <v>4848</v>
      </c>
      <c r="D330" s="6" t="s">
        <v>457</v>
      </c>
      <c r="E330" s="6" t="s">
        <v>457</v>
      </c>
      <c r="F330" s="6" t="s">
        <v>462</v>
      </c>
      <c r="G330" s="6" t="s">
        <v>239</v>
      </c>
      <c r="H330" s="6" t="s">
        <v>287</v>
      </c>
      <c r="I330" s="6" t="s">
        <v>4684</v>
      </c>
      <c r="J330" s="6" t="s">
        <v>341</v>
      </c>
      <c r="K330" s="6" t="s">
        <v>4679</v>
      </c>
      <c r="L330" s="2" t="s">
        <v>5694</v>
      </c>
      <c r="M330" s="2" t="s">
        <v>5695</v>
      </c>
      <c r="N330" s="9" t="s">
        <v>343</v>
      </c>
      <c r="O330" s="6" t="s">
        <v>341</v>
      </c>
      <c r="P330" s="6" t="s">
        <v>106</v>
      </c>
      <c r="Q330" s="6" t="s">
        <v>4923</v>
      </c>
      <c r="R330" s="6" t="s">
        <v>5567</v>
      </c>
    </row>
    <row r="331" customFormat="false" ht="46.25" hidden="false" customHeight="false" outlineLevel="0" collapsed="false">
      <c r="A331" s="6" t="s">
        <v>4919</v>
      </c>
      <c r="B331" s="6" t="s">
        <v>102</v>
      </c>
      <c r="C331" s="6" t="s">
        <v>4848</v>
      </c>
      <c r="D331" s="6" t="s">
        <v>728</v>
      </c>
      <c r="E331" s="6" t="s">
        <v>728</v>
      </c>
      <c r="F331" s="6" t="s">
        <v>729</v>
      </c>
      <c r="G331" s="6" t="s">
        <v>164</v>
      </c>
      <c r="H331" s="6" t="s">
        <v>287</v>
      </c>
      <c r="I331" s="6" t="s">
        <v>4684</v>
      </c>
      <c r="J331" s="6" t="s">
        <v>5365</v>
      </c>
      <c r="K331" s="6" t="s">
        <v>4679</v>
      </c>
      <c r="L331" s="2" t="s">
        <v>732</v>
      </c>
      <c r="M331" s="2" t="s">
        <v>5696</v>
      </c>
      <c r="N331" s="9" t="s">
        <v>733</v>
      </c>
      <c r="O331" s="6" t="s">
        <v>1162</v>
      </c>
      <c r="P331" s="6" t="s">
        <v>106</v>
      </c>
      <c r="Q331" s="6" t="s">
        <v>4923</v>
      </c>
      <c r="R331" s="6" t="s">
        <v>5567</v>
      </c>
    </row>
    <row r="332" customFormat="false" ht="35.05" hidden="false" customHeight="false" outlineLevel="0" collapsed="false">
      <c r="A332" s="6" t="s">
        <v>4919</v>
      </c>
      <c r="B332" s="6" t="s">
        <v>102</v>
      </c>
      <c r="C332" s="6" t="s">
        <v>4848</v>
      </c>
      <c r="D332" s="6" t="s">
        <v>1680</v>
      </c>
      <c r="E332" s="6" t="s">
        <v>1681</v>
      </c>
      <c r="F332" s="6" t="s">
        <v>1681</v>
      </c>
      <c r="G332" s="6" t="s">
        <v>1644</v>
      </c>
      <c r="H332" s="6" t="s">
        <v>287</v>
      </c>
      <c r="I332" s="6" t="s">
        <v>4676</v>
      </c>
      <c r="J332" s="6" t="s">
        <v>5538</v>
      </c>
      <c r="K332" s="6" t="s">
        <v>4679</v>
      </c>
      <c r="L332" s="2" t="s">
        <v>5697</v>
      </c>
      <c r="M332" s="2" t="s">
        <v>5698</v>
      </c>
      <c r="N332" s="9" t="s">
        <v>1449</v>
      </c>
      <c r="O332" s="6" t="s">
        <v>504</v>
      </c>
      <c r="P332" s="6" t="s">
        <v>106</v>
      </c>
      <c r="Q332" s="6" t="s">
        <v>4923</v>
      </c>
      <c r="R332" s="6" t="s">
        <v>5567</v>
      </c>
    </row>
    <row r="333" customFormat="false" ht="23.85" hidden="false" customHeight="false" outlineLevel="0" collapsed="false">
      <c r="A333" s="6" t="s">
        <v>4919</v>
      </c>
      <c r="B333" s="6" t="s">
        <v>102</v>
      </c>
      <c r="C333" s="6" t="s">
        <v>4848</v>
      </c>
      <c r="D333" s="6" t="s">
        <v>764</v>
      </c>
      <c r="E333" s="6" t="s">
        <v>764</v>
      </c>
      <c r="F333" s="6" t="s">
        <v>765</v>
      </c>
      <c r="G333" s="6" t="s">
        <v>153</v>
      </c>
      <c r="H333" s="6" t="s">
        <v>287</v>
      </c>
      <c r="I333" s="6" t="s">
        <v>4684</v>
      </c>
      <c r="J333" s="6" t="s">
        <v>5365</v>
      </c>
      <c r="K333" s="6" t="s">
        <v>4726</v>
      </c>
      <c r="L333" s="2" t="s">
        <v>5699</v>
      </c>
      <c r="M333" s="2" t="s">
        <v>5700</v>
      </c>
      <c r="N333" s="9" t="s">
        <v>770</v>
      </c>
      <c r="O333" s="6" t="s">
        <v>308</v>
      </c>
      <c r="P333" s="6" t="s">
        <v>85</v>
      </c>
      <c r="Q333" s="6" t="s">
        <v>4923</v>
      </c>
      <c r="R333" s="6" t="s">
        <v>5567</v>
      </c>
    </row>
    <row r="334" customFormat="false" ht="35.05" hidden="false" customHeight="false" outlineLevel="0" collapsed="false">
      <c r="A334" s="6" t="s">
        <v>4919</v>
      </c>
      <c r="B334" s="6" t="s">
        <v>102</v>
      </c>
      <c r="C334" s="6" t="s">
        <v>4848</v>
      </c>
      <c r="D334" s="6" t="s">
        <v>2622</v>
      </c>
      <c r="E334" s="6" t="s">
        <v>2622</v>
      </c>
      <c r="F334" s="6" t="s">
        <v>2622</v>
      </c>
      <c r="G334" s="6" t="s">
        <v>507</v>
      </c>
      <c r="H334" s="6" t="s">
        <v>1445</v>
      </c>
      <c r="I334" s="6" t="s">
        <v>4684</v>
      </c>
      <c r="J334" s="6" t="s">
        <v>5365</v>
      </c>
      <c r="K334" s="6" t="s">
        <v>4679</v>
      </c>
      <c r="L334" s="2" t="s">
        <v>5701</v>
      </c>
      <c r="M334" s="2" t="s">
        <v>5702</v>
      </c>
      <c r="N334" s="9" t="s">
        <v>2626</v>
      </c>
      <c r="O334" s="6" t="s">
        <v>448</v>
      </c>
      <c r="P334" s="6" t="s">
        <v>85</v>
      </c>
      <c r="Q334" s="6" t="s">
        <v>4923</v>
      </c>
      <c r="R334" s="6" t="s">
        <v>5567</v>
      </c>
    </row>
    <row r="335" customFormat="false" ht="23.85" hidden="false" customHeight="false" outlineLevel="0" collapsed="false">
      <c r="A335" s="6" t="s">
        <v>4919</v>
      </c>
      <c r="B335" s="6" t="s">
        <v>102</v>
      </c>
      <c r="C335" s="6" t="s">
        <v>4848</v>
      </c>
      <c r="D335" s="6" t="s">
        <v>1444</v>
      </c>
      <c r="E335" s="6" t="s">
        <v>1444</v>
      </c>
      <c r="F335" s="6" t="s">
        <v>1446</v>
      </c>
      <c r="G335" s="6" t="s">
        <v>239</v>
      </c>
      <c r="H335" s="6" t="s">
        <v>1445</v>
      </c>
      <c r="I335" s="6" t="s">
        <v>4684</v>
      </c>
      <c r="J335" s="6" t="s">
        <v>5365</v>
      </c>
      <c r="K335" s="6" t="s">
        <v>4679</v>
      </c>
      <c r="L335" s="2" t="s">
        <v>1448</v>
      </c>
      <c r="M335" s="2" t="s">
        <v>1447</v>
      </c>
      <c r="N335" s="9" t="s">
        <v>1449</v>
      </c>
      <c r="O335" s="6" t="s">
        <v>504</v>
      </c>
      <c r="P335" s="6" t="s">
        <v>106</v>
      </c>
      <c r="Q335" s="6" t="s">
        <v>4923</v>
      </c>
      <c r="R335" s="6" t="s">
        <v>5567</v>
      </c>
    </row>
    <row r="336" customFormat="false" ht="23.85" hidden="false" customHeight="false" outlineLevel="0" collapsed="false">
      <c r="A336" s="6" t="s">
        <v>4919</v>
      </c>
      <c r="B336" s="6" t="s">
        <v>102</v>
      </c>
      <c r="C336" s="6" t="s">
        <v>4848</v>
      </c>
      <c r="D336" s="6" t="s">
        <v>2958</v>
      </c>
      <c r="E336" s="6" t="s">
        <v>5580</v>
      </c>
      <c r="F336" s="6" t="s">
        <v>5581</v>
      </c>
      <c r="G336" s="6" t="s">
        <v>1644</v>
      </c>
      <c r="H336" s="6" t="s">
        <v>1445</v>
      </c>
      <c r="I336" s="6" t="s">
        <v>4680</v>
      </c>
      <c r="J336" s="6" t="s">
        <v>5365</v>
      </c>
      <c r="K336" s="6" t="s">
        <v>4726</v>
      </c>
      <c r="L336" s="2" t="s">
        <v>5703</v>
      </c>
      <c r="M336" s="2" t="s">
        <v>5704</v>
      </c>
      <c r="N336" s="9" t="s">
        <v>2964</v>
      </c>
      <c r="O336" s="6" t="s">
        <v>150</v>
      </c>
      <c r="P336" s="6" t="s">
        <v>85</v>
      </c>
      <c r="Q336" s="6" t="s">
        <v>4923</v>
      </c>
      <c r="R336" s="6" t="s">
        <v>5567</v>
      </c>
    </row>
    <row r="337" customFormat="false" ht="35.05" hidden="false" customHeight="false" outlineLevel="0" collapsed="false">
      <c r="A337" s="6" t="s">
        <v>4919</v>
      </c>
      <c r="B337" s="6" t="s">
        <v>102</v>
      </c>
      <c r="C337" s="6" t="s">
        <v>4848</v>
      </c>
      <c r="D337" s="6" t="s">
        <v>2639</v>
      </c>
      <c r="E337" s="6" t="s">
        <v>2639</v>
      </c>
      <c r="F337" s="6" t="s">
        <v>2640</v>
      </c>
      <c r="G337" s="6" t="s">
        <v>507</v>
      </c>
      <c r="H337" s="6" t="s">
        <v>1445</v>
      </c>
      <c r="I337" s="6" t="s">
        <v>4684</v>
      </c>
      <c r="J337" s="6" t="s">
        <v>5365</v>
      </c>
      <c r="K337" s="6" t="s">
        <v>4679</v>
      </c>
      <c r="L337" s="2" t="s">
        <v>2642</v>
      </c>
      <c r="M337" s="2" t="s">
        <v>2641</v>
      </c>
      <c r="N337" s="9" t="s">
        <v>2643</v>
      </c>
      <c r="O337" s="6" t="s">
        <v>517</v>
      </c>
      <c r="P337" s="6" t="s">
        <v>85</v>
      </c>
      <c r="Q337" s="6" t="s">
        <v>4923</v>
      </c>
      <c r="R337" s="6" t="s">
        <v>5567</v>
      </c>
    </row>
    <row r="338" customFormat="false" ht="23.85" hidden="false" customHeight="false" outlineLevel="0" collapsed="false">
      <c r="A338" s="6" t="s">
        <v>4919</v>
      </c>
      <c r="B338" s="6" t="s">
        <v>102</v>
      </c>
      <c r="C338" s="6" t="s">
        <v>4848</v>
      </c>
      <c r="D338" s="6" t="s">
        <v>1574</v>
      </c>
      <c r="E338" s="6" t="s">
        <v>1574</v>
      </c>
      <c r="F338" s="6" t="s">
        <v>1575</v>
      </c>
      <c r="G338" s="6" t="s">
        <v>1215</v>
      </c>
      <c r="H338" s="6" t="s">
        <v>1445</v>
      </c>
      <c r="I338" s="6" t="s">
        <v>4684</v>
      </c>
      <c r="J338" s="6" t="s">
        <v>683</v>
      </c>
      <c r="K338" s="6" t="s">
        <v>4726</v>
      </c>
      <c r="L338" s="2" t="s">
        <v>5705</v>
      </c>
      <c r="M338" s="2" t="s">
        <v>5706</v>
      </c>
      <c r="N338" s="9" t="s">
        <v>5707</v>
      </c>
      <c r="O338" s="6" t="s">
        <v>683</v>
      </c>
      <c r="P338" s="6" t="s">
        <v>106</v>
      </c>
      <c r="Q338" s="6" t="s">
        <v>4923</v>
      </c>
      <c r="R338" s="6" t="s">
        <v>5567</v>
      </c>
    </row>
    <row r="339" customFormat="false" ht="23.85" hidden="false" customHeight="false" outlineLevel="0" collapsed="false">
      <c r="A339" s="6" t="s">
        <v>4919</v>
      </c>
      <c r="B339" s="6" t="s">
        <v>102</v>
      </c>
      <c r="C339" s="6" t="s">
        <v>4848</v>
      </c>
      <c r="D339" s="6" t="s">
        <v>2965</v>
      </c>
      <c r="E339" s="6" t="s">
        <v>2965</v>
      </c>
      <c r="F339" s="6" t="s">
        <v>2966</v>
      </c>
      <c r="G339" s="6" t="s">
        <v>1215</v>
      </c>
      <c r="H339" s="6" t="s">
        <v>1445</v>
      </c>
      <c r="I339" s="6" t="s">
        <v>4684</v>
      </c>
      <c r="J339" s="6" t="s">
        <v>5365</v>
      </c>
      <c r="K339" s="6" t="s">
        <v>4679</v>
      </c>
      <c r="L339" s="2" t="s">
        <v>2967</v>
      </c>
      <c r="M339" s="2" t="s">
        <v>1447</v>
      </c>
      <c r="N339" s="9" t="s">
        <v>2968</v>
      </c>
      <c r="O339" s="6" t="s">
        <v>1943</v>
      </c>
      <c r="P339" s="6" t="s">
        <v>85</v>
      </c>
      <c r="Q339" s="6" t="s">
        <v>4923</v>
      </c>
      <c r="R339" s="6" t="s">
        <v>5567</v>
      </c>
    </row>
    <row r="340" customFormat="false" ht="23.85" hidden="false" customHeight="false" outlineLevel="0" collapsed="false">
      <c r="A340" s="6" t="s">
        <v>4919</v>
      </c>
      <c r="B340" s="6" t="s">
        <v>102</v>
      </c>
      <c r="C340" s="6" t="s">
        <v>4848</v>
      </c>
      <c r="D340" s="6" t="s">
        <v>2969</v>
      </c>
      <c r="E340" s="6" t="s">
        <v>2969</v>
      </c>
      <c r="F340" s="6" t="s">
        <v>1604</v>
      </c>
      <c r="G340" s="6" t="s">
        <v>1598</v>
      </c>
      <c r="H340" s="6" t="s">
        <v>1445</v>
      </c>
      <c r="I340" s="6" t="s">
        <v>4684</v>
      </c>
      <c r="J340" s="6" t="s">
        <v>5365</v>
      </c>
      <c r="K340" s="6" t="s">
        <v>4679</v>
      </c>
      <c r="L340" s="2" t="s">
        <v>2970</v>
      </c>
      <c r="M340" s="2" t="s">
        <v>1447</v>
      </c>
      <c r="N340" s="9" t="s">
        <v>2971</v>
      </c>
      <c r="O340" s="6" t="s">
        <v>150</v>
      </c>
      <c r="P340" s="6" t="s">
        <v>85</v>
      </c>
      <c r="Q340" s="6" t="s">
        <v>4923</v>
      </c>
      <c r="R340" s="6" t="s">
        <v>5567</v>
      </c>
    </row>
    <row r="341" customFormat="false" ht="23.85" hidden="false" customHeight="false" outlineLevel="0" collapsed="false">
      <c r="A341" s="6" t="s">
        <v>4919</v>
      </c>
      <c r="B341" s="6" t="s">
        <v>102</v>
      </c>
      <c r="C341" s="6" t="s">
        <v>4848</v>
      </c>
      <c r="D341" s="6" t="s">
        <v>2981</v>
      </c>
      <c r="E341" s="6" t="s">
        <v>2981</v>
      </c>
      <c r="F341" s="6" t="s">
        <v>2982</v>
      </c>
      <c r="G341" s="6" t="s">
        <v>1598</v>
      </c>
      <c r="H341" s="6" t="s">
        <v>1445</v>
      </c>
      <c r="I341" s="6" t="s">
        <v>4684</v>
      </c>
      <c r="J341" s="6" t="s">
        <v>5365</v>
      </c>
      <c r="K341" s="6" t="s">
        <v>4679</v>
      </c>
      <c r="L341" s="2" t="s">
        <v>2983</v>
      </c>
      <c r="M341" s="2" t="s">
        <v>1447</v>
      </c>
      <c r="N341" s="9" t="s">
        <v>2984</v>
      </c>
      <c r="O341" s="6" t="s">
        <v>967</v>
      </c>
      <c r="P341" s="6" t="s">
        <v>106</v>
      </c>
      <c r="Q341" s="6" t="s">
        <v>4923</v>
      </c>
      <c r="R341" s="6" t="s">
        <v>5567</v>
      </c>
    </row>
    <row r="342" customFormat="false" ht="23.85" hidden="false" customHeight="false" outlineLevel="0" collapsed="false">
      <c r="A342" s="6" t="s">
        <v>4919</v>
      </c>
      <c r="B342" s="6" t="s">
        <v>102</v>
      </c>
      <c r="C342" s="6" t="s">
        <v>4848</v>
      </c>
      <c r="D342" s="6" t="s">
        <v>3146</v>
      </c>
      <c r="E342" s="6" t="s">
        <v>3146</v>
      </c>
      <c r="F342" s="6" t="s">
        <v>288</v>
      </c>
      <c r="G342" s="6" t="s">
        <v>118</v>
      </c>
      <c r="H342" s="6" t="s">
        <v>1445</v>
      </c>
      <c r="I342" s="6" t="s">
        <v>4684</v>
      </c>
      <c r="J342" s="6" t="s">
        <v>5365</v>
      </c>
      <c r="K342" s="6" t="s">
        <v>4679</v>
      </c>
      <c r="L342" s="2" t="s">
        <v>3148</v>
      </c>
      <c r="M342" s="2" t="s">
        <v>3147</v>
      </c>
      <c r="N342" s="9" t="s">
        <v>1449</v>
      </c>
      <c r="O342" s="6" t="s">
        <v>504</v>
      </c>
      <c r="P342" s="6" t="s">
        <v>106</v>
      </c>
      <c r="Q342" s="6" t="s">
        <v>4923</v>
      </c>
      <c r="R342" s="6" t="s">
        <v>5567</v>
      </c>
    </row>
    <row r="343" customFormat="false" ht="23.85" hidden="false" customHeight="false" outlineLevel="0" collapsed="false">
      <c r="A343" s="6" t="s">
        <v>4919</v>
      </c>
      <c r="B343" s="6" t="s">
        <v>102</v>
      </c>
      <c r="C343" s="6" t="s">
        <v>4848</v>
      </c>
      <c r="D343" s="6" t="s">
        <v>2988</v>
      </c>
      <c r="E343" s="6" t="s">
        <v>2988</v>
      </c>
      <c r="F343" s="6" t="s">
        <v>2989</v>
      </c>
      <c r="G343" s="6" t="s">
        <v>1644</v>
      </c>
      <c r="H343" s="6" t="s">
        <v>1445</v>
      </c>
      <c r="I343" s="6" t="s">
        <v>4684</v>
      </c>
      <c r="J343" s="6" t="s">
        <v>5365</v>
      </c>
      <c r="K343" s="6" t="s">
        <v>4679</v>
      </c>
      <c r="L343" s="2" t="s">
        <v>5708</v>
      </c>
      <c r="M343" s="2" t="s">
        <v>1447</v>
      </c>
      <c r="N343" s="9" t="s">
        <v>2993</v>
      </c>
      <c r="O343" s="6" t="s">
        <v>1455</v>
      </c>
      <c r="P343" s="6" t="s">
        <v>85</v>
      </c>
      <c r="Q343" s="6" t="s">
        <v>4923</v>
      </c>
      <c r="R343" s="6" t="s">
        <v>5567</v>
      </c>
    </row>
    <row r="344" customFormat="false" ht="23.85" hidden="false" customHeight="false" outlineLevel="0" collapsed="false">
      <c r="A344" s="6" t="s">
        <v>4919</v>
      </c>
      <c r="B344" s="6" t="s">
        <v>102</v>
      </c>
      <c r="C344" s="6" t="s">
        <v>4848</v>
      </c>
      <c r="D344" s="6" t="s">
        <v>2999</v>
      </c>
      <c r="E344" s="6" t="s">
        <v>2999</v>
      </c>
      <c r="F344" s="6" t="s">
        <v>3001</v>
      </c>
      <c r="G344" s="6" t="s">
        <v>3000</v>
      </c>
      <c r="H344" s="6" t="s">
        <v>1445</v>
      </c>
      <c r="I344" s="6" t="s">
        <v>4680</v>
      </c>
      <c r="J344" s="6" t="s">
        <v>5365</v>
      </c>
      <c r="K344" s="6" t="s">
        <v>4726</v>
      </c>
      <c r="L344" s="2" t="s">
        <v>5709</v>
      </c>
      <c r="M344" s="2" t="s">
        <v>5710</v>
      </c>
      <c r="N344" s="9" t="s">
        <v>3006</v>
      </c>
      <c r="O344" s="6" t="s">
        <v>504</v>
      </c>
      <c r="P344" s="6" t="s">
        <v>85</v>
      </c>
      <c r="Q344" s="6" t="s">
        <v>4923</v>
      </c>
      <c r="R344" s="6" t="s">
        <v>5567</v>
      </c>
    </row>
    <row r="345" customFormat="false" ht="23.85" hidden="false" customHeight="false" outlineLevel="0" collapsed="false">
      <c r="A345" s="6" t="s">
        <v>4919</v>
      </c>
      <c r="B345" s="6" t="s">
        <v>102</v>
      </c>
      <c r="C345" s="6" t="s">
        <v>4848</v>
      </c>
      <c r="D345" s="6" t="s">
        <v>2222</v>
      </c>
      <c r="E345" s="6" t="s">
        <v>5711</v>
      </c>
      <c r="F345" s="6" t="s">
        <v>2223</v>
      </c>
      <c r="G345" s="6" t="s">
        <v>153</v>
      </c>
      <c r="H345" s="6" t="s">
        <v>1445</v>
      </c>
      <c r="I345" s="6" t="s">
        <v>4684</v>
      </c>
      <c r="J345" s="6" t="s">
        <v>5365</v>
      </c>
      <c r="K345" s="6" t="s">
        <v>4679</v>
      </c>
      <c r="L345" s="2" t="s">
        <v>5712</v>
      </c>
      <c r="M345" s="2" t="s">
        <v>1447</v>
      </c>
      <c r="N345" s="9" t="s">
        <v>733</v>
      </c>
      <c r="O345" s="6" t="s">
        <v>1162</v>
      </c>
      <c r="P345" s="6" t="s">
        <v>106</v>
      </c>
      <c r="Q345" s="6" t="s">
        <v>4923</v>
      </c>
      <c r="R345" s="6" t="s">
        <v>5567</v>
      </c>
    </row>
    <row r="346" customFormat="false" ht="23.85" hidden="false" customHeight="false" outlineLevel="0" collapsed="false">
      <c r="A346" s="6" t="s">
        <v>4919</v>
      </c>
      <c r="B346" s="6" t="s">
        <v>102</v>
      </c>
      <c r="C346" s="6" t="s">
        <v>4848</v>
      </c>
      <c r="D346" s="6" t="s">
        <v>3025</v>
      </c>
      <c r="E346" s="6" t="s">
        <v>3025</v>
      </c>
      <c r="F346" s="6" t="s">
        <v>3026</v>
      </c>
      <c r="G346" s="6" t="s">
        <v>1215</v>
      </c>
      <c r="H346" s="6" t="s">
        <v>1445</v>
      </c>
      <c r="I346" s="6" t="s">
        <v>4684</v>
      </c>
      <c r="J346" s="6" t="s">
        <v>5365</v>
      </c>
      <c r="K346" s="6" t="s">
        <v>4679</v>
      </c>
      <c r="L346" s="2" t="s">
        <v>3027</v>
      </c>
      <c r="M346" s="2" t="s">
        <v>1447</v>
      </c>
      <c r="N346" s="9" t="s">
        <v>1449</v>
      </c>
      <c r="O346" s="6" t="s">
        <v>504</v>
      </c>
      <c r="P346" s="6" t="s">
        <v>106</v>
      </c>
      <c r="Q346" s="6" t="s">
        <v>4923</v>
      </c>
      <c r="R346" s="6" t="s">
        <v>5567</v>
      </c>
    </row>
    <row r="347" customFormat="false" ht="23.85" hidden="false" customHeight="false" outlineLevel="0" collapsed="false">
      <c r="A347" s="6" t="s">
        <v>4919</v>
      </c>
      <c r="B347" s="6" t="s">
        <v>102</v>
      </c>
      <c r="C347" s="6" t="s">
        <v>4848</v>
      </c>
      <c r="D347" s="6" t="s">
        <v>1126</v>
      </c>
      <c r="E347" s="6" t="s">
        <v>1126</v>
      </c>
      <c r="F347" s="6" t="s">
        <v>1128</v>
      </c>
      <c r="G347" s="6" t="s">
        <v>1127</v>
      </c>
      <c r="H347" s="6" t="s">
        <v>1445</v>
      </c>
      <c r="I347" s="6" t="s">
        <v>4680</v>
      </c>
      <c r="J347" s="6" t="s">
        <v>5713</v>
      </c>
      <c r="K347" s="6" t="s">
        <v>4726</v>
      </c>
      <c r="L347" s="2" t="s">
        <v>5714</v>
      </c>
      <c r="M347" s="2" t="s">
        <v>5715</v>
      </c>
      <c r="N347" s="9" t="s">
        <v>1134</v>
      </c>
      <c r="O347" s="6" t="s">
        <v>5713</v>
      </c>
      <c r="P347" s="6" t="s">
        <v>106</v>
      </c>
      <c r="Q347" s="6" t="s">
        <v>4923</v>
      </c>
      <c r="R347" s="6" t="s">
        <v>5567</v>
      </c>
    </row>
    <row r="348" customFormat="false" ht="23.85" hidden="false" customHeight="false" outlineLevel="0" collapsed="false">
      <c r="A348" s="6" t="s">
        <v>4919</v>
      </c>
      <c r="B348" s="6" t="s">
        <v>102</v>
      </c>
      <c r="C348" s="6" t="s">
        <v>4848</v>
      </c>
      <c r="D348" s="6" t="s">
        <v>2653</v>
      </c>
      <c r="E348" s="6" t="s">
        <v>2653</v>
      </c>
      <c r="F348" s="6" t="s">
        <v>2654</v>
      </c>
      <c r="G348" s="6" t="s">
        <v>1127</v>
      </c>
      <c r="H348" s="6" t="s">
        <v>1445</v>
      </c>
      <c r="I348" s="6" t="s">
        <v>4680</v>
      </c>
      <c r="J348" s="6" t="s">
        <v>5370</v>
      </c>
      <c r="K348" s="6" t="s">
        <v>4726</v>
      </c>
      <c r="L348" s="2" t="s">
        <v>5716</v>
      </c>
      <c r="M348" s="2" t="s">
        <v>5717</v>
      </c>
      <c r="N348" s="9" t="s">
        <v>2659</v>
      </c>
      <c r="O348" s="6" t="s">
        <v>143</v>
      </c>
      <c r="P348" s="6" t="s">
        <v>85</v>
      </c>
      <c r="Q348" s="6" t="s">
        <v>4923</v>
      </c>
      <c r="R348" s="6" t="s">
        <v>5567</v>
      </c>
    </row>
    <row r="349" customFormat="false" ht="46.25" hidden="false" customHeight="false" outlineLevel="0" collapsed="false">
      <c r="A349" s="6" t="s">
        <v>4919</v>
      </c>
      <c r="B349" s="6" t="s">
        <v>102</v>
      </c>
      <c r="C349" s="6" t="s">
        <v>4848</v>
      </c>
      <c r="D349" s="6" t="s">
        <v>2229</v>
      </c>
      <c r="E349" s="6" t="s">
        <v>2229</v>
      </c>
      <c r="F349" s="6" t="s">
        <v>729</v>
      </c>
      <c r="G349" s="6" t="s">
        <v>164</v>
      </c>
      <c r="H349" s="6" t="s">
        <v>1445</v>
      </c>
      <c r="I349" s="6" t="s">
        <v>4684</v>
      </c>
      <c r="J349" s="6" t="s">
        <v>5365</v>
      </c>
      <c r="K349" s="6" t="s">
        <v>4679</v>
      </c>
      <c r="L349" s="2" t="s">
        <v>2232</v>
      </c>
      <c r="M349" s="2" t="s">
        <v>2231</v>
      </c>
      <c r="N349" s="9" t="s">
        <v>733</v>
      </c>
      <c r="O349" s="6" t="s">
        <v>1162</v>
      </c>
      <c r="P349" s="6" t="s">
        <v>106</v>
      </c>
      <c r="Q349" s="6" t="s">
        <v>4923</v>
      </c>
      <c r="R349" s="6" t="s">
        <v>5567</v>
      </c>
    </row>
    <row r="350" customFormat="false" ht="23.85" hidden="false" customHeight="false" outlineLevel="0" collapsed="false">
      <c r="A350" s="6" t="s">
        <v>4919</v>
      </c>
      <c r="B350" s="6" t="s">
        <v>102</v>
      </c>
      <c r="C350" s="6" t="s">
        <v>4848</v>
      </c>
      <c r="D350" s="6" t="s">
        <v>3036</v>
      </c>
      <c r="E350" s="6" t="s">
        <v>3036</v>
      </c>
      <c r="F350" s="6" t="s">
        <v>3036</v>
      </c>
      <c r="G350" s="6" t="s">
        <v>3000</v>
      </c>
      <c r="H350" s="6" t="s">
        <v>1445</v>
      </c>
      <c r="I350" s="6" t="s">
        <v>4684</v>
      </c>
      <c r="J350" s="6" t="s">
        <v>5365</v>
      </c>
      <c r="K350" s="6" t="s">
        <v>4679</v>
      </c>
      <c r="L350" s="2" t="s">
        <v>3037</v>
      </c>
      <c r="M350" s="2" t="s">
        <v>1447</v>
      </c>
      <c r="N350" s="9" t="s">
        <v>733</v>
      </c>
      <c r="O350" s="6" t="s">
        <v>1162</v>
      </c>
      <c r="P350" s="6" t="s">
        <v>106</v>
      </c>
      <c r="Q350" s="6" t="s">
        <v>4923</v>
      </c>
      <c r="R350" s="6" t="s">
        <v>5567</v>
      </c>
    </row>
    <row r="351" customFormat="false" ht="15" hidden="false" customHeight="false" outlineLevel="0" collapsed="false">
      <c r="A351" s="6" t="s">
        <v>4919</v>
      </c>
      <c r="B351" s="6" t="s">
        <v>102</v>
      </c>
      <c r="C351" s="6" t="s">
        <v>4848</v>
      </c>
      <c r="D351" s="6" t="s">
        <v>3983</v>
      </c>
      <c r="E351" s="6" t="s">
        <v>3983</v>
      </c>
      <c r="F351" s="6" t="s">
        <v>2640</v>
      </c>
      <c r="G351" s="6" t="s">
        <v>507</v>
      </c>
      <c r="H351" s="6" t="s">
        <v>1445</v>
      </c>
      <c r="I351" s="6" t="s">
        <v>4684</v>
      </c>
      <c r="J351" s="6" t="s">
        <v>5365</v>
      </c>
      <c r="K351" s="6" t="s">
        <v>4679</v>
      </c>
      <c r="L351" s="2" t="s">
        <v>3985</v>
      </c>
      <c r="M351" s="2" t="s">
        <v>3984</v>
      </c>
      <c r="N351" s="9" t="s">
        <v>1449</v>
      </c>
      <c r="O351" s="6" t="s">
        <v>504</v>
      </c>
      <c r="P351" s="6" t="s">
        <v>106</v>
      </c>
      <c r="Q351" s="6" t="s">
        <v>4923</v>
      </c>
      <c r="R351" s="6" t="s">
        <v>5567</v>
      </c>
    </row>
    <row r="352" customFormat="false" ht="23.85" hidden="false" customHeight="false" outlineLevel="0" collapsed="false">
      <c r="A352" s="6" t="s">
        <v>4919</v>
      </c>
      <c r="B352" s="6" t="s">
        <v>102</v>
      </c>
      <c r="C352" s="6" t="s">
        <v>4848</v>
      </c>
      <c r="D352" s="6" t="s">
        <v>3120</v>
      </c>
      <c r="E352" s="6" t="s">
        <v>3120</v>
      </c>
      <c r="F352" s="6" t="s">
        <v>1228</v>
      </c>
      <c r="G352" s="6" t="s">
        <v>182</v>
      </c>
      <c r="H352" s="6" t="s">
        <v>1445</v>
      </c>
      <c r="I352" s="6" t="s">
        <v>4684</v>
      </c>
      <c r="J352" s="6" t="s">
        <v>5365</v>
      </c>
      <c r="K352" s="6" t="s">
        <v>4726</v>
      </c>
      <c r="L352" s="2" t="s">
        <v>5718</v>
      </c>
      <c r="M352" s="2" t="s">
        <v>5719</v>
      </c>
      <c r="N352" s="9" t="s">
        <v>2964</v>
      </c>
      <c r="O352" s="6" t="s">
        <v>150</v>
      </c>
      <c r="P352" s="6" t="s">
        <v>85</v>
      </c>
      <c r="Q352" s="6" t="s">
        <v>4923</v>
      </c>
      <c r="R352" s="6" t="s">
        <v>5567</v>
      </c>
    </row>
    <row r="353" customFormat="false" ht="23.85" hidden="false" customHeight="false" outlineLevel="0" collapsed="false">
      <c r="A353" s="6" t="s">
        <v>4919</v>
      </c>
      <c r="B353" s="6" t="s">
        <v>102</v>
      </c>
      <c r="C353" s="6" t="s">
        <v>4848</v>
      </c>
      <c r="D353" s="6" t="s">
        <v>3043</v>
      </c>
      <c r="E353" s="6" t="s">
        <v>3043</v>
      </c>
      <c r="F353" s="6" t="s">
        <v>3044</v>
      </c>
      <c r="G353" s="6" t="s">
        <v>1215</v>
      </c>
      <c r="H353" s="6" t="s">
        <v>1445</v>
      </c>
      <c r="I353" s="6" t="s">
        <v>4684</v>
      </c>
      <c r="J353" s="6" t="s">
        <v>5365</v>
      </c>
      <c r="K353" s="6" t="s">
        <v>4726</v>
      </c>
      <c r="L353" s="2" t="s">
        <v>5720</v>
      </c>
      <c r="M353" s="2" t="s">
        <v>5721</v>
      </c>
      <c r="N353" s="9" t="s">
        <v>733</v>
      </c>
      <c r="O353" s="6" t="s">
        <v>1162</v>
      </c>
      <c r="P353" s="6" t="s">
        <v>85</v>
      </c>
      <c r="Q353" s="6" t="s">
        <v>4923</v>
      </c>
      <c r="R353" s="6" t="s">
        <v>5567</v>
      </c>
    </row>
    <row r="354" customFormat="false" ht="23.85" hidden="false" customHeight="false" outlineLevel="0" collapsed="false">
      <c r="A354" s="6" t="s">
        <v>4919</v>
      </c>
      <c r="B354" s="6" t="s">
        <v>102</v>
      </c>
      <c r="C354" s="6" t="s">
        <v>4848</v>
      </c>
      <c r="D354" s="6" t="s">
        <v>3058</v>
      </c>
      <c r="E354" s="6" t="s">
        <v>3058</v>
      </c>
      <c r="F354" s="6" t="s">
        <v>3059</v>
      </c>
      <c r="G354" s="6" t="s">
        <v>1215</v>
      </c>
      <c r="H354" s="6" t="s">
        <v>1445</v>
      </c>
      <c r="I354" s="6" t="s">
        <v>4732</v>
      </c>
      <c r="J354" s="6" t="s">
        <v>5365</v>
      </c>
      <c r="K354" s="6" t="s">
        <v>4679</v>
      </c>
      <c r="L354" s="2" t="s">
        <v>3061</v>
      </c>
      <c r="M354" s="2" t="s">
        <v>1447</v>
      </c>
      <c r="N354" s="9" t="s">
        <v>3062</v>
      </c>
      <c r="O354" s="6" t="s">
        <v>1943</v>
      </c>
      <c r="P354" s="6" t="s">
        <v>85</v>
      </c>
      <c r="Q354" s="6" t="s">
        <v>4923</v>
      </c>
      <c r="R354" s="6" t="s">
        <v>5567</v>
      </c>
    </row>
    <row r="355" customFormat="false" ht="23.85" hidden="false" customHeight="false" outlineLevel="0" collapsed="false">
      <c r="A355" s="6" t="s">
        <v>4720</v>
      </c>
      <c r="B355" s="6" t="s">
        <v>102</v>
      </c>
      <c r="C355" s="6" t="s">
        <v>4697</v>
      </c>
      <c r="D355" s="6" t="s">
        <v>1181</v>
      </c>
      <c r="E355" s="6" t="s">
        <v>1181</v>
      </c>
      <c r="F355" s="6" t="s">
        <v>1182</v>
      </c>
      <c r="G355" s="6" t="s">
        <v>164</v>
      </c>
      <c r="H355" s="6" t="s">
        <v>287</v>
      </c>
      <c r="I355" s="6" t="s">
        <v>4697</v>
      </c>
      <c r="J355" s="6" t="s">
        <v>5722</v>
      </c>
      <c r="K355" s="6" t="s">
        <v>4679</v>
      </c>
      <c r="L355" s="2" t="s">
        <v>5723</v>
      </c>
      <c r="M355" s="2" t="s">
        <v>5724</v>
      </c>
      <c r="N355" s="9" t="s">
        <v>1187</v>
      </c>
      <c r="O355" s="6" t="s">
        <v>5722</v>
      </c>
      <c r="P355" s="6" t="s">
        <v>98</v>
      </c>
      <c r="Q355" s="6" t="s">
        <v>4720</v>
      </c>
      <c r="R355" s="6" t="s">
        <v>5368</v>
      </c>
    </row>
    <row r="356" customFormat="false" ht="15" hidden="false" customHeight="false" outlineLevel="0" collapsed="false">
      <c r="A356" s="6" t="s">
        <v>4720</v>
      </c>
      <c r="B356" s="6" t="s">
        <v>102</v>
      </c>
      <c r="C356" s="6" t="s">
        <v>4697</v>
      </c>
      <c r="D356" s="6" t="s">
        <v>1105</v>
      </c>
      <c r="E356" s="6" t="s">
        <v>1105</v>
      </c>
      <c r="F356" s="6" t="s">
        <v>1106</v>
      </c>
      <c r="G356" s="6" t="s">
        <v>507</v>
      </c>
      <c r="H356" s="6" t="s">
        <v>287</v>
      </c>
      <c r="I356" s="6" t="s">
        <v>4697</v>
      </c>
      <c r="J356" s="6" t="s">
        <v>236</v>
      </c>
      <c r="K356" s="6" t="s">
        <v>4790</v>
      </c>
      <c r="L356" s="2" t="s">
        <v>1111</v>
      </c>
      <c r="M356" s="2" t="s">
        <v>5725</v>
      </c>
      <c r="N356" s="9" t="s">
        <v>1112</v>
      </c>
      <c r="O356" s="6" t="s">
        <v>236</v>
      </c>
      <c r="P356" s="6" t="s">
        <v>85</v>
      </c>
      <c r="Q356" s="6" t="s">
        <v>4720</v>
      </c>
      <c r="R356" s="6" t="s">
        <v>5357</v>
      </c>
    </row>
    <row r="357" customFormat="false" ht="15" hidden="false" customHeight="false" outlineLevel="0" collapsed="false">
      <c r="A357" s="6" t="s">
        <v>4720</v>
      </c>
      <c r="B357" s="6" t="s">
        <v>102</v>
      </c>
      <c r="C357" s="6" t="s">
        <v>4697</v>
      </c>
      <c r="D357" s="6" t="s">
        <v>2565</v>
      </c>
      <c r="E357" s="6" t="s">
        <v>2565</v>
      </c>
      <c r="F357" s="6" t="s">
        <v>2566</v>
      </c>
      <c r="G357" s="6" t="s">
        <v>182</v>
      </c>
      <c r="H357" s="6" t="s">
        <v>287</v>
      </c>
      <c r="I357" s="6" t="s">
        <v>4697</v>
      </c>
      <c r="J357" s="6" t="s">
        <v>2000</v>
      </c>
      <c r="K357" s="6" t="s">
        <v>4679</v>
      </c>
      <c r="L357" s="2" t="s">
        <v>2569</v>
      </c>
      <c r="M357" s="2" t="s">
        <v>5726</v>
      </c>
      <c r="N357" s="9" t="s">
        <v>2570</v>
      </c>
      <c r="O357" s="6" t="s">
        <v>2000</v>
      </c>
      <c r="P357" s="6" t="s">
        <v>106</v>
      </c>
      <c r="Q357" s="6" t="s">
        <v>4720</v>
      </c>
      <c r="R357" s="6" t="s">
        <v>5368</v>
      </c>
    </row>
    <row r="358" customFormat="false" ht="15" hidden="false" customHeight="false" outlineLevel="0" collapsed="false">
      <c r="A358" s="6" t="s">
        <v>4720</v>
      </c>
      <c r="B358" s="6" t="s">
        <v>102</v>
      </c>
      <c r="C358" s="6" t="s">
        <v>4697</v>
      </c>
      <c r="D358" s="6" t="s">
        <v>4019</v>
      </c>
      <c r="E358" s="6" t="s">
        <v>4019</v>
      </c>
      <c r="F358" s="6" t="s">
        <v>4019</v>
      </c>
      <c r="G358" s="6" t="s">
        <v>507</v>
      </c>
      <c r="H358" s="6" t="s">
        <v>1445</v>
      </c>
      <c r="I358" s="6" t="s">
        <v>4697</v>
      </c>
      <c r="J358" s="6" t="s">
        <v>160</v>
      </c>
      <c r="K358" s="6" t="s">
        <v>4675</v>
      </c>
      <c r="L358" s="2" t="s">
        <v>4022</v>
      </c>
      <c r="M358" s="2" t="s">
        <v>4021</v>
      </c>
      <c r="N358" s="9" t="s">
        <v>4023</v>
      </c>
      <c r="O358" s="6" t="s">
        <v>160</v>
      </c>
      <c r="P358" s="6" t="s">
        <v>85</v>
      </c>
      <c r="Q358" s="6" t="s">
        <v>4720</v>
      </c>
      <c r="R358" s="6" t="s">
        <v>5433</v>
      </c>
    </row>
    <row r="359" customFormat="false" ht="23.85" hidden="false" customHeight="false" outlineLevel="0" collapsed="false">
      <c r="A359" s="6" t="s">
        <v>4969</v>
      </c>
      <c r="B359" s="6" t="s">
        <v>102</v>
      </c>
      <c r="C359" s="6" t="s">
        <v>4848</v>
      </c>
      <c r="D359" s="6" t="s">
        <v>457</v>
      </c>
      <c r="E359" s="6" t="s">
        <v>457</v>
      </c>
      <c r="F359" s="6" t="s">
        <v>336</v>
      </c>
      <c r="G359" s="6" t="s">
        <v>239</v>
      </c>
      <c r="H359" s="6" t="s">
        <v>287</v>
      </c>
      <c r="I359" s="6" t="s">
        <v>4684</v>
      </c>
      <c r="J359" s="6" t="s">
        <v>5365</v>
      </c>
      <c r="K359" s="6" t="s">
        <v>4790</v>
      </c>
      <c r="L359" s="2" t="s">
        <v>460</v>
      </c>
      <c r="M359" s="2" t="s">
        <v>5727</v>
      </c>
      <c r="N359" s="9" t="s">
        <v>5728</v>
      </c>
      <c r="O359" s="6" t="s">
        <v>461</v>
      </c>
      <c r="P359" s="6" t="s">
        <v>106</v>
      </c>
      <c r="Q359" s="6" t="s">
        <v>4970</v>
      </c>
      <c r="R359" s="6" t="s">
        <v>5368</v>
      </c>
    </row>
    <row r="360" customFormat="false" ht="23.85" hidden="false" customHeight="false" outlineLevel="0" collapsed="false">
      <c r="A360" s="6" t="s">
        <v>4776</v>
      </c>
      <c r="B360" s="6" t="s">
        <v>102</v>
      </c>
      <c r="C360" s="6" t="s">
        <v>4697</v>
      </c>
      <c r="D360" s="6" t="s">
        <v>1643</v>
      </c>
      <c r="E360" s="6" t="s">
        <v>1643</v>
      </c>
      <c r="F360" s="6" t="s">
        <v>1645</v>
      </c>
      <c r="G360" s="6" t="s">
        <v>1644</v>
      </c>
      <c r="H360" s="6" t="s">
        <v>287</v>
      </c>
      <c r="I360" s="6" t="s">
        <v>4697</v>
      </c>
      <c r="J360" s="6" t="s">
        <v>178</v>
      </c>
      <c r="K360" s="6" t="s">
        <v>4675</v>
      </c>
      <c r="L360" s="2" t="s">
        <v>1649</v>
      </c>
      <c r="M360" s="2" t="s">
        <v>4775</v>
      </c>
      <c r="N360" s="9" t="s">
        <v>1651</v>
      </c>
      <c r="O360" s="6" t="s">
        <v>178</v>
      </c>
      <c r="P360" s="6" t="s">
        <v>85</v>
      </c>
      <c r="Q360" s="6" t="s">
        <v>5729</v>
      </c>
      <c r="R360" s="6" t="s">
        <v>5433</v>
      </c>
    </row>
    <row r="361" customFormat="false" ht="23.85" hidden="false" customHeight="false" outlineLevel="0" collapsed="false">
      <c r="A361" s="6" t="s">
        <v>4776</v>
      </c>
      <c r="B361" s="6" t="s">
        <v>102</v>
      </c>
      <c r="C361" s="6" t="s">
        <v>4697</v>
      </c>
      <c r="D361" s="6" t="s">
        <v>750</v>
      </c>
      <c r="E361" s="6" t="s">
        <v>750</v>
      </c>
      <c r="F361" s="6" t="s">
        <v>751</v>
      </c>
      <c r="G361" s="6" t="s">
        <v>153</v>
      </c>
      <c r="H361" s="6" t="s">
        <v>287</v>
      </c>
      <c r="I361" s="6" t="s">
        <v>4697</v>
      </c>
      <c r="J361" s="6" t="s">
        <v>5490</v>
      </c>
      <c r="K361" s="6" t="s">
        <v>4790</v>
      </c>
      <c r="L361" s="2" t="s">
        <v>5730</v>
      </c>
      <c r="M361" s="2" t="s">
        <v>5731</v>
      </c>
      <c r="N361" s="9" t="s">
        <v>756</v>
      </c>
      <c r="O361" s="6" t="s">
        <v>642</v>
      </c>
      <c r="P361" s="6" t="s">
        <v>85</v>
      </c>
      <c r="Q361" s="6" t="s">
        <v>5732</v>
      </c>
      <c r="R361" s="6" t="s">
        <v>5357</v>
      </c>
    </row>
    <row r="362" customFormat="false" ht="23.85" hidden="false" customHeight="false" outlineLevel="0" collapsed="false">
      <c r="A362" s="6" t="s">
        <v>4776</v>
      </c>
      <c r="B362" s="6" t="s">
        <v>102</v>
      </c>
      <c r="C362" s="6" t="s">
        <v>4697</v>
      </c>
      <c r="D362" s="6" t="s">
        <v>3099</v>
      </c>
      <c r="E362" s="6" t="s">
        <v>3099</v>
      </c>
      <c r="F362" s="6" t="s">
        <v>3099</v>
      </c>
      <c r="G362" s="6" t="s">
        <v>507</v>
      </c>
      <c r="H362" s="6" t="s">
        <v>1445</v>
      </c>
      <c r="I362" s="6" t="s">
        <v>4676</v>
      </c>
      <c r="J362" s="6" t="s">
        <v>130</v>
      </c>
      <c r="K362" s="6" t="s">
        <v>4675</v>
      </c>
      <c r="L362" s="2" t="s">
        <v>4002</v>
      </c>
      <c r="M362" s="2" t="s">
        <v>4001</v>
      </c>
      <c r="N362" s="9" t="s">
        <v>4003</v>
      </c>
      <c r="O362" s="6" t="s">
        <v>130</v>
      </c>
      <c r="P362" s="6" t="s">
        <v>85</v>
      </c>
      <c r="Q362" s="6" t="s">
        <v>4776</v>
      </c>
      <c r="R362" s="6" t="s">
        <v>5357</v>
      </c>
    </row>
    <row r="363" customFormat="false" ht="23.85" hidden="false" customHeight="false" outlineLevel="0" collapsed="false">
      <c r="A363" s="6" t="s">
        <v>4914</v>
      </c>
      <c r="B363" s="6" t="s">
        <v>102</v>
      </c>
      <c r="C363" s="6" t="s">
        <v>4848</v>
      </c>
      <c r="D363" s="6" t="s">
        <v>109</v>
      </c>
      <c r="E363" s="6" t="s">
        <v>5733</v>
      </c>
      <c r="F363" s="6" t="s">
        <v>5734</v>
      </c>
      <c r="G363" s="6" t="s">
        <v>90</v>
      </c>
      <c r="H363" s="6" t="s">
        <v>77</v>
      </c>
      <c r="I363" s="6" t="s">
        <v>4684</v>
      </c>
      <c r="J363" s="6" t="s">
        <v>5365</v>
      </c>
      <c r="K363" s="6" t="s">
        <v>4790</v>
      </c>
      <c r="L363" s="2" t="s">
        <v>1720</v>
      </c>
      <c r="M363" s="2" t="s">
        <v>1719</v>
      </c>
      <c r="N363" s="9" t="s">
        <v>108</v>
      </c>
      <c r="O363" s="6" t="s">
        <v>97</v>
      </c>
      <c r="P363" s="6" t="s">
        <v>98</v>
      </c>
      <c r="Q363" s="6" t="s">
        <v>4914</v>
      </c>
      <c r="R363" s="6" t="s">
        <v>5613</v>
      </c>
    </row>
    <row r="364" customFormat="false" ht="35.05" hidden="false" customHeight="false" outlineLevel="0" collapsed="false">
      <c r="A364" s="6" t="s">
        <v>4914</v>
      </c>
      <c r="B364" s="6" t="s">
        <v>102</v>
      </c>
      <c r="C364" s="6" t="s">
        <v>4848</v>
      </c>
      <c r="D364" s="6" t="s">
        <v>133</v>
      </c>
      <c r="E364" s="6" t="s">
        <v>133</v>
      </c>
      <c r="F364" s="6" t="s">
        <v>134</v>
      </c>
      <c r="G364" s="6" t="s">
        <v>76</v>
      </c>
      <c r="H364" s="6" t="s">
        <v>77</v>
      </c>
      <c r="I364" s="6" t="s">
        <v>4680</v>
      </c>
      <c r="J364" s="6" t="s">
        <v>5365</v>
      </c>
      <c r="K364" s="6" t="s">
        <v>4790</v>
      </c>
      <c r="L364" s="2" t="s">
        <v>5735</v>
      </c>
      <c r="M364" s="2" t="s">
        <v>5736</v>
      </c>
      <c r="N364" s="9" t="s">
        <v>138</v>
      </c>
      <c r="O364" s="6" t="s">
        <v>97</v>
      </c>
      <c r="P364" s="6" t="s">
        <v>106</v>
      </c>
      <c r="Q364" s="6" t="s">
        <v>4914</v>
      </c>
      <c r="R364" s="6" t="s">
        <v>5613</v>
      </c>
    </row>
    <row r="365" customFormat="false" ht="23.85" hidden="false" customHeight="false" outlineLevel="0" collapsed="false">
      <c r="A365" s="6" t="s">
        <v>4914</v>
      </c>
      <c r="B365" s="6" t="s">
        <v>102</v>
      </c>
      <c r="C365" s="6" t="s">
        <v>4848</v>
      </c>
      <c r="D365" s="6" t="s">
        <v>1090</v>
      </c>
      <c r="E365" s="6" t="s">
        <v>5737</v>
      </c>
      <c r="F365" s="6" t="s">
        <v>1091</v>
      </c>
      <c r="G365" s="6" t="s">
        <v>507</v>
      </c>
      <c r="H365" s="6" t="s">
        <v>287</v>
      </c>
      <c r="I365" s="6" t="s">
        <v>4684</v>
      </c>
      <c r="J365" s="6" t="s">
        <v>5365</v>
      </c>
      <c r="K365" s="6" t="s">
        <v>4790</v>
      </c>
      <c r="L365" s="2" t="s">
        <v>5738</v>
      </c>
      <c r="M365" s="2" t="s">
        <v>5739</v>
      </c>
      <c r="N365" s="9" t="s">
        <v>1097</v>
      </c>
      <c r="O365" s="6" t="s">
        <v>160</v>
      </c>
      <c r="P365" s="6" t="s">
        <v>106</v>
      </c>
      <c r="Q365" s="6" t="s">
        <v>4914</v>
      </c>
      <c r="R365" s="6" t="s">
        <v>5357</v>
      </c>
    </row>
    <row r="366" customFormat="false" ht="23.85" hidden="false" customHeight="false" outlineLevel="0" collapsed="false">
      <c r="A366" s="6" t="s">
        <v>4914</v>
      </c>
      <c r="B366" s="6" t="s">
        <v>102</v>
      </c>
      <c r="C366" s="6" t="s">
        <v>4848</v>
      </c>
      <c r="D366" s="6" t="s">
        <v>1090</v>
      </c>
      <c r="E366" s="6" t="s">
        <v>1090</v>
      </c>
      <c r="F366" s="6" t="s">
        <v>1090</v>
      </c>
      <c r="G366" s="6" t="s">
        <v>507</v>
      </c>
      <c r="H366" s="6" t="s">
        <v>287</v>
      </c>
      <c r="I366" s="6" t="s">
        <v>4680</v>
      </c>
      <c r="J366" s="6" t="s">
        <v>5365</v>
      </c>
      <c r="K366" s="6" t="s">
        <v>4790</v>
      </c>
      <c r="L366" s="2" t="s">
        <v>5740</v>
      </c>
      <c r="M366" s="2" t="s">
        <v>5741</v>
      </c>
      <c r="N366" s="9" t="s">
        <v>5742</v>
      </c>
      <c r="O366" s="6" t="s">
        <v>160</v>
      </c>
      <c r="P366" s="6" t="s">
        <v>106</v>
      </c>
      <c r="Q366" s="6" t="s">
        <v>4914</v>
      </c>
      <c r="R366" s="6" t="s">
        <v>5613</v>
      </c>
    </row>
    <row r="367" customFormat="false" ht="15" hidden="false" customHeight="false" outlineLevel="0" collapsed="false">
      <c r="A367" s="6" t="s">
        <v>4914</v>
      </c>
      <c r="B367" s="6" t="s">
        <v>102</v>
      </c>
      <c r="C367" s="6" t="s">
        <v>4848</v>
      </c>
      <c r="D367" s="6" t="s">
        <v>2019</v>
      </c>
      <c r="E367" s="6" t="s">
        <v>2019</v>
      </c>
      <c r="F367" s="6" t="s">
        <v>2020</v>
      </c>
      <c r="G367" s="6" t="s">
        <v>118</v>
      </c>
      <c r="H367" s="6" t="s">
        <v>287</v>
      </c>
      <c r="I367" s="6" t="s">
        <v>4684</v>
      </c>
      <c r="J367" s="6" t="s">
        <v>5365</v>
      </c>
      <c r="K367" s="6" t="s">
        <v>4679</v>
      </c>
      <c r="L367" s="2" t="s">
        <v>2021</v>
      </c>
      <c r="M367" s="2"/>
      <c r="N367" s="9" t="s">
        <v>2023</v>
      </c>
      <c r="O367" s="6" t="s">
        <v>2022</v>
      </c>
      <c r="P367" s="6" t="s">
        <v>106</v>
      </c>
      <c r="Q367" s="6" t="s">
        <v>5743</v>
      </c>
      <c r="R367" s="6" t="s">
        <v>5613</v>
      </c>
    </row>
    <row r="368" customFormat="false" ht="23.85" hidden="false" customHeight="false" outlineLevel="0" collapsed="false">
      <c r="A368" s="6" t="s">
        <v>4914</v>
      </c>
      <c r="B368" s="6" t="s">
        <v>102</v>
      </c>
      <c r="C368" s="6" t="s">
        <v>4848</v>
      </c>
      <c r="D368" s="6" t="s">
        <v>663</v>
      </c>
      <c r="E368" s="6" t="s">
        <v>663</v>
      </c>
      <c r="F368" s="6" t="s">
        <v>663</v>
      </c>
      <c r="G368" s="6" t="s">
        <v>153</v>
      </c>
      <c r="H368" s="6" t="s">
        <v>287</v>
      </c>
      <c r="I368" s="6" t="s">
        <v>4684</v>
      </c>
      <c r="J368" s="6" t="s">
        <v>5365</v>
      </c>
      <c r="K368" s="6" t="s">
        <v>4679</v>
      </c>
      <c r="L368" s="2" t="s">
        <v>666</v>
      </c>
      <c r="M368" s="2" t="s">
        <v>665</v>
      </c>
      <c r="N368" s="9" t="s">
        <v>667</v>
      </c>
      <c r="O368" s="6" t="s">
        <v>84</v>
      </c>
      <c r="P368" s="6" t="s">
        <v>106</v>
      </c>
      <c r="Q368" s="6" t="s">
        <v>5744</v>
      </c>
      <c r="R368" s="6" t="s">
        <v>5567</v>
      </c>
    </row>
    <row r="369" customFormat="false" ht="23.85" hidden="false" customHeight="false" outlineLevel="0" collapsed="false">
      <c r="A369" s="6" t="s">
        <v>4914</v>
      </c>
      <c r="B369" s="6" t="s">
        <v>102</v>
      </c>
      <c r="C369" s="6" t="s">
        <v>4848</v>
      </c>
      <c r="D369" s="6" t="s">
        <v>1717</v>
      </c>
      <c r="E369" s="6" t="s">
        <v>1717</v>
      </c>
      <c r="F369" s="6" t="s">
        <v>1718</v>
      </c>
      <c r="G369" s="6" t="s">
        <v>1085</v>
      </c>
      <c r="H369" s="6" t="s">
        <v>287</v>
      </c>
      <c r="I369" s="6" t="s">
        <v>4684</v>
      </c>
      <c r="J369" s="6" t="s">
        <v>5365</v>
      </c>
      <c r="K369" s="6" t="s">
        <v>4790</v>
      </c>
      <c r="L369" s="2" t="s">
        <v>1720</v>
      </c>
      <c r="M369" s="2" t="s">
        <v>1719</v>
      </c>
      <c r="N369" s="9" t="s">
        <v>108</v>
      </c>
      <c r="O369" s="6" t="s">
        <v>97</v>
      </c>
      <c r="P369" s="6" t="s">
        <v>98</v>
      </c>
      <c r="Q369" s="6" t="s">
        <v>4914</v>
      </c>
      <c r="R369" s="6" t="s">
        <v>5613</v>
      </c>
    </row>
    <row r="370" customFormat="false" ht="23.85" hidden="false" customHeight="false" outlineLevel="0" collapsed="false">
      <c r="A370" s="6" t="s">
        <v>4914</v>
      </c>
      <c r="B370" s="6" t="s">
        <v>102</v>
      </c>
      <c r="C370" s="6" t="s">
        <v>4848</v>
      </c>
      <c r="D370" s="6" t="s">
        <v>1297</v>
      </c>
      <c r="E370" s="6" t="s">
        <v>1297</v>
      </c>
      <c r="F370" s="6" t="s">
        <v>1298</v>
      </c>
      <c r="G370" s="6" t="s">
        <v>239</v>
      </c>
      <c r="H370" s="6" t="s">
        <v>287</v>
      </c>
      <c r="I370" s="6" t="s">
        <v>4684</v>
      </c>
      <c r="J370" s="6" t="s">
        <v>5745</v>
      </c>
      <c r="K370" s="6" t="s">
        <v>4679</v>
      </c>
      <c r="L370" s="2" t="s">
        <v>5746</v>
      </c>
      <c r="M370" s="2" t="s">
        <v>5747</v>
      </c>
      <c r="N370" s="9" t="s">
        <v>1303</v>
      </c>
      <c r="O370" s="6" t="s">
        <v>5745</v>
      </c>
      <c r="P370" s="6" t="s">
        <v>98</v>
      </c>
      <c r="Q370" s="6" t="s">
        <v>5748</v>
      </c>
      <c r="R370" s="6" t="s">
        <v>5368</v>
      </c>
    </row>
    <row r="371" customFormat="false" ht="15" hidden="false" customHeight="false" outlineLevel="0" collapsed="false">
      <c r="A371" s="6" t="s">
        <v>4914</v>
      </c>
      <c r="B371" s="6" t="s">
        <v>102</v>
      </c>
      <c r="C371" s="6" t="s">
        <v>4848</v>
      </c>
      <c r="D371" s="6" t="s">
        <v>3307</v>
      </c>
      <c r="E371" s="6" t="s">
        <v>3307</v>
      </c>
      <c r="F371" s="6" t="s">
        <v>3308</v>
      </c>
      <c r="G371" s="6" t="s">
        <v>1583</v>
      </c>
      <c r="H371" s="6" t="s">
        <v>287</v>
      </c>
      <c r="I371" s="6" t="s">
        <v>4684</v>
      </c>
      <c r="J371" s="6" t="s">
        <v>5365</v>
      </c>
      <c r="K371" s="6" t="s">
        <v>4790</v>
      </c>
      <c r="L371" s="2" t="s">
        <v>3309</v>
      </c>
      <c r="M371" s="2"/>
      <c r="N371" s="9" t="s">
        <v>3310</v>
      </c>
      <c r="O371" s="6" t="s">
        <v>1943</v>
      </c>
      <c r="P371" s="6" t="s">
        <v>106</v>
      </c>
      <c r="Q371" s="6" t="s">
        <v>5743</v>
      </c>
      <c r="R371" s="6" t="s">
        <v>5613</v>
      </c>
    </row>
    <row r="372" customFormat="false" ht="23.85" hidden="false" customHeight="false" outlineLevel="0" collapsed="false">
      <c r="A372" s="6" t="s">
        <v>4914</v>
      </c>
      <c r="B372" s="6" t="s">
        <v>102</v>
      </c>
      <c r="C372" s="6" t="s">
        <v>4848</v>
      </c>
      <c r="D372" s="6" t="s">
        <v>1615</v>
      </c>
      <c r="E372" s="6" t="s">
        <v>1615</v>
      </c>
      <c r="F372" s="6" t="s">
        <v>1616</v>
      </c>
      <c r="G372" s="6" t="s">
        <v>1215</v>
      </c>
      <c r="H372" s="6" t="s">
        <v>287</v>
      </c>
      <c r="I372" s="6" t="s">
        <v>4684</v>
      </c>
      <c r="J372" s="6" t="s">
        <v>5365</v>
      </c>
      <c r="K372" s="6" t="s">
        <v>4790</v>
      </c>
      <c r="L372" s="2" t="s">
        <v>1620</v>
      </c>
      <c r="M372" s="2" t="s">
        <v>5749</v>
      </c>
      <c r="N372" s="9" t="s">
        <v>1622</v>
      </c>
      <c r="O372" s="6" t="s">
        <v>389</v>
      </c>
      <c r="P372" s="6" t="s">
        <v>106</v>
      </c>
      <c r="Q372" s="6" t="s">
        <v>5743</v>
      </c>
      <c r="R372" s="6" t="s">
        <v>5613</v>
      </c>
    </row>
    <row r="373" customFormat="false" ht="15" hidden="false" customHeight="false" outlineLevel="0" collapsed="false">
      <c r="A373" s="6" t="s">
        <v>4914</v>
      </c>
      <c r="B373" s="6" t="s">
        <v>102</v>
      </c>
      <c r="C373" s="6" t="s">
        <v>4848</v>
      </c>
      <c r="D373" s="6" t="s">
        <v>2849</v>
      </c>
      <c r="E373" s="6" t="s">
        <v>2849</v>
      </c>
      <c r="F373" s="6" t="s">
        <v>2850</v>
      </c>
      <c r="G373" s="6" t="s">
        <v>1127</v>
      </c>
      <c r="H373" s="6" t="s">
        <v>287</v>
      </c>
      <c r="I373" s="6" t="s">
        <v>4684</v>
      </c>
      <c r="J373" s="6" t="s">
        <v>5365</v>
      </c>
      <c r="K373" s="6" t="s">
        <v>4790</v>
      </c>
      <c r="L373" s="2" t="s">
        <v>2851</v>
      </c>
      <c r="M373" s="2"/>
      <c r="N373" s="9" t="s">
        <v>2852</v>
      </c>
      <c r="O373" s="6" t="s">
        <v>97</v>
      </c>
      <c r="P373" s="6" t="s">
        <v>106</v>
      </c>
      <c r="Q373" s="6" t="s">
        <v>4914</v>
      </c>
      <c r="R373" s="6" t="s">
        <v>5613</v>
      </c>
    </row>
    <row r="374" customFormat="false" ht="23.85" hidden="false" customHeight="false" outlineLevel="0" collapsed="false">
      <c r="A374" s="6" t="s">
        <v>4914</v>
      </c>
      <c r="B374" s="6" t="s">
        <v>102</v>
      </c>
      <c r="C374" s="6" t="s">
        <v>4848</v>
      </c>
      <c r="D374" s="6" t="s">
        <v>99</v>
      </c>
      <c r="E374" s="6" t="s">
        <v>5750</v>
      </c>
      <c r="F374" s="6" t="s">
        <v>5750</v>
      </c>
      <c r="G374" s="6" t="s">
        <v>90</v>
      </c>
      <c r="H374" s="6" t="s">
        <v>287</v>
      </c>
      <c r="I374" s="6" t="s">
        <v>4684</v>
      </c>
      <c r="J374" s="6" t="s">
        <v>5365</v>
      </c>
      <c r="K374" s="6" t="s">
        <v>4790</v>
      </c>
      <c r="L374" s="2" t="s">
        <v>1720</v>
      </c>
      <c r="M374" s="2" t="s">
        <v>1719</v>
      </c>
      <c r="N374" s="9" t="s">
        <v>108</v>
      </c>
      <c r="O374" s="6" t="s">
        <v>97</v>
      </c>
      <c r="P374" s="6" t="s">
        <v>98</v>
      </c>
      <c r="Q374" s="6" t="s">
        <v>4914</v>
      </c>
      <c r="R374" s="6" t="s">
        <v>5613</v>
      </c>
    </row>
    <row r="375" customFormat="false" ht="15" hidden="false" customHeight="false" outlineLevel="0" collapsed="false">
      <c r="A375" s="6" t="s">
        <v>4914</v>
      </c>
      <c r="B375" s="6" t="s">
        <v>102</v>
      </c>
      <c r="C375" s="6" t="s">
        <v>4848</v>
      </c>
      <c r="D375" s="6" t="s">
        <v>2323</v>
      </c>
      <c r="E375" s="6" t="s">
        <v>2323</v>
      </c>
      <c r="F375" s="6" t="s">
        <v>2324</v>
      </c>
      <c r="G375" s="6" t="s">
        <v>1215</v>
      </c>
      <c r="H375" s="6" t="s">
        <v>287</v>
      </c>
      <c r="I375" s="6" t="s">
        <v>4684</v>
      </c>
      <c r="J375" s="6" t="s">
        <v>5365</v>
      </c>
      <c r="K375" s="6" t="s">
        <v>4679</v>
      </c>
      <c r="L375" s="2" t="s">
        <v>2326</v>
      </c>
      <c r="M375" s="2" t="s">
        <v>2325</v>
      </c>
      <c r="N375" s="9" t="s">
        <v>2327</v>
      </c>
      <c r="O375" s="6" t="s">
        <v>655</v>
      </c>
      <c r="P375" s="6" t="s">
        <v>106</v>
      </c>
      <c r="Q375" s="6" t="s">
        <v>5751</v>
      </c>
      <c r="R375" s="6" t="s">
        <v>5613</v>
      </c>
    </row>
    <row r="376" customFormat="false" ht="23.85" hidden="false" customHeight="false" outlineLevel="0" collapsed="false">
      <c r="A376" s="6" t="s">
        <v>4914</v>
      </c>
      <c r="B376" s="6" t="s">
        <v>102</v>
      </c>
      <c r="C376" s="6" t="s">
        <v>4848</v>
      </c>
      <c r="D376" s="6" t="s">
        <v>1732</v>
      </c>
      <c r="E376" s="6" t="s">
        <v>1732</v>
      </c>
      <c r="F376" s="6" t="s">
        <v>5752</v>
      </c>
      <c r="G376" s="6" t="s">
        <v>507</v>
      </c>
      <c r="H376" s="6" t="s">
        <v>287</v>
      </c>
      <c r="I376" s="6" t="s">
        <v>4684</v>
      </c>
      <c r="J376" s="6" t="s">
        <v>5365</v>
      </c>
      <c r="K376" s="6" t="s">
        <v>4790</v>
      </c>
      <c r="L376" s="2" t="s">
        <v>5753</v>
      </c>
      <c r="M376" s="2" t="s">
        <v>5754</v>
      </c>
      <c r="N376" s="9" t="s">
        <v>5755</v>
      </c>
      <c r="O376" s="6" t="s">
        <v>178</v>
      </c>
      <c r="P376" s="6" t="s">
        <v>106</v>
      </c>
      <c r="Q376" s="6" t="s">
        <v>4914</v>
      </c>
      <c r="R376" s="6" t="s">
        <v>5357</v>
      </c>
    </row>
    <row r="377" customFormat="false" ht="35.05" hidden="false" customHeight="false" outlineLevel="0" collapsed="false">
      <c r="A377" s="6" t="s">
        <v>4914</v>
      </c>
      <c r="B377" s="6" t="s">
        <v>102</v>
      </c>
      <c r="C377" s="6" t="s">
        <v>4848</v>
      </c>
      <c r="D377" s="6" t="s">
        <v>678</v>
      </c>
      <c r="E377" s="6" t="s">
        <v>678</v>
      </c>
      <c r="F377" s="6" t="s">
        <v>679</v>
      </c>
      <c r="G377" s="6" t="s">
        <v>153</v>
      </c>
      <c r="H377" s="6" t="s">
        <v>287</v>
      </c>
      <c r="I377" s="6" t="s">
        <v>4684</v>
      </c>
      <c r="J377" s="6" t="s">
        <v>683</v>
      </c>
      <c r="K377" s="6" t="s">
        <v>4790</v>
      </c>
      <c r="L377" s="2" t="s">
        <v>682</v>
      </c>
      <c r="M377" s="2" t="s">
        <v>681</v>
      </c>
      <c r="N377" s="9" t="s">
        <v>684</v>
      </c>
      <c r="O377" s="6" t="s">
        <v>683</v>
      </c>
      <c r="P377" s="6" t="s">
        <v>85</v>
      </c>
      <c r="Q377" s="6" t="s">
        <v>5743</v>
      </c>
      <c r="R377" s="6" t="s">
        <v>5613</v>
      </c>
    </row>
    <row r="378" customFormat="false" ht="23.85" hidden="false" customHeight="false" outlineLevel="0" collapsed="false">
      <c r="A378" s="6" t="s">
        <v>4914</v>
      </c>
      <c r="B378" s="6" t="s">
        <v>102</v>
      </c>
      <c r="C378" s="6" t="s">
        <v>4848</v>
      </c>
      <c r="D378" s="6" t="s">
        <v>1738</v>
      </c>
      <c r="E378" s="6" t="s">
        <v>1738</v>
      </c>
      <c r="F378" s="6" t="s">
        <v>1739</v>
      </c>
      <c r="G378" s="6" t="s">
        <v>507</v>
      </c>
      <c r="H378" s="6" t="s">
        <v>287</v>
      </c>
      <c r="I378" s="6" t="s">
        <v>4684</v>
      </c>
      <c r="J378" s="6" t="s">
        <v>5365</v>
      </c>
      <c r="K378" s="6" t="s">
        <v>4790</v>
      </c>
      <c r="L378" s="2" t="s">
        <v>1720</v>
      </c>
      <c r="M378" s="2" t="s">
        <v>1719</v>
      </c>
      <c r="N378" s="9" t="s">
        <v>108</v>
      </c>
      <c r="O378" s="6" t="s">
        <v>97</v>
      </c>
      <c r="P378" s="6" t="s">
        <v>98</v>
      </c>
      <c r="Q378" s="6" t="s">
        <v>4914</v>
      </c>
      <c r="R378" s="6" t="s">
        <v>5613</v>
      </c>
    </row>
    <row r="379" customFormat="false" ht="23.85" hidden="false" customHeight="false" outlineLevel="0" collapsed="false">
      <c r="A379" s="6" t="s">
        <v>4914</v>
      </c>
      <c r="B379" s="6" t="s">
        <v>102</v>
      </c>
      <c r="C379" s="6" t="s">
        <v>4848</v>
      </c>
      <c r="D379" s="6" t="s">
        <v>1740</v>
      </c>
      <c r="E379" s="6" t="s">
        <v>1740</v>
      </c>
      <c r="F379" s="6" t="s">
        <v>1741</v>
      </c>
      <c r="G379" s="6" t="s">
        <v>1127</v>
      </c>
      <c r="H379" s="6" t="s">
        <v>287</v>
      </c>
      <c r="I379" s="6" t="s">
        <v>4684</v>
      </c>
      <c r="J379" s="6" t="s">
        <v>5365</v>
      </c>
      <c r="K379" s="6" t="s">
        <v>4790</v>
      </c>
      <c r="L379" s="2" t="s">
        <v>1743</v>
      </c>
      <c r="M379" s="2" t="s">
        <v>1742</v>
      </c>
      <c r="N379" s="9" t="s">
        <v>1744</v>
      </c>
      <c r="O379" s="6" t="s">
        <v>84</v>
      </c>
      <c r="P379" s="6" t="s">
        <v>106</v>
      </c>
      <c r="Q379" s="6" t="s">
        <v>5743</v>
      </c>
      <c r="R379" s="6" t="s">
        <v>5613</v>
      </c>
    </row>
    <row r="380" customFormat="false" ht="15" hidden="false" customHeight="false" outlineLevel="0" collapsed="false">
      <c r="A380" s="6" t="s">
        <v>4914</v>
      </c>
      <c r="B380" s="6" t="s">
        <v>102</v>
      </c>
      <c r="C380" s="6" t="s">
        <v>4848</v>
      </c>
      <c r="D380" s="6" t="s">
        <v>2340</v>
      </c>
      <c r="E380" s="6" t="s">
        <v>2340</v>
      </c>
      <c r="F380" s="6" t="s">
        <v>2341</v>
      </c>
      <c r="G380" s="6" t="s">
        <v>2312</v>
      </c>
      <c r="H380" s="6" t="s">
        <v>287</v>
      </c>
      <c r="I380" s="6" t="s">
        <v>4684</v>
      </c>
      <c r="J380" s="6" t="s">
        <v>5365</v>
      </c>
      <c r="K380" s="6" t="s">
        <v>4679</v>
      </c>
      <c r="L380" s="2" t="s">
        <v>2342</v>
      </c>
      <c r="M380" s="2" t="s">
        <v>2269</v>
      </c>
      <c r="N380" s="9" t="s">
        <v>2343</v>
      </c>
      <c r="O380" s="6" t="s">
        <v>1636</v>
      </c>
      <c r="P380" s="6" t="s">
        <v>106</v>
      </c>
      <c r="Q380" s="6" t="s">
        <v>5751</v>
      </c>
      <c r="R380" s="6" t="s">
        <v>5613</v>
      </c>
    </row>
    <row r="381" customFormat="false" ht="23.85" hidden="false" customHeight="false" outlineLevel="0" collapsed="false">
      <c r="A381" s="6" t="s">
        <v>4914</v>
      </c>
      <c r="B381" s="6" t="s">
        <v>102</v>
      </c>
      <c r="C381" s="6" t="s">
        <v>4848</v>
      </c>
      <c r="D381" s="6" t="s">
        <v>1745</v>
      </c>
      <c r="E381" s="6" t="s">
        <v>1745</v>
      </c>
      <c r="F381" s="6" t="s">
        <v>1746</v>
      </c>
      <c r="G381" s="6" t="s">
        <v>507</v>
      </c>
      <c r="H381" s="6" t="s">
        <v>287</v>
      </c>
      <c r="I381" s="6" t="s">
        <v>4684</v>
      </c>
      <c r="J381" s="6" t="s">
        <v>5365</v>
      </c>
      <c r="K381" s="6" t="s">
        <v>4790</v>
      </c>
      <c r="L381" s="2" t="s">
        <v>1720</v>
      </c>
      <c r="M381" s="2" t="s">
        <v>1719</v>
      </c>
      <c r="N381" s="9" t="s">
        <v>108</v>
      </c>
      <c r="O381" s="6" t="s">
        <v>97</v>
      </c>
      <c r="P381" s="6" t="s">
        <v>98</v>
      </c>
      <c r="Q381" s="6" t="s">
        <v>4914</v>
      </c>
      <c r="R381" s="6" t="s">
        <v>5613</v>
      </c>
    </row>
    <row r="382" customFormat="false" ht="23.85" hidden="false" customHeight="false" outlineLevel="0" collapsed="false">
      <c r="A382" s="6" t="s">
        <v>4914</v>
      </c>
      <c r="B382" s="6" t="s">
        <v>102</v>
      </c>
      <c r="C382" s="6" t="s">
        <v>4848</v>
      </c>
      <c r="D382" s="6" t="s">
        <v>2520</v>
      </c>
      <c r="E382" s="6" t="s">
        <v>2520</v>
      </c>
      <c r="F382" s="6" t="s">
        <v>723</v>
      </c>
      <c r="G382" s="6" t="s">
        <v>626</v>
      </c>
      <c r="H382" s="6" t="s">
        <v>287</v>
      </c>
      <c r="I382" s="6" t="s">
        <v>4684</v>
      </c>
      <c r="J382" s="6" t="s">
        <v>5365</v>
      </c>
      <c r="K382" s="6" t="s">
        <v>4726</v>
      </c>
      <c r="L382" s="2" t="s">
        <v>5756</v>
      </c>
      <c r="M382" s="2" t="s">
        <v>5757</v>
      </c>
      <c r="N382" s="9" t="s">
        <v>2524</v>
      </c>
      <c r="O382" s="6" t="s">
        <v>281</v>
      </c>
      <c r="P382" s="6" t="s">
        <v>85</v>
      </c>
      <c r="Q382" s="6" t="s">
        <v>5743</v>
      </c>
      <c r="R382" s="6" t="s">
        <v>5613</v>
      </c>
    </row>
    <row r="383" customFormat="false" ht="23.85" hidden="false" customHeight="false" outlineLevel="0" collapsed="false">
      <c r="A383" s="6" t="s">
        <v>4914</v>
      </c>
      <c r="B383" s="6" t="s">
        <v>102</v>
      </c>
      <c r="C383" s="6" t="s">
        <v>4848</v>
      </c>
      <c r="D383" s="6" t="s">
        <v>1652</v>
      </c>
      <c r="E383" s="6" t="s">
        <v>1652</v>
      </c>
      <c r="F383" s="6" t="s">
        <v>1653</v>
      </c>
      <c r="G383" s="6" t="s">
        <v>1583</v>
      </c>
      <c r="H383" s="6" t="s">
        <v>287</v>
      </c>
      <c r="I383" s="6" t="s">
        <v>4684</v>
      </c>
      <c r="J383" s="6" t="s">
        <v>5365</v>
      </c>
      <c r="K383" s="6" t="s">
        <v>4679</v>
      </c>
      <c r="L383" s="2" t="s">
        <v>1656</v>
      </c>
      <c r="M383" s="2" t="s">
        <v>665</v>
      </c>
      <c r="N383" s="9" t="s">
        <v>667</v>
      </c>
      <c r="O383" s="6" t="s">
        <v>84</v>
      </c>
      <c r="P383" s="6" t="s">
        <v>106</v>
      </c>
      <c r="Q383" s="6" t="s">
        <v>5744</v>
      </c>
      <c r="R383" s="6" t="s">
        <v>5567</v>
      </c>
    </row>
    <row r="384" customFormat="false" ht="23.85" hidden="false" customHeight="false" outlineLevel="0" collapsed="false">
      <c r="A384" s="6" t="s">
        <v>4914</v>
      </c>
      <c r="B384" s="6" t="s">
        <v>102</v>
      </c>
      <c r="C384" s="6" t="s">
        <v>4848</v>
      </c>
      <c r="D384" s="6" t="s">
        <v>722</v>
      </c>
      <c r="E384" s="6" t="s">
        <v>722</v>
      </c>
      <c r="F384" s="6" t="s">
        <v>723</v>
      </c>
      <c r="G384" s="6" t="s">
        <v>626</v>
      </c>
      <c r="H384" s="6" t="s">
        <v>287</v>
      </c>
      <c r="I384" s="6" t="s">
        <v>4684</v>
      </c>
      <c r="J384" s="6" t="s">
        <v>5365</v>
      </c>
      <c r="K384" s="6" t="s">
        <v>4790</v>
      </c>
      <c r="L384" s="2" t="s">
        <v>726</v>
      </c>
      <c r="M384" s="2" t="s">
        <v>725</v>
      </c>
      <c r="N384" s="9" t="s">
        <v>727</v>
      </c>
      <c r="O384" s="6" t="s">
        <v>97</v>
      </c>
      <c r="P384" s="6" t="s">
        <v>85</v>
      </c>
      <c r="Q384" s="6" t="s">
        <v>4914</v>
      </c>
      <c r="R384" s="6" t="s">
        <v>5567</v>
      </c>
    </row>
    <row r="385" customFormat="false" ht="23.85" hidden="false" customHeight="false" outlineLevel="0" collapsed="false">
      <c r="A385" s="6" t="s">
        <v>4914</v>
      </c>
      <c r="B385" s="6" t="s">
        <v>102</v>
      </c>
      <c r="C385" s="6" t="s">
        <v>4848</v>
      </c>
      <c r="D385" s="6" t="s">
        <v>133</v>
      </c>
      <c r="E385" s="6" t="s">
        <v>5758</v>
      </c>
      <c r="F385" s="6" t="s">
        <v>134</v>
      </c>
      <c r="G385" s="6" t="s">
        <v>76</v>
      </c>
      <c r="H385" s="6" t="s">
        <v>287</v>
      </c>
      <c r="I385" s="6" t="s">
        <v>4684</v>
      </c>
      <c r="J385" s="6" t="s">
        <v>5365</v>
      </c>
      <c r="K385" s="6" t="s">
        <v>4790</v>
      </c>
      <c r="L385" s="2" t="s">
        <v>137</v>
      </c>
      <c r="M385" s="2" t="s">
        <v>5759</v>
      </c>
      <c r="N385" s="9" t="s">
        <v>138</v>
      </c>
      <c r="O385" s="6" t="s">
        <v>97</v>
      </c>
      <c r="P385" s="6" t="s">
        <v>106</v>
      </c>
      <c r="Q385" s="6" t="s">
        <v>4914</v>
      </c>
      <c r="R385" s="6" t="s">
        <v>5377</v>
      </c>
    </row>
    <row r="386" customFormat="false" ht="23.85" hidden="false" customHeight="false" outlineLevel="0" collapsed="false">
      <c r="A386" s="6" t="s">
        <v>4914</v>
      </c>
      <c r="B386" s="6" t="s">
        <v>102</v>
      </c>
      <c r="C386" s="6" t="s">
        <v>4848</v>
      </c>
      <c r="D386" s="6" t="s">
        <v>1146</v>
      </c>
      <c r="E386" s="6" t="s">
        <v>1147</v>
      </c>
      <c r="F386" s="6" t="s">
        <v>5760</v>
      </c>
      <c r="G386" s="6" t="s">
        <v>507</v>
      </c>
      <c r="H386" s="6" t="s">
        <v>287</v>
      </c>
      <c r="I386" s="6" t="s">
        <v>4684</v>
      </c>
      <c r="J386" s="6" t="s">
        <v>5365</v>
      </c>
      <c r="K386" s="6" t="s">
        <v>4679</v>
      </c>
      <c r="L386" s="2" t="s">
        <v>5761</v>
      </c>
      <c r="M386" s="2" t="s">
        <v>5762</v>
      </c>
      <c r="N386" s="9" t="s">
        <v>672</v>
      </c>
      <c r="O386" s="6" t="s">
        <v>389</v>
      </c>
      <c r="P386" s="6" t="s">
        <v>98</v>
      </c>
      <c r="Q386" s="6" t="s">
        <v>5744</v>
      </c>
      <c r="R386" s="6" t="s">
        <v>5567</v>
      </c>
    </row>
    <row r="387" customFormat="false" ht="57.45" hidden="false" customHeight="false" outlineLevel="0" collapsed="false">
      <c r="A387" s="6" t="s">
        <v>4914</v>
      </c>
      <c r="B387" s="6" t="s">
        <v>102</v>
      </c>
      <c r="C387" s="6" t="s">
        <v>4848</v>
      </c>
      <c r="D387" s="6" t="s">
        <v>466</v>
      </c>
      <c r="E387" s="6" t="s">
        <v>466</v>
      </c>
      <c r="F387" s="6" t="s">
        <v>467</v>
      </c>
      <c r="G387" s="6" t="s">
        <v>76</v>
      </c>
      <c r="H387" s="6" t="s">
        <v>287</v>
      </c>
      <c r="I387" s="6" t="s">
        <v>4684</v>
      </c>
      <c r="J387" s="6" t="s">
        <v>5365</v>
      </c>
      <c r="K387" s="6" t="s">
        <v>4790</v>
      </c>
      <c r="L387" s="2" t="s">
        <v>472</v>
      </c>
      <c r="M387" s="2" t="s">
        <v>5763</v>
      </c>
      <c r="N387" s="9" t="s">
        <v>474</v>
      </c>
      <c r="O387" s="6" t="s">
        <v>97</v>
      </c>
      <c r="P387" s="6" t="s">
        <v>85</v>
      </c>
      <c r="Q387" s="6" t="s">
        <v>5764</v>
      </c>
      <c r="R387" s="6" t="s">
        <v>5368</v>
      </c>
    </row>
    <row r="388" customFormat="false" ht="15" hidden="false" customHeight="false" outlineLevel="0" collapsed="false">
      <c r="A388" s="6" t="s">
        <v>4914</v>
      </c>
      <c r="B388" s="6" t="s">
        <v>102</v>
      </c>
      <c r="C388" s="6" t="s">
        <v>4848</v>
      </c>
      <c r="D388" s="6" t="s">
        <v>3489</v>
      </c>
      <c r="E388" s="6" t="s">
        <v>3489</v>
      </c>
      <c r="F388" s="6" t="s">
        <v>3490</v>
      </c>
      <c r="G388" s="6" t="s">
        <v>1598</v>
      </c>
      <c r="H388" s="6" t="s">
        <v>287</v>
      </c>
      <c r="I388" s="6" t="s">
        <v>4684</v>
      </c>
      <c r="J388" s="6" t="s">
        <v>1561</v>
      </c>
      <c r="K388" s="6" t="s">
        <v>4679</v>
      </c>
      <c r="L388" s="2" t="s">
        <v>3492</v>
      </c>
      <c r="M388" s="2" t="s">
        <v>3339</v>
      </c>
      <c r="N388" s="9" t="s">
        <v>3493</v>
      </c>
      <c r="O388" s="6" t="s">
        <v>1561</v>
      </c>
      <c r="P388" s="6" t="s">
        <v>106</v>
      </c>
      <c r="Q388" s="6" t="s">
        <v>5744</v>
      </c>
      <c r="R388" s="6" t="s">
        <v>5567</v>
      </c>
    </row>
    <row r="389" customFormat="false" ht="23.85" hidden="false" customHeight="false" outlineLevel="0" collapsed="false">
      <c r="A389" s="6" t="s">
        <v>4914</v>
      </c>
      <c r="B389" s="6" t="s">
        <v>102</v>
      </c>
      <c r="C389" s="6" t="s">
        <v>4848</v>
      </c>
      <c r="D389" s="6" t="s">
        <v>758</v>
      </c>
      <c r="E389" s="6" t="s">
        <v>758</v>
      </c>
      <c r="F389" s="6" t="s">
        <v>759</v>
      </c>
      <c r="G389" s="6" t="s">
        <v>164</v>
      </c>
      <c r="H389" s="6" t="s">
        <v>287</v>
      </c>
      <c r="I389" s="6" t="s">
        <v>4680</v>
      </c>
      <c r="J389" s="6" t="s">
        <v>517</v>
      </c>
      <c r="K389" s="6" t="s">
        <v>4790</v>
      </c>
      <c r="L389" s="2" t="s">
        <v>762</v>
      </c>
      <c r="M389" s="2" t="s">
        <v>761</v>
      </c>
      <c r="N389" s="9" t="s">
        <v>763</v>
      </c>
      <c r="O389" s="6" t="s">
        <v>517</v>
      </c>
      <c r="P389" s="6" t="s">
        <v>85</v>
      </c>
      <c r="Q389" s="6" t="s">
        <v>5743</v>
      </c>
      <c r="R389" s="6" t="s">
        <v>5613</v>
      </c>
    </row>
    <row r="390" customFormat="false" ht="23.85" hidden="false" customHeight="false" outlineLevel="0" collapsed="false">
      <c r="A390" s="6" t="s">
        <v>4914</v>
      </c>
      <c r="B390" s="6" t="s">
        <v>102</v>
      </c>
      <c r="C390" s="6" t="s">
        <v>4848</v>
      </c>
      <c r="D390" s="6" t="s">
        <v>1259</v>
      </c>
      <c r="E390" s="6" t="s">
        <v>1259</v>
      </c>
      <c r="F390" s="6" t="s">
        <v>1260</v>
      </c>
      <c r="G390" s="6" t="s">
        <v>153</v>
      </c>
      <c r="H390" s="6" t="s">
        <v>287</v>
      </c>
      <c r="I390" s="6" t="s">
        <v>4684</v>
      </c>
      <c r="J390" s="6" t="s">
        <v>642</v>
      </c>
      <c r="K390" s="6" t="s">
        <v>4790</v>
      </c>
      <c r="L390" s="2" t="s">
        <v>1262</v>
      </c>
      <c r="M390" s="2" t="s">
        <v>1261</v>
      </c>
      <c r="N390" s="9" t="s">
        <v>1263</v>
      </c>
      <c r="O390" s="6" t="s">
        <v>256</v>
      </c>
      <c r="P390" s="6" t="s">
        <v>85</v>
      </c>
      <c r="Q390" s="6" t="s">
        <v>4914</v>
      </c>
      <c r="R390" s="6" t="s">
        <v>5567</v>
      </c>
    </row>
    <row r="391" customFormat="false" ht="23.85" hidden="false" customHeight="false" outlineLevel="0" collapsed="false">
      <c r="A391" s="6" t="s">
        <v>4914</v>
      </c>
      <c r="B391" s="6" t="s">
        <v>102</v>
      </c>
      <c r="C391" s="6" t="s">
        <v>4848</v>
      </c>
      <c r="D391" s="6" t="s">
        <v>1903</v>
      </c>
      <c r="E391" s="6" t="s">
        <v>1903</v>
      </c>
      <c r="F391" s="6" t="s">
        <v>1260</v>
      </c>
      <c r="G391" s="6" t="s">
        <v>153</v>
      </c>
      <c r="H391" s="6" t="s">
        <v>287</v>
      </c>
      <c r="I391" s="6" t="s">
        <v>4684</v>
      </c>
      <c r="J391" s="6" t="s">
        <v>5366</v>
      </c>
      <c r="K391" s="6" t="s">
        <v>4790</v>
      </c>
      <c r="L391" s="2" t="s">
        <v>1906</v>
      </c>
      <c r="M391" s="2" t="s">
        <v>1905</v>
      </c>
      <c r="N391" s="9" t="s">
        <v>1907</v>
      </c>
      <c r="O391" s="6" t="s">
        <v>97</v>
      </c>
      <c r="P391" s="6" t="s">
        <v>85</v>
      </c>
      <c r="Q391" s="6" t="s">
        <v>4914</v>
      </c>
      <c r="R391" s="6" t="s">
        <v>5567</v>
      </c>
    </row>
    <row r="392" customFormat="false" ht="15" hidden="false" customHeight="false" outlineLevel="0" collapsed="false">
      <c r="A392" s="6" t="s">
        <v>4914</v>
      </c>
      <c r="B392" s="6" t="s">
        <v>102</v>
      </c>
      <c r="C392" s="6" t="s">
        <v>4848</v>
      </c>
      <c r="D392" s="6" t="s">
        <v>3497</v>
      </c>
      <c r="E392" s="6" t="s">
        <v>3497</v>
      </c>
      <c r="F392" s="6" t="s">
        <v>263</v>
      </c>
      <c r="G392" s="6" t="s">
        <v>1215</v>
      </c>
      <c r="H392" s="6" t="s">
        <v>287</v>
      </c>
      <c r="I392" s="6" t="s">
        <v>4684</v>
      </c>
      <c r="J392" s="6" t="s">
        <v>5365</v>
      </c>
      <c r="K392" s="6" t="s">
        <v>4790</v>
      </c>
      <c r="L392" s="2" t="s">
        <v>3499</v>
      </c>
      <c r="M392" s="2" t="s">
        <v>3498</v>
      </c>
      <c r="N392" s="9" t="s">
        <v>3500</v>
      </c>
      <c r="O392" s="6" t="s">
        <v>281</v>
      </c>
      <c r="P392" s="6" t="s">
        <v>106</v>
      </c>
      <c r="Q392" s="6" t="s">
        <v>5743</v>
      </c>
      <c r="R392" s="6" t="s">
        <v>5613</v>
      </c>
    </row>
    <row r="393" customFormat="false" ht="35.05" hidden="false" customHeight="false" outlineLevel="0" collapsed="false">
      <c r="A393" s="6" t="s">
        <v>4914</v>
      </c>
      <c r="B393" s="6" t="s">
        <v>102</v>
      </c>
      <c r="C393" s="6" t="s">
        <v>4848</v>
      </c>
      <c r="D393" s="6" t="s">
        <v>2632</v>
      </c>
      <c r="E393" s="6" t="s">
        <v>2632</v>
      </c>
      <c r="F393" s="6" t="s">
        <v>2633</v>
      </c>
      <c r="G393" s="6" t="s">
        <v>1085</v>
      </c>
      <c r="H393" s="6" t="s">
        <v>1445</v>
      </c>
      <c r="I393" s="6" t="s">
        <v>4684</v>
      </c>
      <c r="J393" s="6" t="s">
        <v>683</v>
      </c>
      <c r="K393" s="6" t="s">
        <v>4790</v>
      </c>
      <c r="L393" s="2" t="s">
        <v>2636</v>
      </c>
      <c r="M393" s="2" t="s">
        <v>5765</v>
      </c>
      <c r="N393" s="9" t="s">
        <v>2637</v>
      </c>
      <c r="O393" s="6" t="s">
        <v>143</v>
      </c>
      <c r="P393" s="6" t="s">
        <v>85</v>
      </c>
      <c r="Q393" s="6" t="s">
        <v>4914</v>
      </c>
      <c r="R393" s="6" t="s">
        <v>5567</v>
      </c>
    </row>
    <row r="394" customFormat="false" ht="23.85" hidden="false" customHeight="false" outlineLevel="0" collapsed="false">
      <c r="A394" s="6" t="s">
        <v>4914</v>
      </c>
      <c r="B394" s="6" t="s">
        <v>102</v>
      </c>
      <c r="C394" s="6" t="s">
        <v>4848</v>
      </c>
      <c r="D394" s="6" t="s">
        <v>2950</v>
      </c>
      <c r="E394" s="6" t="s">
        <v>2950</v>
      </c>
      <c r="F394" s="6" t="s">
        <v>2951</v>
      </c>
      <c r="G394" s="6" t="s">
        <v>2312</v>
      </c>
      <c r="H394" s="6" t="s">
        <v>1445</v>
      </c>
      <c r="I394" s="6" t="s">
        <v>4684</v>
      </c>
      <c r="J394" s="6" t="s">
        <v>5365</v>
      </c>
      <c r="K394" s="6" t="s">
        <v>4790</v>
      </c>
      <c r="L394" s="2" t="s">
        <v>2952</v>
      </c>
      <c r="M394" s="2" t="s">
        <v>725</v>
      </c>
      <c r="N394" s="9" t="s">
        <v>1907</v>
      </c>
      <c r="O394" s="6" t="s">
        <v>97</v>
      </c>
      <c r="P394" s="6" t="s">
        <v>85</v>
      </c>
      <c r="Q394" s="6" t="s">
        <v>4914</v>
      </c>
      <c r="R394" s="6" t="s">
        <v>5567</v>
      </c>
    </row>
    <row r="395" customFormat="false" ht="15" hidden="false" customHeight="false" outlineLevel="0" collapsed="false">
      <c r="A395" s="6" t="s">
        <v>4914</v>
      </c>
      <c r="B395" s="6" t="s">
        <v>102</v>
      </c>
      <c r="C395" s="6" t="s">
        <v>4848</v>
      </c>
      <c r="D395" s="6" t="s">
        <v>3626</v>
      </c>
      <c r="E395" s="6" t="s">
        <v>3626</v>
      </c>
      <c r="F395" s="6" t="s">
        <v>3627</v>
      </c>
      <c r="G395" s="6" t="s">
        <v>153</v>
      </c>
      <c r="H395" s="6" t="s">
        <v>1445</v>
      </c>
      <c r="I395" s="6" t="s">
        <v>4684</v>
      </c>
      <c r="J395" s="6" t="s">
        <v>1162</v>
      </c>
      <c r="K395" s="6" t="s">
        <v>4790</v>
      </c>
      <c r="L395" s="2" t="s">
        <v>3628</v>
      </c>
      <c r="M395" s="2"/>
      <c r="N395" s="9" t="s">
        <v>3629</v>
      </c>
      <c r="O395" s="6" t="s">
        <v>1162</v>
      </c>
      <c r="P395" s="6" t="s">
        <v>85</v>
      </c>
      <c r="Q395" s="6" t="s">
        <v>5743</v>
      </c>
      <c r="R395" s="6" t="s">
        <v>5613</v>
      </c>
    </row>
    <row r="396" customFormat="false" ht="23.85" hidden="false" customHeight="false" outlineLevel="0" collapsed="false">
      <c r="A396" s="6" t="s">
        <v>4914</v>
      </c>
      <c r="B396" s="6" t="s">
        <v>102</v>
      </c>
      <c r="C396" s="6" t="s">
        <v>4848</v>
      </c>
      <c r="D396" s="6" t="s">
        <v>2673</v>
      </c>
      <c r="E396" s="6" t="s">
        <v>2673</v>
      </c>
      <c r="F396" s="6" t="s">
        <v>2674</v>
      </c>
      <c r="G396" s="6" t="s">
        <v>182</v>
      </c>
      <c r="H396" s="6" t="s">
        <v>1445</v>
      </c>
      <c r="I396" s="6" t="s">
        <v>4680</v>
      </c>
      <c r="J396" s="6" t="s">
        <v>5365</v>
      </c>
      <c r="K396" s="6" t="s">
        <v>4726</v>
      </c>
      <c r="L396" s="2" t="s">
        <v>5766</v>
      </c>
      <c r="M396" s="2" t="s">
        <v>5767</v>
      </c>
      <c r="N396" s="9" t="s">
        <v>2680</v>
      </c>
      <c r="O396" s="6" t="s">
        <v>3698</v>
      </c>
      <c r="P396" s="6" t="s">
        <v>98</v>
      </c>
      <c r="Q396" s="6" t="s">
        <v>5751</v>
      </c>
      <c r="R396" s="6" t="s">
        <v>5613</v>
      </c>
    </row>
    <row r="397" customFormat="false" ht="23.85" hidden="false" customHeight="false" outlineLevel="0" collapsed="false">
      <c r="A397" s="6" t="s">
        <v>4914</v>
      </c>
      <c r="B397" s="6" t="s">
        <v>102</v>
      </c>
      <c r="C397" s="6" t="s">
        <v>4848</v>
      </c>
      <c r="D397" s="6" t="s">
        <v>3882</v>
      </c>
      <c r="E397" s="6" t="s">
        <v>3882</v>
      </c>
      <c r="F397" s="6" t="s">
        <v>3882</v>
      </c>
      <c r="G397" s="6" t="s">
        <v>507</v>
      </c>
      <c r="H397" s="6" t="s">
        <v>1445</v>
      </c>
      <c r="I397" s="6" t="s">
        <v>4684</v>
      </c>
      <c r="J397" s="6" t="s">
        <v>5365</v>
      </c>
      <c r="K397" s="6" t="s">
        <v>4726</v>
      </c>
      <c r="L397" s="2" t="s">
        <v>5768</v>
      </c>
      <c r="M397" s="2" t="s">
        <v>5769</v>
      </c>
      <c r="N397" s="9" t="s">
        <v>5770</v>
      </c>
      <c r="O397" s="6" t="s">
        <v>256</v>
      </c>
      <c r="P397" s="6" t="s">
        <v>98</v>
      </c>
      <c r="Q397" s="6" t="s">
        <v>4914</v>
      </c>
      <c r="R397" s="6" t="s">
        <v>5613</v>
      </c>
    </row>
    <row r="398" customFormat="false" ht="15" hidden="false" customHeight="false" outlineLevel="0" collapsed="false">
      <c r="A398" s="6" t="s">
        <v>4914</v>
      </c>
      <c r="B398" s="6" t="s">
        <v>102</v>
      </c>
      <c r="C398" s="6" t="s">
        <v>4848</v>
      </c>
      <c r="D398" s="6" t="s">
        <v>3822</v>
      </c>
      <c r="E398" s="6" t="s">
        <v>5771</v>
      </c>
      <c r="F398" s="6" t="s">
        <v>3823</v>
      </c>
      <c r="G398" s="6" t="s">
        <v>1598</v>
      </c>
      <c r="H398" s="6" t="s">
        <v>1445</v>
      </c>
      <c r="I398" s="6" t="s">
        <v>4684</v>
      </c>
      <c r="J398" s="6" t="s">
        <v>5365</v>
      </c>
      <c r="K398" s="6" t="s">
        <v>4790</v>
      </c>
      <c r="L398" s="2" t="s">
        <v>5772</v>
      </c>
      <c r="M398" s="2" t="s">
        <v>5773</v>
      </c>
      <c r="N398" s="9" t="s">
        <v>5774</v>
      </c>
      <c r="O398" s="6" t="s">
        <v>84</v>
      </c>
      <c r="P398" s="6" t="s">
        <v>106</v>
      </c>
      <c r="Q398" s="6" t="s">
        <v>5743</v>
      </c>
      <c r="R398" s="6" t="s">
        <v>5613</v>
      </c>
    </row>
    <row r="399" customFormat="false" ht="23.85" hidden="false" customHeight="false" outlineLevel="0" collapsed="false">
      <c r="A399" s="6" t="s">
        <v>4914</v>
      </c>
      <c r="B399" s="6" t="s">
        <v>102</v>
      </c>
      <c r="C399" s="6" t="s">
        <v>4848</v>
      </c>
      <c r="D399" s="6" t="s">
        <v>2979</v>
      </c>
      <c r="E399" s="6" t="s">
        <v>2979</v>
      </c>
      <c r="F399" s="6" t="s">
        <v>2979</v>
      </c>
      <c r="G399" s="6" t="s">
        <v>2312</v>
      </c>
      <c r="H399" s="6" t="s">
        <v>1445</v>
      </c>
      <c r="I399" s="6" t="s">
        <v>4684</v>
      </c>
      <c r="J399" s="6" t="s">
        <v>5365</v>
      </c>
      <c r="K399" s="6" t="s">
        <v>4679</v>
      </c>
      <c r="L399" s="2" t="s">
        <v>2980</v>
      </c>
      <c r="M399" s="2" t="s">
        <v>725</v>
      </c>
      <c r="N399" s="9" t="s">
        <v>672</v>
      </c>
      <c r="O399" s="6" t="s">
        <v>389</v>
      </c>
      <c r="P399" s="6" t="s">
        <v>98</v>
      </c>
      <c r="Q399" s="6" t="s">
        <v>5744</v>
      </c>
      <c r="R399" s="6" t="s">
        <v>5567</v>
      </c>
    </row>
    <row r="400" customFormat="false" ht="23.85" hidden="false" customHeight="false" outlineLevel="0" collapsed="false">
      <c r="A400" s="6" t="s">
        <v>4914</v>
      </c>
      <c r="B400" s="6" t="s">
        <v>102</v>
      </c>
      <c r="C400" s="6" t="s">
        <v>4848</v>
      </c>
      <c r="D400" s="6" t="s">
        <v>4102</v>
      </c>
      <c r="E400" s="6" t="s">
        <v>4102</v>
      </c>
      <c r="F400" s="6" t="s">
        <v>4103</v>
      </c>
      <c r="G400" s="6" t="s">
        <v>2312</v>
      </c>
      <c r="H400" s="6" t="s">
        <v>1445</v>
      </c>
      <c r="I400" s="6" t="s">
        <v>4680</v>
      </c>
      <c r="J400" s="6" t="s">
        <v>440</v>
      </c>
      <c r="K400" s="6" t="s">
        <v>4790</v>
      </c>
      <c r="L400" s="2" t="s">
        <v>4104</v>
      </c>
      <c r="M400" s="2"/>
      <c r="N400" s="9" t="s">
        <v>4105</v>
      </c>
      <c r="O400" s="6" t="s">
        <v>440</v>
      </c>
      <c r="P400" s="6" t="s">
        <v>85</v>
      </c>
      <c r="Q400" s="6" t="s">
        <v>5743</v>
      </c>
      <c r="R400" s="6" t="s">
        <v>5613</v>
      </c>
    </row>
    <row r="401" customFormat="false" ht="23.85" hidden="false" customHeight="false" outlineLevel="0" collapsed="false">
      <c r="A401" s="6" t="s">
        <v>4914</v>
      </c>
      <c r="B401" s="6" t="s">
        <v>102</v>
      </c>
      <c r="C401" s="6" t="s">
        <v>4848</v>
      </c>
      <c r="D401" s="6" t="s">
        <v>3524</v>
      </c>
      <c r="E401" s="6" t="s">
        <v>3524</v>
      </c>
      <c r="F401" s="6" t="s">
        <v>3525</v>
      </c>
      <c r="G401" s="6" t="s">
        <v>1598</v>
      </c>
      <c r="H401" s="6" t="s">
        <v>1445</v>
      </c>
      <c r="I401" s="6" t="s">
        <v>4684</v>
      </c>
      <c r="J401" s="6" t="s">
        <v>1431</v>
      </c>
      <c r="K401" s="6" t="s">
        <v>4790</v>
      </c>
      <c r="L401" s="2" t="s">
        <v>3527</v>
      </c>
      <c r="M401" s="2" t="s">
        <v>5775</v>
      </c>
      <c r="N401" s="9" t="s">
        <v>3528</v>
      </c>
      <c r="O401" s="6" t="s">
        <v>1431</v>
      </c>
      <c r="P401" s="6" t="s">
        <v>85</v>
      </c>
      <c r="Q401" s="6" t="s">
        <v>5743</v>
      </c>
      <c r="R401" s="6" t="s">
        <v>5613</v>
      </c>
    </row>
    <row r="402" customFormat="false" ht="23.85" hidden="false" customHeight="false" outlineLevel="0" collapsed="false">
      <c r="A402" s="6" t="s">
        <v>4914</v>
      </c>
      <c r="B402" s="6" t="s">
        <v>102</v>
      </c>
      <c r="C402" s="6" t="s">
        <v>4848</v>
      </c>
      <c r="D402" s="6" t="s">
        <v>1450</v>
      </c>
      <c r="E402" s="6" t="s">
        <v>1450</v>
      </c>
      <c r="F402" s="6" t="s">
        <v>1451</v>
      </c>
      <c r="G402" s="6" t="s">
        <v>239</v>
      </c>
      <c r="H402" s="6" t="s">
        <v>1445</v>
      </c>
      <c r="I402" s="6" t="s">
        <v>4684</v>
      </c>
      <c r="J402" s="6" t="s">
        <v>5776</v>
      </c>
      <c r="K402" s="6" t="s">
        <v>4790</v>
      </c>
      <c r="L402" s="2" t="s">
        <v>1454</v>
      </c>
      <c r="M402" s="2" t="s">
        <v>1453</v>
      </c>
      <c r="N402" s="9" t="s">
        <v>1456</v>
      </c>
      <c r="O402" s="6" t="s">
        <v>1455</v>
      </c>
      <c r="P402" s="6" t="s">
        <v>106</v>
      </c>
      <c r="Q402" s="6" t="s">
        <v>5744</v>
      </c>
      <c r="R402" s="6" t="s">
        <v>5567</v>
      </c>
    </row>
    <row r="403" customFormat="false" ht="15" hidden="false" customHeight="false" outlineLevel="0" collapsed="false">
      <c r="A403" s="6" t="s">
        <v>4914</v>
      </c>
      <c r="B403" s="6" t="s">
        <v>102</v>
      </c>
      <c r="C403" s="6" t="s">
        <v>4848</v>
      </c>
      <c r="D403" s="6" t="s">
        <v>3149</v>
      </c>
      <c r="E403" s="6" t="s">
        <v>3149</v>
      </c>
      <c r="F403" s="6" t="s">
        <v>3150</v>
      </c>
      <c r="G403" s="6" t="s">
        <v>239</v>
      </c>
      <c r="H403" s="6" t="s">
        <v>1445</v>
      </c>
      <c r="I403" s="6" t="s">
        <v>4684</v>
      </c>
      <c r="J403" s="6" t="s">
        <v>5365</v>
      </c>
      <c r="K403" s="6" t="s">
        <v>4790</v>
      </c>
      <c r="L403" s="2" t="s">
        <v>3151</v>
      </c>
      <c r="M403" s="2"/>
      <c r="N403" s="9" t="s">
        <v>3152</v>
      </c>
      <c r="O403" s="6" t="s">
        <v>504</v>
      </c>
      <c r="P403" s="6" t="s">
        <v>106</v>
      </c>
      <c r="Q403" s="6" t="s">
        <v>5743</v>
      </c>
      <c r="R403" s="6" t="s">
        <v>5613</v>
      </c>
    </row>
    <row r="404" customFormat="false" ht="15" hidden="false" customHeight="false" outlineLevel="0" collapsed="false">
      <c r="A404" s="6" t="s">
        <v>4914</v>
      </c>
      <c r="B404" s="6" t="s">
        <v>102</v>
      </c>
      <c r="C404" s="6" t="s">
        <v>4848</v>
      </c>
      <c r="D404" s="6" t="s">
        <v>4145</v>
      </c>
      <c r="E404" s="6" t="s">
        <v>4145</v>
      </c>
      <c r="F404" s="6" t="s">
        <v>4146</v>
      </c>
      <c r="G404" s="6" t="s">
        <v>1215</v>
      </c>
      <c r="H404" s="6" t="s">
        <v>1445</v>
      </c>
      <c r="I404" s="6" t="s">
        <v>4684</v>
      </c>
      <c r="J404" s="6" t="s">
        <v>5365</v>
      </c>
      <c r="K404" s="6" t="s">
        <v>4790</v>
      </c>
      <c r="L404" s="2" t="s">
        <v>4147</v>
      </c>
      <c r="M404" s="2"/>
      <c r="N404" s="9" t="s">
        <v>4148</v>
      </c>
      <c r="O404" s="6" t="s">
        <v>130</v>
      </c>
      <c r="P404" s="6" t="s">
        <v>106</v>
      </c>
      <c r="Q404" s="6" t="s">
        <v>4914</v>
      </c>
      <c r="R404" s="6" t="s">
        <v>5613</v>
      </c>
    </row>
    <row r="405" customFormat="false" ht="15" hidden="false" customHeight="false" outlineLevel="0" collapsed="false">
      <c r="A405" s="6" t="s">
        <v>4914</v>
      </c>
      <c r="B405" s="6" t="s">
        <v>102</v>
      </c>
      <c r="C405" s="6" t="s">
        <v>4848</v>
      </c>
      <c r="D405" s="6" t="s">
        <v>4163</v>
      </c>
      <c r="E405" s="6" t="s">
        <v>4163</v>
      </c>
      <c r="F405" s="6" t="s">
        <v>3001</v>
      </c>
      <c r="G405" s="6" t="s">
        <v>2312</v>
      </c>
      <c r="H405" s="6" t="s">
        <v>1445</v>
      </c>
      <c r="I405" s="6" t="s">
        <v>4684</v>
      </c>
      <c r="J405" s="6" t="s">
        <v>5365</v>
      </c>
      <c r="K405" s="6" t="s">
        <v>4679</v>
      </c>
      <c r="L405" s="2" t="s">
        <v>4164</v>
      </c>
      <c r="M405" s="2"/>
      <c r="N405" s="9" t="s">
        <v>4165</v>
      </c>
      <c r="O405" s="6" t="s">
        <v>683</v>
      </c>
      <c r="P405" s="6" t="s">
        <v>106</v>
      </c>
      <c r="Q405" s="6" t="s">
        <v>5743</v>
      </c>
      <c r="R405" s="6" t="s">
        <v>5613</v>
      </c>
    </row>
    <row r="406" customFormat="false" ht="23.85" hidden="false" customHeight="false" outlineLevel="0" collapsed="false">
      <c r="A406" s="6" t="s">
        <v>4914</v>
      </c>
      <c r="B406" s="6" t="s">
        <v>102</v>
      </c>
      <c r="C406" s="6" t="s">
        <v>4848</v>
      </c>
      <c r="D406" s="6" t="s">
        <v>3089</v>
      </c>
      <c r="E406" s="6" t="s">
        <v>3089</v>
      </c>
      <c r="F406" s="6" t="s">
        <v>3090</v>
      </c>
      <c r="G406" s="6" t="s">
        <v>507</v>
      </c>
      <c r="H406" s="6" t="s">
        <v>1445</v>
      </c>
      <c r="I406" s="6" t="s">
        <v>4684</v>
      </c>
      <c r="J406" s="6" t="s">
        <v>5365</v>
      </c>
      <c r="K406" s="6" t="s">
        <v>4790</v>
      </c>
      <c r="L406" s="2" t="s">
        <v>1720</v>
      </c>
      <c r="M406" s="2" t="s">
        <v>1719</v>
      </c>
      <c r="N406" s="9" t="s">
        <v>108</v>
      </c>
      <c r="O406" s="6" t="s">
        <v>97</v>
      </c>
      <c r="P406" s="6" t="s">
        <v>98</v>
      </c>
      <c r="Q406" s="6" t="s">
        <v>4914</v>
      </c>
      <c r="R406" s="6" t="s">
        <v>5613</v>
      </c>
    </row>
    <row r="407" customFormat="false" ht="23.85" hidden="false" customHeight="false" outlineLevel="0" collapsed="false">
      <c r="A407" s="6" t="s">
        <v>4914</v>
      </c>
      <c r="B407" s="6" t="s">
        <v>102</v>
      </c>
      <c r="C407" s="6" t="s">
        <v>4848</v>
      </c>
      <c r="D407" s="6" t="s">
        <v>2644</v>
      </c>
      <c r="E407" s="6" t="s">
        <v>2644</v>
      </c>
      <c r="F407" s="6" t="s">
        <v>2644</v>
      </c>
      <c r="G407" s="6" t="s">
        <v>507</v>
      </c>
      <c r="H407" s="6" t="s">
        <v>1445</v>
      </c>
      <c r="I407" s="6" t="s">
        <v>4684</v>
      </c>
      <c r="J407" s="6" t="s">
        <v>5365</v>
      </c>
      <c r="K407" s="6" t="s">
        <v>4790</v>
      </c>
      <c r="L407" s="2" t="s">
        <v>2645</v>
      </c>
      <c r="M407" s="2" t="s">
        <v>725</v>
      </c>
      <c r="N407" s="9" t="s">
        <v>2292</v>
      </c>
      <c r="O407" s="6" t="s">
        <v>97</v>
      </c>
      <c r="P407" s="6" t="s">
        <v>106</v>
      </c>
      <c r="Q407" s="6" t="s">
        <v>4914</v>
      </c>
      <c r="R407" s="6" t="s">
        <v>5567</v>
      </c>
    </row>
    <row r="408" customFormat="false" ht="23.85" hidden="false" customHeight="false" outlineLevel="0" collapsed="false">
      <c r="A408" s="6" t="s">
        <v>4914</v>
      </c>
      <c r="B408" s="6" t="s">
        <v>102</v>
      </c>
      <c r="C408" s="6" t="s">
        <v>4848</v>
      </c>
      <c r="D408" s="6" t="s">
        <v>3911</v>
      </c>
      <c r="E408" s="6" t="s">
        <v>3911</v>
      </c>
      <c r="F408" s="6" t="s">
        <v>3308</v>
      </c>
      <c r="G408" s="6" t="s">
        <v>507</v>
      </c>
      <c r="H408" s="6" t="s">
        <v>1445</v>
      </c>
      <c r="I408" s="6" t="s">
        <v>4684</v>
      </c>
      <c r="J408" s="6" t="s">
        <v>5365</v>
      </c>
      <c r="K408" s="6" t="s">
        <v>4790</v>
      </c>
      <c r="L408" s="2" t="s">
        <v>3912</v>
      </c>
      <c r="M408" s="2"/>
      <c r="N408" s="9" t="s">
        <v>3913</v>
      </c>
      <c r="O408" s="6" t="s">
        <v>308</v>
      </c>
      <c r="P408" s="6" t="s">
        <v>106</v>
      </c>
      <c r="Q408" s="6" t="s">
        <v>4914</v>
      </c>
      <c r="R408" s="6" t="s">
        <v>5613</v>
      </c>
    </row>
    <row r="409" customFormat="false" ht="23.85" hidden="false" customHeight="false" outlineLevel="0" collapsed="false">
      <c r="A409" s="6" t="s">
        <v>4914</v>
      </c>
      <c r="B409" s="6" t="s">
        <v>102</v>
      </c>
      <c r="C409" s="6" t="s">
        <v>4848</v>
      </c>
      <c r="D409" s="6" t="s">
        <v>3028</v>
      </c>
      <c r="E409" s="6" t="s">
        <v>3028</v>
      </c>
      <c r="F409" s="6" t="s">
        <v>3029</v>
      </c>
      <c r="G409" s="6" t="s">
        <v>1215</v>
      </c>
      <c r="H409" s="6" t="s">
        <v>1445</v>
      </c>
      <c r="I409" s="6" t="s">
        <v>4684</v>
      </c>
      <c r="J409" s="6" t="s">
        <v>5365</v>
      </c>
      <c r="K409" s="6" t="s">
        <v>4679</v>
      </c>
      <c r="L409" s="2" t="s">
        <v>3030</v>
      </c>
      <c r="M409" s="2" t="s">
        <v>725</v>
      </c>
      <c r="N409" s="9" t="s">
        <v>672</v>
      </c>
      <c r="O409" s="6" t="s">
        <v>389</v>
      </c>
      <c r="P409" s="6" t="s">
        <v>106</v>
      </c>
      <c r="Q409" s="6" t="s">
        <v>5744</v>
      </c>
      <c r="R409" s="6" t="s">
        <v>5567</v>
      </c>
    </row>
    <row r="410" customFormat="false" ht="23.85" hidden="false" customHeight="false" outlineLevel="0" collapsed="false">
      <c r="A410" s="6" t="s">
        <v>4914</v>
      </c>
      <c r="B410" s="6" t="s">
        <v>102</v>
      </c>
      <c r="C410" s="6" t="s">
        <v>4848</v>
      </c>
      <c r="D410" s="6" t="s">
        <v>3158</v>
      </c>
      <c r="E410" s="6" t="s">
        <v>3158</v>
      </c>
      <c r="F410" s="6" t="s">
        <v>2130</v>
      </c>
      <c r="G410" s="6" t="s">
        <v>239</v>
      </c>
      <c r="H410" s="6" t="s">
        <v>1445</v>
      </c>
      <c r="I410" s="6" t="s">
        <v>4684</v>
      </c>
      <c r="J410" s="6" t="s">
        <v>5365</v>
      </c>
      <c r="K410" s="6" t="s">
        <v>4790</v>
      </c>
      <c r="L410" s="2" t="s">
        <v>5777</v>
      </c>
      <c r="M410" s="2" t="s">
        <v>3160</v>
      </c>
      <c r="N410" s="9" t="s">
        <v>3162</v>
      </c>
      <c r="O410" s="6" t="s">
        <v>332</v>
      </c>
      <c r="P410" s="6" t="s">
        <v>106</v>
      </c>
      <c r="Q410" s="6" t="s">
        <v>5743</v>
      </c>
      <c r="R410" s="6" t="s">
        <v>5613</v>
      </c>
    </row>
    <row r="411" customFormat="false" ht="15" hidden="false" customHeight="false" outlineLevel="0" collapsed="false">
      <c r="A411" s="6" t="s">
        <v>4914</v>
      </c>
      <c r="B411" s="6" t="s">
        <v>102</v>
      </c>
      <c r="C411" s="6" t="s">
        <v>4848</v>
      </c>
      <c r="D411" s="6" t="s">
        <v>4621</v>
      </c>
      <c r="E411" s="6" t="s">
        <v>4621</v>
      </c>
      <c r="F411" s="6" t="s">
        <v>4622</v>
      </c>
      <c r="G411" s="6" t="s">
        <v>2284</v>
      </c>
      <c r="H411" s="6" t="s">
        <v>1445</v>
      </c>
      <c r="I411" s="6" t="s">
        <v>4680</v>
      </c>
      <c r="J411" s="6" t="s">
        <v>2017</v>
      </c>
      <c r="K411" s="6" t="s">
        <v>4679</v>
      </c>
      <c r="L411" s="2" t="s">
        <v>4624</v>
      </c>
      <c r="M411" s="2" t="s">
        <v>3339</v>
      </c>
      <c r="N411" s="9" t="s">
        <v>4625</v>
      </c>
      <c r="O411" s="6" t="s">
        <v>2017</v>
      </c>
      <c r="P411" s="6" t="s">
        <v>106</v>
      </c>
      <c r="Q411" s="6" t="s">
        <v>5744</v>
      </c>
      <c r="R411" s="6" t="s">
        <v>5567</v>
      </c>
    </row>
    <row r="412" customFormat="false" ht="15" hidden="false" customHeight="false" outlineLevel="0" collapsed="false">
      <c r="A412" s="6" t="s">
        <v>4914</v>
      </c>
      <c r="B412" s="6" t="s">
        <v>102</v>
      </c>
      <c r="C412" s="6" t="s">
        <v>4848</v>
      </c>
      <c r="D412" s="6" t="s">
        <v>3110</v>
      </c>
      <c r="E412" s="6" t="s">
        <v>3110</v>
      </c>
      <c r="F412" s="6" t="s">
        <v>708</v>
      </c>
      <c r="G412" s="6" t="s">
        <v>182</v>
      </c>
      <c r="H412" s="6" t="s">
        <v>1445</v>
      </c>
      <c r="I412" s="6" t="s">
        <v>4684</v>
      </c>
      <c r="J412" s="6" t="s">
        <v>5365</v>
      </c>
      <c r="K412" s="6" t="s">
        <v>4790</v>
      </c>
      <c r="L412" s="2" t="s">
        <v>3112</v>
      </c>
      <c r="M412" s="2" t="s">
        <v>3111</v>
      </c>
      <c r="N412" s="9" t="s">
        <v>3113</v>
      </c>
      <c r="O412" s="6" t="s">
        <v>642</v>
      </c>
      <c r="P412" s="6" t="s">
        <v>106</v>
      </c>
      <c r="Q412" s="6" t="s">
        <v>5743</v>
      </c>
      <c r="R412" s="6" t="s">
        <v>5613</v>
      </c>
    </row>
    <row r="413" customFormat="false" ht="23.85" hidden="false" customHeight="false" outlineLevel="0" collapsed="false">
      <c r="A413" s="6" t="s">
        <v>4914</v>
      </c>
      <c r="B413" s="6" t="s">
        <v>102</v>
      </c>
      <c r="C413" s="6" t="s">
        <v>4848</v>
      </c>
      <c r="D413" s="6" t="s">
        <v>3173</v>
      </c>
      <c r="E413" s="6" t="s">
        <v>3173</v>
      </c>
      <c r="F413" s="6" t="s">
        <v>3174</v>
      </c>
      <c r="G413" s="6" t="s">
        <v>239</v>
      </c>
      <c r="H413" s="6" t="s">
        <v>1445</v>
      </c>
      <c r="I413" s="6" t="s">
        <v>4684</v>
      </c>
      <c r="J413" s="6" t="s">
        <v>3177</v>
      </c>
      <c r="K413" s="6" t="s">
        <v>4679</v>
      </c>
      <c r="L413" s="2" t="s">
        <v>3176</v>
      </c>
      <c r="M413" s="2" t="s">
        <v>3175</v>
      </c>
      <c r="N413" s="9" t="s">
        <v>3178</v>
      </c>
      <c r="O413" s="6" t="s">
        <v>3177</v>
      </c>
      <c r="P413" s="6" t="s">
        <v>106</v>
      </c>
      <c r="Q413" s="6" t="s">
        <v>5743</v>
      </c>
      <c r="R413" s="6" t="s">
        <v>5613</v>
      </c>
    </row>
    <row r="414" customFormat="false" ht="23.85" hidden="false" customHeight="false" outlineLevel="0" collapsed="false">
      <c r="A414" s="6" t="s">
        <v>4914</v>
      </c>
      <c r="B414" s="6" t="s">
        <v>102</v>
      </c>
      <c r="C414" s="6" t="s">
        <v>4848</v>
      </c>
      <c r="D414" s="6" t="s">
        <v>391</v>
      </c>
      <c r="E414" s="6" t="s">
        <v>391</v>
      </c>
      <c r="F414" s="6" t="s">
        <v>391</v>
      </c>
      <c r="G414" s="6" t="s">
        <v>90</v>
      </c>
      <c r="H414" s="6" t="s">
        <v>1445</v>
      </c>
      <c r="I414" s="6" t="s">
        <v>4684</v>
      </c>
      <c r="J414" s="6" t="s">
        <v>5365</v>
      </c>
      <c r="K414" s="6" t="s">
        <v>4790</v>
      </c>
      <c r="L414" s="2" t="s">
        <v>1720</v>
      </c>
      <c r="M414" s="2" t="s">
        <v>1719</v>
      </c>
      <c r="N414" s="9" t="s">
        <v>108</v>
      </c>
      <c r="O414" s="6" t="s">
        <v>97</v>
      </c>
      <c r="P414" s="6" t="s">
        <v>98</v>
      </c>
      <c r="Q414" s="6" t="s">
        <v>4914</v>
      </c>
      <c r="R414" s="6" t="s">
        <v>5613</v>
      </c>
    </row>
    <row r="415" customFormat="false" ht="15" hidden="false" customHeight="false" outlineLevel="0" collapsed="false">
      <c r="A415" s="6" t="s">
        <v>4914</v>
      </c>
      <c r="B415" s="6" t="s">
        <v>102</v>
      </c>
      <c r="C415" s="6" t="s">
        <v>4848</v>
      </c>
      <c r="D415" s="6" t="s">
        <v>4356</v>
      </c>
      <c r="E415" s="6" t="s">
        <v>4356</v>
      </c>
      <c r="F415" s="6" t="s">
        <v>4357</v>
      </c>
      <c r="G415" s="6" t="s">
        <v>1215</v>
      </c>
      <c r="H415" s="6" t="s">
        <v>1445</v>
      </c>
      <c r="I415" s="6" t="s">
        <v>4684</v>
      </c>
      <c r="J415" s="6" t="s">
        <v>5365</v>
      </c>
      <c r="K415" s="6" t="s">
        <v>4679</v>
      </c>
      <c r="L415" s="2" t="s">
        <v>4358</v>
      </c>
      <c r="M415" s="2"/>
      <c r="N415" s="9" t="s">
        <v>4359</v>
      </c>
      <c r="O415" s="6" t="s">
        <v>1455</v>
      </c>
      <c r="P415" s="6" t="s">
        <v>106</v>
      </c>
      <c r="Q415" s="6" t="s">
        <v>5743</v>
      </c>
      <c r="R415" s="6" t="s">
        <v>5613</v>
      </c>
    </row>
    <row r="416" customFormat="false" ht="35.05" hidden="false" customHeight="false" outlineLevel="0" collapsed="false">
      <c r="A416" s="6" t="s">
        <v>4914</v>
      </c>
      <c r="B416" s="6" t="s">
        <v>102</v>
      </c>
      <c r="C416" s="6" t="s">
        <v>4848</v>
      </c>
      <c r="D416" s="6" t="s">
        <v>2237</v>
      </c>
      <c r="E416" s="6" t="s">
        <v>2237</v>
      </c>
      <c r="F416" s="6" t="s">
        <v>2238</v>
      </c>
      <c r="G416" s="6" t="s">
        <v>153</v>
      </c>
      <c r="H416" s="6" t="s">
        <v>1445</v>
      </c>
      <c r="I416" s="6" t="s">
        <v>4680</v>
      </c>
      <c r="J416" s="6" t="s">
        <v>5778</v>
      </c>
      <c r="K416" s="6" t="s">
        <v>4790</v>
      </c>
      <c r="L416" s="2" t="s">
        <v>2241</v>
      </c>
      <c r="M416" s="2" t="s">
        <v>2240</v>
      </c>
      <c r="N416" s="9" t="s">
        <v>2242</v>
      </c>
      <c r="O416" s="6" t="s">
        <v>1943</v>
      </c>
      <c r="P416" s="6" t="s">
        <v>85</v>
      </c>
      <c r="Q416" s="6" t="s">
        <v>5744</v>
      </c>
      <c r="R416" s="6" t="s">
        <v>5567</v>
      </c>
    </row>
    <row r="417" customFormat="false" ht="15" hidden="false" customHeight="false" outlineLevel="0" collapsed="false">
      <c r="A417" s="6" t="s">
        <v>4914</v>
      </c>
      <c r="B417" s="6" t="s">
        <v>102</v>
      </c>
      <c r="C417" s="6" t="s">
        <v>4848</v>
      </c>
      <c r="D417" s="6" t="s">
        <v>4456</v>
      </c>
      <c r="E417" s="6" t="s">
        <v>4456</v>
      </c>
      <c r="F417" s="6" t="s">
        <v>3838</v>
      </c>
      <c r="G417" s="6" t="s">
        <v>1598</v>
      </c>
      <c r="H417" s="6" t="s">
        <v>1445</v>
      </c>
      <c r="I417" s="6" t="s">
        <v>4684</v>
      </c>
      <c r="J417" s="6" t="s">
        <v>5365</v>
      </c>
      <c r="K417" s="6" t="s">
        <v>4679</v>
      </c>
      <c r="L417" s="2" t="s">
        <v>4457</v>
      </c>
      <c r="M417" s="2"/>
      <c r="N417" s="9" t="s">
        <v>4458</v>
      </c>
      <c r="O417" s="6" t="s">
        <v>1162</v>
      </c>
      <c r="P417" s="6" t="s">
        <v>106</v>
      </c>
      <c r="Q417" s="6" t="s">
        <v>5743</v>
      </c>
      <c r="R417" s="6" t="s">
        <v>5613</v>
      </c>
    </row>
    <row r="418" customFormat="false" ht="23.85" hidden="false" customHeight="false" outlineLevel="0" collapsed="false">
      <c r="A418" s="6" t="s">
        <v>4914</v>
      </c>
      <c r="B418" s="6" t="s">
        <v>102</v>
      </c>
      <c r="C418" s="6" t="s">
        <v>4848</v>
      </c>
      <c r="D418" s="6" t="s">
        <v>3576</v>
      </c>
      <c r="E418" s="6" t="s">
        <v>3576</v>
      </c>
      <c r="F418" s="6" t="s">
        <v>3577</v>
      </c>
      <c r="G418" s="6" t="s">
        <v>1598</v>
      </c>
      <c r="H418" s="6" t="s">
        <v>1445</v>
      </c>
      <c r="I418" s="6" t="s">
        <v>4684</v>
      </c>
      <c r="J418" s="6" t="s">
        <v>5365</v>
      </c>
      <c r="K418" s="6" t="s">
        <v>4790</v>
      </c>
      <c r="L418" s="2" t="s">
        <v>3579</v>
      </c>
      <c r="M418" s="2" t="s">
        <v>3578</v>
      </c>
      <c r="N418" s="9" t="s">
        <v>3580</v>
      </c>
      <c r="O418" s="6" t="s">
        <v>84</v>
      </c>
      <c r="P418" s="6" t="s">
        <v>106</v>
      </c>
      <c r="Q418" s="6" t="s">
        <v>5751</v>
      </c>
      <c r="R418" s="6" t="s">
        <v>5613</v>
      </c>
    </row>
    <row r="419" customFormat="false" ht="23.85" hidden="false" customHeight="false" outlineLevel="0" collapsed="false">
      <c r="A419" s="6" t="s">
        <v>4914</v>
      </c>
      <c r="B419" s="6" t="s">
        <v>102</v>
      </c>
      <c r="C419" s="6" t="s">
        <v>4848</v>
      </c>
      <c r="D419" s="6" t="s">
        <v>3043</v>
      </c>
      <c r="E419" s="6" t="s">
        <v>3043</v>
      </c>
      <c r="F419" s="6" t="s">
        <v>3044</v>
      </c>
      <c r="G419" s="6" t="s">
        <v>1215</v>
      </c>
      <c r="H419" s="6" t="s">
        <v>1445</v>
      </c>
      <c r="I419" s="6" t="s">
        <v>4684</v>
      </c>
      <c r="J419" s="6" t="s">
        <v>5521</v>
      </c>
      <c r="K419" s="6" t="s">
        <v>4790</v>
      </c>
      <c r="L419" s="2" t="s">
        <v>3047</v>
      </c>
      <c r="M419" s="2" t="s">
        <v>725</v>
      </c>
      <c r="N419" s="9" t="s">
        <v>3048</v>
      </c>
      <c r="O419" s="6" t="s">
        <v>130</v>
      </c>
      <c r="P419" s="6" t="s">
        <v>85</v>
      </c>
      <c r="Q419" s="6" t="s">
        <v>4914</v>
      </c>
      <c r="R419" s="6" t="s">
        <v>5567</v>
      </c>
    </row>
    <row r="420" customFormat="false" ht="15" hidden="false" customHeight="false" outlineLevel="0" collapsed="false">
      <c r="A420" s="6" t="s">
        <v>4914</v>
      </c>
      <c r="B420" s="6" t="s">
        <v>102</v>
      </c>
      <c r="C420" s="6" t="s">
        <v>4848</v>
      </c>
      <c r="D420" s="6" t="s">
        <v>3868</v>
      </c>
      <c r="E420" s="6" t="s">
        <v>3868</v>
      </c>
      <c r="F420" s="6" t="s">
        <v>708</v>
      </c>
      <c r="G420" s="6" t="s">
        <v>1598</v>
      </c>
      <c r="H420" s="6" t="s">
        <v>1445</v>
      </c>
      <c r="I420" s="6" t="s">
        <v>4684</v>
      </c>
      <c r="J420" s="6" t="s">
        <v>5365</v>
      </c>
      <c r="K420" s="6" t="s">
        <v>4790</v>
      </c>
      <c r="L420" s="2" t="s">
        <v>3869</v>
      </c>
      <c r="M420" s="2" t="s">
        <v>3111</v>
      </c>
      <c r="N420" s="9" t="s">
        <v>1622</v>
      </c>
      <c r="O420" s="6" t="s">
        <v>389</v>
      </c>
      <c r="P420" s="6" t="s">
        <v>106</v>
      </c>
      <c r="Q420" s="6" t="s">
        <v>5743</v>
      </c>
      <c r="R420" s="6" t="s">
        <v>5613</v>
      </c>
    </row>
    <row r="421" customFormat="false" ht="35.05" hidden="false" customHeight="false" outlineLevel="0" collapsed="false">
      <c r="A421" s="6" t="s">
        <v>4914</v>
      </c>
      <c r="B421" s="6" t="s">
        <v>102</v>
      </c>
      <c r="C421" s="6" t="s">
        <v>4848</v>
      </c>
      <c r="D421" s="6" t="s">
        <v>1151</v>
      </c>
      <c r="E421" s="6" t="s">
        <v>5779</v>
      </c>
      <c r="F421" s="6" t="s">
        <v>1151</v>
      </c>
      <c r="G421" s="6" t="s">
        <v>507</v>
      </c>
      <c r="H421" s="6" t="s">
        <v>1445</v>
      </c>
      <c r="I421" s="6" t="s">
        <v>4684</v>
      </c>
      <c r="J421" s="6" t="s">
        <v>226</v>
      </c>
      <c r="K421" s="6" t="s">
        <v>4790</v>
      </c>
      <c r="L421" s="2" t="s">
        <v>1154</v>
      </c>
      <c r="M421" s="2" t="s">
        <v>5780</v>
      </c>
      <c r="N421" s="9" t="s">
        <v>4625</v>
      </c>
      <c r="O421" s="6" t="s">
        <v>226</v>
      </c>
      <c r="P421" s="6" t="s">
        <v>106</v>
      </c>
      <c r="Q421" s="6" t="s">
        <v>5744</v>
      </c>
      <c r="R421" s="6" t="s">
        <v>5567</v>
      </c>
    </row>
    <row r="422" customFormat="false" ht="23.85" hidden="false" customHeight="false" outlineLevel="0" collapsed="false">
      <c r="A422" s="6" t="s">
        <v>4914</v>
      </c>
      <c r="B422" s="6" t="s">
        <v>102</v>
      </c>
      <c r="C422" s="6" t="s">
        <v>4848</v>
      </c>
      <c r="D422" s="6" t="s">
        <v>3054</v>
      </c>
      <c r="E422" s="6" t="s">
        <v>3054</v>
      </c>
      <c r="F422" s="6" t="s">
        <v>2317</v>
      </c>
      <c r="G422" s="6" t="s">
        <v>1598</v>
      </c>
      <c r="H422" s="6" t="s">
        <v>1445</v>
      </c>
      <c r="I422" s="6" t="s">
        <v>4684</v>
      </c>
      <c r="J422" s="6" t="s">
        <v>5365</v>
      </c>
      <c r="K422" s="6" t="s">
        <v>4790</v>
      </c>
      <c r="L422" s="2" t="s">
        <v>3056</v>
      </c>
      <c r="M422" s="2" t="s">
        <v>3055</v>
      </c>
      <c r="N422" s="9" t="s">
        <v>3057</v>
      </c>
      <c r="O422" s="6" t="s">
        <v>967</v>
      </c>
      <c r="P422" s="6" t="s">
        <v>106</v>
      </c>
      <c r="Q422" s="6" t="s">
        <v>5751</v>
      </c>
      <c r="R422" s="6" t="s">
        <v>5613</v>
      </c>
    </row>
    <row r="423" customFormat="false" ht="15" hidden="false" customHeight="false" outlineLevel="0" collapsed="false">
      <c r="A423" s="6" t="s">
        <v>4914</v>
      </c>
      <c r="B423" s="6" t="s">
        <v>102</v>
      </c>
      <c r="C423" s="6" t="s">
        <v>4848</v>
      </c>
      <c r="D423" s="6" t="s">
        <v>3132</v>
      </c>
      <c r="E423" s="6" t="s">
        <v>5781</v>
      </c>
      <c r="F423" s="6" t="s">
        <v>3132</v>
      </c>
      <c r="G423" s="6" t="s">
        <v>153</v>
      </c>
      <c r="H423" s="6" t="s">
        <v>1445</v>
      </c>
      <c r="I423" s="6" t="s">
        <v>4684</v>
      </c>
      <c r="J423" s="6" t="s">
        <v>5365</v>
      </c>
      <c r="K423" s="6" t="s">
        <v>4679</v>
      </c>
      <c r="L423" s="2" t="s">
        <v>5782</v>
      </c>
      <c r="M423" s="2" t="s">
        <v>5783</v>
      </c>
      <c r="N423" s="9" t="s">
        <v>3783</v>
      </c>
      <c r="O423" s="6" t="s">
        <v>1401</v>
      </c>
      <c r="P423" s="6" t="s">
        <v>106</v>
      </c>
      <c r="Q423" s="6" t="s">
        <v>5743</v>
      </c>
      <c r="R423" s="6" t="s">
        <v>5613</v>
      </c>
    </row>
    <row r="424" customFormat="false" ht="15" hidden="false" customHeight="false" outlineLevel="0" collapsed="false">
      <c r="A424" s="6" t="s">
        <v>4914</v>
      </c>
      <c r="B424" s="6" t="s">
        <v>102</v>
      </c>
      <c r="C424" s="6" t="s">
        <v>4848</v>
      </c>
      <c r="D424" s="6" t="s">
        <v>3788</v>
      </c>
      <c r="E424" s="6" t="s">
        <v>3788</v>
      </c>
      <c r="F424" s="6" t="s">
        <v>3789</v>
      </c>
      <c r="G424" s="6" t="s">
        <v>182</v>
      </c>
      <c r="H424" s="6" t="s">
        <v>1445</v>
      </c>
      <c r="I424" s="6" t="s">
        <v>4684</v>
      </c>
      <c r="J424" s="6" t="s">
        <v>5365</v>
      </c>
      <c r="K424" s="6" t="s">
        <v>4790</v>
      </c>
      <c r="L424" s="2" t="s">
        <v>3790</v>
      </c>
      <c r="M424" s="2"/>
      <c r="N424" s="9" t="s">
        <v>3791</v>
      </c>
      <c r="O424" s="6" t="s">
        <v>1943</v>
      </c>
      <c r="P424" s="6" t="s">
        <v>106</v>
      </c>
      <c r="Q424" s="6" t="s">
        <v>5743</v>
      </c>
      <c r="R424" s="6" t="s">
        <v>5613</v>
      </c>
    </row>
    <row r="425" customFormat="false" ht="15" hidden="false" customHeight="false" outlineLevel="0" collapsed="false">
      <c r="A425" s="6" t="s">
        <v>4914</v>
      </c>
      <c r="B425" s="6" t="s">
        <v>102</v>
      </c>
      <c r="C425" s="6" t="s">
        <v>4848</v>
      </c>
      <c r="D425" s="6" t="s">
        <v>4588</v>
      </c>
      <c r="E425" s="6" t="s">
        <v>4588</v>
      </c>
      <c r="F425" s="6" t="s">
        <v>708</v>
      </c>
      <c r="G425" s="6" t="s">
        <v>1598</v>
      </c>
      <c r="H425" s="6" t="s">
        <v>1445</v>
      </c>
      <c r="I425" s="6" t="s">
        <v>4684</v>
      </c>
      <c r="J425" s="6" t="s">
        <v>5365</v>
      </c>
      <c r="K425" s="6" t="s">
        <v>4790</v>
      </c>
      <c r="L425" s="2" t="s">
        <v>4589</v>
      </c>
      <c r="M425" s="2"/>
      <c r="N425" s="9" t="s">
        <v>4590</v>
      </c>
      <c r="O425" s="6" t="s">
        <v>226</v>
      </c>
      <c r="P425" s="6" t="s">
        <v>106</v>
      </c>
      <c r="Q425" s="6" t="s">
        <v>5743</v>
      </c>
      <c r="R425" s="6" t="s">
        <v>5613</v>
      </c>
    </row>
    <row r="426" customFormat="false" ht="15" hidden="false" customHeight="false" outlineLevel="0" collapsed="false">
      <c r="A426" s="6" t="s">
        <v>4914</v>
      </c>
      <c r="B426" s="6" t="s">
        <v>102</v>
      </c>
      <c r="C426" s="6" t="s">
        <v>4848</v>
      </c>
      <c r="D426" s="6" t="s">
        <v>2267</v>
      </c>
      <c r="E426" s="6" t="s">
        <v>2267</v>
      </c>
      <c r="F426" s="6" t="s">
        <v>263</v>
      </c>
      <c r="G426" s="6" t="s">
        <v>239</v>
      </c>
      <c r="H426" s="6" t="s">
        <v>1445</v>
      </c>
      <c r="I426" s="6" t="s">
        <v>4684</v>
      </c>
      <c r="J426" s="6" t="s">
        <v>2022</v>
      </c>
      <c r="K426" s="6" t="s">
        <v>4679</v>
      </c>
      <c r="L426" s="2" t="s">
        <v>2270</v>
      </c>
      <c r="M426" s="2" t="s">
        <v>2269</v>
      </c>
      <c r="N426" s="9" t="s">
        <v>2271</v>
      </c>
      <c r="O426" s="6" t="s">
        <v>2022</v>
      </c>
      <c r="P426" s="6" t="s">
        <v>106</v>
      </c>
      <c r="Q426" s="6" t="s">
        <v>5751</v>
      </c>
      <c r="R426" s="6" t="s">
        <v>5613</v>
      </c>
    </row>
    <row r="427" customFormat="false" ht="23.85" hidden="false" customHeight="false" outlineLevel="0" collapsed="false">
      <c r="A427" s="6" t="s">
        <v>4944</v>
      </c>
      <c r="B427" s="6" t="s">
        <v>102</v>
      </c>
      <c r="C427" s="6" t="s">
        <v>4870</v>
      </c>
      <c r="D427" s="6" t="s">
        <v>109</v>
      </c>
      <c r="E427" s="6" t="s">
        <v>109</v>
      </c>
      <c r="F427" s="6" t="s">
        <v>110</v>
      </c>
      <c r="G427" s="6" t="s">
        <v>90</v>
      </c>
      <c r="H427" s="6" t="s">
        <v>77</v>
      </c>
      <c r="I427" s="6" t="s">
        <v>4706</v>
      </c>
      <c r="J427" s="6" t="s">
        <v>1431</v>
      </c>
      <c r="K427" s="6" t="s">
        <v>4679</v>
      </c>
      <c r="L427" s="2" t="s">
        <v>114</v>
      </c>
      <c r="M427" s="2" t="s">
        <v>5784</v>
      </c>
      <c r="N427" s="9" t="s">
        <v>115</v>
      </c>
      <c r="O427" s="6" t="s">
        <v>1431</v>
      </c>
      <c r="P427" s="6" t="s">
        <v>106</v>
      </c>
      <c r="Q427" s="6" t="s">
        <v>5785</v>
      </c>
      <c r="R427" s="6" t="s">
        <v>5357</v>
      </c>
    </row>
    <row r="428" customFormat="false" ht="15" hidden="false" customHeight="false" outlineLevel="0" collapsed="false">
      <c r="A428" s="6" t="s">
        <v>4944</v>
      </c>
      <c r="B428" s="6" t="s">
        <v>102</v>
      </c>
      <c r="C428" s="6" t="s">
        <v>4682</v>
      </c>
      <c r="D428" s="6" t="s">
        <v>1194</v>
      </c>
      <c r="E428" s="6" t="s">
        <v>1194</v>
      </c>
      <c r="F428" s="6" t="s">
        <v>679</v>
      </c>
      <c r="G428" s="6" t="s">
        <v>153</v>
      </c>
      <c r="H428" s="6" t="s">
        <v>287</v>
      </c>
      <c r="I428" s="6" t="s">
        <v>4680</v>
      </c>
      <c r="J428" s="6" t="s">
        <v>1198</v>
      </c>
      <c r="K428" s="6" t="s">
        <v>4679</v>
      </c>
      <c r="L428" s="2" t="s">
        <v>1197</v>
      </c>
      <c r="M428" s="2" t="s">
        <v>1196</v>
      </c>
      <c r="N428" s="9" t="s">
        <v>1199</v>
      </c>
      <c r="O428" s="6" t="s">
        <v>1198</v>
      </c>
      <c r="P428" s="6" t="s">
        <v>106</v>
      </c>
      <c r="Q428" s="6" t="s">
        <v>5786</v>
      </c>
      <c r="R428" s="6" t="s">
        <v>5613</v>
      </c>
    </row>
    <row r="429" customFormat="false" ht="23.85" hidden="false" customHeight="false" outlineLevel="0" collapsed="false">
      <c r="A429" s="6" t="s">
        <v>4944</v>
      </c>
      <c r="B429" s="6" t="s">
        <v>102</v>
      </c>
      <c r="C429" s="6" t="s">
        <v>4682</v>
      </c>
      <c r="D429" s="6" t="s">
        <v>840</v>
      </c>
      <c r="E429" s="6" t="s">
        <v>840</v>
      </c>
      <c r="F429" s="6" t="s">
        <v>841</v>
      </c>
      <c r="G429" s="6" t="s">
        <v>118</v>
      </c>
      <c r="H429" s="6" t="s">
        <v>287</v>
      </c>
      <c r="I429" s="6" t="s">
        <v>4682</v>
      </c>
      <c r="J429" s="6" t="s">
        <v>5787</v>
      </c>
      <c r="K429" s="6" t="s">
        <v>4679</v>
      </c>
      <c r="L429" s="2" t="s">
        <v>844</v>
      </c>
      <c r="M429" s="2" t="s">
        <v>5788</v>
      </c>
      <c r="N429" s="9" t="s">
        <v>845</v>
      </c>
      <c r="O429" s="6" t="s">
        <v>5787</v>
      </c>
      <c r="P429" s="6" t="s">
        <v>106</v>
      </c>
      <c r="Q429" s="6" t="s">
        <v>5786</v>
      </c>
      <c r="R429" s="6" t="s">
        <v>5613</v>
      </c>
    </row>
    <row r="430" customFormat="false" ht="23.85" hidden="false" customHeight="false" outlineLevel="0" collapsed="false">
      <c r="A430" s="6" t="s">
        <v>4944</v>
      </c>
      <c r="B430" s="6" t="s">
        <v>102</v>
      </c>
      <c r="C430" s="6" t="s">
        <v>4682</v>
      </c>
      <c r="D430" s="6" t="s">
        <v>1758</v>
      </c>
      <c r="E430" s="6" t="s">
        <v>1758</v>
      </c>
      <c r="F430" s="6" t="s">
        <v>1759</v>
      </c>
      <c r="G430" s="6" t="s">
        <v>1127</v>
      </c>
      <c r="H430" s="6" t="s">
        <v>287</v>
      </c>
      <c r="I430" s="6" t="s">
        <v>4682</v>
      </c>
      <c r="J430" s="6" t="s">
        <v>383</v>
      </c>
      <c r="K430" s="6" t="s">
        <v>4790</v>
      </c>
      <c r="L430" s="2" t="s">
        <v>1762</v>
      </c>
      <c r="M430" s="2" t="s">
        <v>1761</v>
      </c>
      <c r="N430" s="9" t="s">
        <v>1763</v>
      </c>
      <c r="O430" s="6" t="s">
        <v>383</v>
      </c>
      <c r="P430" s="6" t="s">
        <v>85</v>
      </c>
      <c r="Q430" s="6" t="s">
        <v>5789</v>
      </c>
      <c r="R430" s="6" t="s">
        <v>5368</v>
      </c>
    </row>
    <row r="431" customFormat="false" ht="15" hidden="false" customHeight="false" outlineLevel="0" collapsed="false">
      <c r="A431" s="6" t="s">
        <v>4944</v>
      </c>
      <c r="B431" s="6" t="s">
        <v>102</v>
      </c>
      <c r="C431" s="6" t="s">
        <v>4682</v>
      </c>
      <c r="D431" s="6" t="s">
        <v>861</v>
      </c>
      <c r="E431" s="6" t="s">
        <v>861</v>
      </c>
      <c r="F431" s="6" t="s">
        <v>862</v>
      </c>
      <c r="G431" s="6" t="s">
        <v>90</v>
      </c>
      <c r="H431" s="6" t="s">
        <v>287</v>
      </c>
      <c r="I431" s="6" t="s">
        <v>4706</v>
      </c>
      <c r="J431" s="6" t="s">
        <v>866</v>
      </c>
      <c r="K431" s="6" t="s">
        <v>4679</v>
      </c>
      <c r="L431" s="2" t="s">
        <v>865</v>
      </c>
      <c r="M431" s="2" t="s">
        <v>864</v>
      </c>
      <c r="N431" s="9" t="s">
        <v>867</v>
      </c>
      <c r="O431" s="6" t="s">
        <v>866</v>
      </c>
      <c r="P431" s="6" t="s">
        <v>106</v>
      </c>
      <c r="Q431" s="6" t="s">
        <v>5786</v>
      </c>
      <c r="R431" s="6" t="s">
        <v>5613</v>
      </c>
    </row>
    <row r="432" customFormat="false" ht="23.85" hidden="false" customHeight="false" outlineLevel="0" collapsed="false">
      <c r="A432" s="6" t="s">
        <v>4944</v>
      </c>
      <c r="B432" s="6" t="s">
        <v>102</v>
      </c>
      <c r="C432" s="6" t="s">
        <v>4682</v>
      </c>
      <c r="D432" s="6" t="s">
        <v>868</v>
      </c>
      <c r="E432" s="6" t="s">
        <v>868</v>
      </c>
      <c r="F432" s="6" t="s">
        <v>869</v>
      </c>
      <c r="G432" s="6" t="s">
        <v>90</v>
      </c>
      <c r="H432" s="6" t="s">
        <v>287</v>
      </c>
      <c r="I432" s="6" t="s">
        <v>4682</v>
      </c>
      <c r="J432" s="6" t="s">
        <v>873</v>
      </c>
      <c r="K432" s="6" t="s">
        <v>4790</v>
      </c>
      <c r="L432" s="2" t="s">
        <v>872</v>
      </c>
      <c r="M432" s="2" t="s">
        <v>871</v>
      </c>
      <c r="N432" s="9" t="s">
        <v>874</v>
      </c>
      <c r="O432" s="6" t="s">
        <v>873</v>
      </c>
      <c r="P432" s="6" t="s">
        <v>106</v>
      </c>
      <c r="Q432" s="6" t="s">
        <v>5786</v>
      </c>
      <c r="R432" s="6" t="s">
        <v>5613</v>
      </c>
    </row>
    <row r="433" customFormat="false" ht="15" hidden="false" customHeight="false" outlineLevel="0" collapsed="false">
      <c r="A433" s="6" t="s">
        <v>4944</v>
      </c>
      <c r="B433" s="6" t="s">
        <v>102</v>
      </c>
      <c r="C433" s="6" t="s">
        <v>4682</v>
      </c>
      <c r="D433" s="6" t="s">
        <v>3114</v>
      </c>
      <c r="E433" s="6" t="s">
        <v>3114</v>
      </c>
      <c r="F433" s="6" t="s">
        <v>3115</v>
      </c>
      <c r="G433" s="6" t="s">
        <v>164</v>
      </c>
      <c r="H433" s="6" t="s">
        <v>1445</v>
      </c>
      <c r="I433" s="6" t="s">
        <v>4682</v>
      </c>
      <c r="J433" s="6" t="s">
        <v>2214</v>
      </c>
      <c r="K433" s="6" t="s">
        <v>4679</v>
      </c>
      <c r="L433" s="2" t="s">
        <v>3118</v>
      </c>
      <c r="M433" s="2" t="s">
        <v>3117</v>
      </c>
      <c r="N433" s="9" t="s">
        <v>3119</v>
      </c>
      <c r="O433" s="6" t="s">
        <v>2214</v>
      </c>
      <c r="P433" s="6" t="s">
        <v>98</v>
      </c>
      <c r="Q433" s="6" t="s">
        <v>5789</v>
      </c>
      <c r="R433" s="6" t="s">
        <v>5368</v>
      </c>
    </row>
    <row r="434" customFormat="false" ht="15" hidden="false" customHeight="false" outlineLevel="0" collapsed="false">
      <c r="A434" s="6" t="s">
        <v>4944</v>
      </c>
      <c r="B434" s="6" t="s">
        <v>102</v>
      </c>
      <c r="C434" s="6" t="s">
        <v>4682</v>
      </c>
      <c r="D434" s="6" t="s">
        <v>4477</v>
      </c>
      <c r="E434" s="6" t="s">
        <v>4477</v>
      </c>
      <c r="F434" s="6" t="s">
        <v>4478</v>
      </c>
      <c r="G434" s="6" t="s">
        <v>2312</v>
      </c>
      <c r="H434" s="6" t="s">
        <v>1445</v>
      </c>
      <c r="I434" s="6" t="s">
        <v>4682</v>
      </c>
      <c r="J434" s="6" t="s">
        <v>1198</v>
      </c>
      <c r="K434" s="6" t="s">
        <v>4679</v>
      </c>
      <c r="L434" s="2" t="s">
        <v>4479</v>
      </c>
      <c r="M434" s="2"/>
      <c r="N434" s="9" t="s">
        <v>4480</v>
      </c>
      <c r="O434" s="6" t="s">
        <v>1198</v>
      </c>
      <c r="P434" s="6" t="s">
        <v>106</v>
      </c>
      <c r="Q434" s="6" t="s">
        <v>5786</v>
      </c>
      <c r="R434" s="6" t="s">
        <v>5613</v>
      </c>
    </row>
    <row r="435" customFormat="false" ht="15" hidden="false" customHeight="false" outlineLevel="0" collapsed="false">
      <c r="A435" s="6" t="s">
        <v>4944</v>
      </c>
      <c r="B435" s="6" t="s">
        <v>102</v>
      </c>
      <c r="C435" s="6" t="s">
        <v>4682</v>
      </c>
      <c r="D435" s="6" t="s">
        <v>1151</v>
      </c>
      <c r="E435" s="6" t="s">
        <v>1151</v>
      </c>
      <c r="F435" s="6" t="s">
        <v>5779</v>
      </c>
      <c r="G435" s="6" t="s">
        <v>507</v>
      </c>
      <c r="H435" s="6" t="s">
        <v>1445</v>
      </c>
      <c r="I435" s="6" t="s">
        <v>4682</v>
      </c>
      <c r="J435" s="6" t="s">
        <v>5776</v>
      </c>
      <c r="K435" s="6" t="s">
        <v>4679</v>
      </c>
      <c r="L435" s="2" t="s">
        <v>5790</v>
      </c>
      <c r="M435" s="2" t="s">
        <v>1196</v>
      </c>
      <c r="N435" s="9" t="s">
        <v>1155</v>
      </c>
      <c r="O435" s="6" t="s">
        <v>5776</v>
      </c>
      <c r="P435" s="6" t="s">
        <v>106</v>
      </c>
      <c r="Q435" s="6" t="s">
        <v>5786</v>
      </c>
      <c r="R435" s="6" t="s">
        <v>5613</v>
      </c>
    </row>
    <row r="436" customFormat="false" ht="23.85" hidden="false" customHeight="false" outlineLevel="0" collapsed="false">
      <c r="A436" s="6" t="s">
        <v>4971</v>
      </c>
      <c r="B436" s="6" t="s">
        <v>102</v>
      </c>
      <c r="C436" s="6" t="s">
        <v>4848</v>
      </c>
      <c r="D436" s="6" t="s">
        <v>2287</v>
      </c>
      <c r="E436" s="6" t="s">
        <v>2287</v>
      </c>
      <c r="F436" s="6" t="s">
        <v>2288</v>
      </c>
      <c r="G436" s="6" t="s">
        <v>1583</v>
      </c>
      <c r="H436" s="6" t="s">
        <v>287</v>
      </c>
      <c r="I436" s="6" t="s">
        <v>4684</v>
      </c>
      <c r="J436" s="6" t="s">
        <v>5365</v>
      </c>
      <c r="K436" s="6" t="s">
        <v>4790</v>
      </c>
      <c r="L436" s="2" t="s">
        <v>2291</v>
      </c>
      <c r="M436" s="2" t="s">
        <v>2290</v>
      </c>
      <c r="N436" s="9" t="s">
        <v>2292</v>
      </c>
      <c r="O436" s="6" t="s">
        <v>97</v>
      </c>
      <c r="P436" s="6" t="s">
        <v>85</v>
      </c>
      <c r="Q436" s="6" t="s">
        <v>4971</v>
      </c>
      <c r="R436" s="6" t="s">
        <v>5567</v>
      </c>
    </row>
    <row r="437" customFormat="false" ht="23.85" hidden="false" customHeight="false" outlineLevel="0" collapsed="false">
      <c r="A437" s="6" t="s">
        <v>4832</v>
      </c>
      <c r="B437" s="6" t="s">
        <v>102</v>
      </c>
      <c r="C437" s="6" t="s">
        <v>4848</v>
      </c>
      <c r="D437" s="6" t="s">
        <v>1957</v>
      </c>
      <c r="E437" s="6" t="s">
        <v>5791</v>
      </c>
      <c r="F437" s="6" t="s">
        <v>1957</v>
      </c>
      <c r="G437" s="6" t="s">
        <v>76</v>
      </c>
      <c r="H437" s="6" t="s">
        <v>287</v>
      </c>
      <c r="I437" s="6" t="s">
        <v>4684</v>
      </c>
      <c r="J437" s="6" t="s">
        <v>5365</v>
      </c>
      <c r="K437" s="6" t="s">
        <v>4679</v>
      </c>
      <c r="L437" s="2" t="s">
        <v>5792</v>
      </c>
      <c r="M437" s="2" t="s">
        <v>2908</v>
      </c>
      <c r="N437" s="9" t="s">
        <v>1962</v>
      </c>
      <c r="O437" s="6" t="s">
        <v>383</v>
      </c>
      <c r="P437" s="6" t="s">
        <v>106</v>
      </c>
      <c r="Q437" s="6" t="s">
        <v>5793</v>
      </c>
      <c r="R437" s="6" t="s">
        <v>5613</v>
      </c>
    </row>
    <row r="438" customFormat="false" ht="15" hidden="false" customHeight="false" outlineLevel="0" collapsed="false">
      <c r="A438" s="6" t="s">
        <v>4832</v>
      </c>
      <c r="B438" s="6" t="s">
        <v>102</v>
      </c>
      <c r="C438" s="6" t="s">
        <v>4848</v>
      </c>
      <c r="D438" s="6" t="s">
        <v>3359</v>
      </c>
      <c r="E438" s="6" t="s">
        <v>3359</v>
      </c>
      <c r="F438" s="6" t="s">
        <v>3360</v>
      </c>
      <c r="G438" s="6" t="s">
        <v>1215</v>
      </c>
      <c r="H438" s="6" t="s">
        <v>287</v>
      </c>
      <c r="I438" s="6" t="s">
        <v>4684</v>
      </c>
      <c r="J438" s="6" t="s">
        <v>5365</v>
      </c>
      <c r="K438" s="6" t="s">
        <v>4790</v>
      </c>
      <c r="L438" s="2" t="s">
        <v>3362</v>
      </c>
      <c r="M438" s="2" t="s">
        <v>3361</v>
      </c>
      <c r="N438" s="9" t="s">
        <v>3363</v>
      </c>
      <c r="O438" s="6" t="s">
        <v>308</v>
      </c>
      <c r="P438" s="6" t="s">
        <v>106</v>
      </c>
      <c r="Q438" s="6" t="s">
        <v>5793</v>
      </c>
      <c r="R438" s="6" t="s">
        <v>5613</v>
      </c>
    </row>
    <row r="439" customFormat="false" ht="35.05" hidden="false" customHeight="false" outlineLevel="0" collapsed="false">
      <c r="A439" s="6" t="s">
        <v>4832</v>
      </c>
      <c r="B439" s="6" t="s">
        <v>102</v>
      </c>
      <c r="C439" s="6" t="s">
        <v>4848</v>
      </c>
      <c r="D439" s="6" t="s">
        <v>442</v>
      </c>
      <c r="E439" s="6" t="s">
        <v>442</v>
      </c>
      <c r="F439" s="6" t="s">
        <v>443</v>
      </c>
      <c r="G439" s="6" t="s">
        <v>118</v>
      </c>
      <c r="H439" s="6" t="s">
        <v>287</v>
      </c>
      <c r="I439" s="6" t="s">
        <v>4684</v>
      </c>
      <c r="J439" s="6" t="s">
        <v>448</v>
      </c>
      <c r="K439" s="6" t="s">
        <v>4790</v>
      </c>
      <c r="L439" s="2" t="s">
        <v>447</v>
      </c>
      <c r="M439" s="2" t="s">
        <v>446</v>
      </c>
      <c r="N439" s="9" t="s">
        <v>449</v>
      </c>
      <c r="O439" s="6" t="s">
        <v>448</v>
      </c>
      <c r="P439" s="6" t="s">
        <v>85</v>
      </c>
      <c r="Q439" s="6" t="s">
        <v>5794</v>
      </c>
      <c r="R439" s="6" t="s">
        <v>5357</v>
      </c>
    </row>
    <row r="440" customFormat="false" ht="23.85" hidden="false" customHeight="false" outlineLevel="0" collapsed="false">
      <c r="A440" s="6" t="s">
        <v>4832</v>
      </c>
      <c r="B440" s="6" t="s">
        <v>102</v>
      </c>
      <c r="C440" s="6" t="s">
        <v>4848</v>
      </c>
      <c r="D440" s="6" t="s">
        <v>1396</v>
      </c>
      <c r="E440" s="6" t="s">
        <v>1396</v>
      </c>
      <c r="F440" s="6" t="s">
        <v>1397</v>
      </c>
      <c r="G440" s="6" t="s">
        <v>239</v>
      </c>
      <c r="H440" s="6" t="s">
        <v>287</v>
      </c>
      <c r="I440" s="6" t="s">
        <v>4684</v>
      </c>
      <c r="J440" s="6" t="s">
        <v>1774</v>
      </c>
      <c r="K440" s="6" t="s">
        <v>4679</v>
      </c>
      <c r="L440" s="2" t="s">
        <v>1400</v>
      </c>
      <c r="M440" s="2" t="s">
        <v>2908</v>
      </c>
      <c r="N440" s="9" t="s">
        <v>1403</v>
      </c>
      <c r="O440" s="6" t="s">
        <v>1774</v>
      </c>
      <c r="P440" s="6" t="s">
        <v>106</v>
      </c>
      <c r="Q440" s="6" t="s">
        <v>5793</v>
      </c>
      <c r="R440" s="6" t="s">
        <v>5613</v>
      </c>
    </row>
    <row r="441" customFormat="false" ht="23.85" hidden="false" customHeight="false" outlineLevel="0" collapsed="false">
      <c r="A441" s="6" t="s">
        <v>4832</v>
      </c>
      <c r="B441" s="6" t="s">
        <v>102</v>
      </c>
      <c r="C441" s="6" t="s">
        <v>4848</v>
      </c>
      <c r="D441" s="6" t="s">
        <v>2905</v>
      </c>
      <c r="E441" s="6" t="s">
        <v>2905</v>
      </c>
      <c r="F441" s="6" t="s">
        <v>2906</v>
      </c>
      <c r="G441" s="6" t="s">
        <v>1127</v>
      </c>
      <c r="H441" s="6" t="s">
        <v>287</v>
      </c>
      <c r="I441" s="6" t="s">
        <v>4684</v>
      </c>
      <c r="J441" s="6" t="s">
        <v>5365</v>
      </c>
      <c r="K441" s="6" t="s">
        <v>4790</v>
      </c>
      <c r="L441" s="2" t="s">
        <v>2909</v>
      </c>
      <c r="M441" s="2" t="s">
        <v>2908</v>
      </c>
      <c r="N441" s="9" t="s">
        <v>2910</v>
      </c>
      <c r="O441" s="6" t="s">
        <v>440</v>
      </c>
      <c r="P441" s="6" t="s">
        <v>106</v>
      </c>
      <c r="Q441" s="6" t="s">
        <v>5793</v>
      </c>
      <c r="R441" s="6" t="s">
        <v>5613</v>
      </c>
    </row>
    <row r="442" customFormat="false" ht="23.85" hidden="false" customHeight="false" outlineLevel="0" collapsed="false">
      <c r="A442" s="6" t="s">
        <v>4832</v>
      </c>
      <c r="B442" s="6" t="s">
        <v>102</v>
      </c>
      <c r="C442" s="6" t="s">
        <v>4848</v>
      </c>
      <c r="D442" s="6" t="s">
        <v>2673</v>
      </c>
      <c r="E442" s="6" t="s">
        <v>5795</v>
      </c>
      <c r="F442" s="6" t="s">
        <v>2674</v>
      </c>
      <c r="G442" s="6" t="s">
        <v>182</v>
      </c>
      <c r="H442" s="6" t="s">
        <v>1445</v>
      </c>
      <c r="I442" s="6" t="s">
        <v>4684</v>
      </c>
      <c r="J442" s="6" t="s">
        <v>324</v>
      </c>
      <c r="K442" s="6" t="s">
        <v>4790</v>
      </c>
      <c r="L442" s="2" t="s">
        <v>2678</v>
      </c>
      <c r="M442" s="2" t="s">
        <v>5796</v>
      </c>
      <c r="N442" s="9" t="s">
        <v>2679</v>
      </c>
      <c r="O442" s="6" t="s">
        <v>324</v>
      </c>
      <c r="P442" s="6" t="s">
        <v>85</v>
      </c>
      <c r="Q442" s="6" t="s">
        <v>5793</v>
      </c>
      <c r="R442" s="6" t="s">
        <v>5613</v>
      </c>
    </row>
    <row r="443" customFormat="false" ht="23.85" hidden="false" customHeight="false" outlineLevel="0" collapsed="false">
      <c r="A443" s="6" t="s">
        <v>4832</v>
      </c>
      <c r="B443" s="6" t="s">
        <v>102</v>
      </c>
      <c r="C443" s="6" t="s">
        <v>4848</v>
      </c>
      <c r="D443" s="6" t="s">
        <v>4224</v>
      </c>
      <c r="E443" s="6" t="s">
        <v>4224</v>
      </c>
      <c r="F443" s="6" t="s">
        <v>2906</v>
      </c>
      <c r="G443" s="6" t="s">
        <v>1598</v>
      </c>
      <c r="H443" s="6" t="s">
        <v>1445</v>
      </c>
      <c r="I443" s="6" t="s">
        <v>4684</v>
      </c>
      <c r="J443" s="6" t="s">
        <v>5365</v>
      </c>
      <c r="K443" s="6" t="s">
        <v>4790</v>
      </c>
      <c r="L443" s="2" t="s">
        <v>4225</v>
      </c>
      <c r="M443" s="2"/>
      <c r="N443" s="9" t="s">
        <v>4226</v>
      </c>
      <c r="O443" s="6" t="s">
        <v>178</v>
      </c>
      <c r="P443" s="6" t="s">
        <v>106</v>
      </c>
      <c r="Q443" s="6" t="s">
        <v>5793</v>
      </c>
      <c r="R443" s="6" t="s">
        <v>5613</v>
      </c>
    </row>
    <row r="444" customFormat="false" ht="15" hidden="false" customHeight="false" outlineLevel="0" collapsed="false">
      <c r="A444" s="6" t="s">
        <v>4832</v>
      </c>
      <c r="B444" s="6" t="s">
        <v>102</v>
      </c>
      <c r="C444" s="6" t="s">
        <v>4848</v>
      </c>
      <c r="D444" s="6" t="s">
        <v>4360</v>
      </c>
      <c r="E444" s="6" t="s">
        <v>4360</v>
      </c>
      <c r="F444" s="6" t="s">
        <v>4361</v>
      </c>
      <c r="G444" s="6" t="s">
        <v>1644</v>
      </c>
      <c r="H444" s="6" t="s">
        <v>1445</v>
      </c>
      <c r="I444" s="6" t="s">
        <v>4684</v>
      </c>
      <c r="J444" s="6" t="s">
        <v>5365</v>
      </c>
      <c r="K444" s="6" t="s">
        <v>4679</v>
      </c>
      <c r="L444" s="2" t="s">
        <v>4363</v>
      </c>
      <c r="M444" s="2"/>
      <c r="N444" s="9" t="s">
        <v>4364</v>
      </c>
      <c r="O444" s="6" t="s">
        <v>332</v>
      </c>
      <c r="P444" s="6" t="s">
        <v>106</v>
      </c>
      <c r="Q444" s="6" t="s">
        <v>5793</v>
      </c>
      <c r="R444" s="6" t="s">
        <v>5613</v>
      </c>
    </row>
    <row r="445" customFormat="false" ht="23.85" hidden="false" customHeight="false" outlineLevel="0" collapsed="false">
      <c r="A445" s="6" t="s">
        <v>4832</v>
      </c>
      <c r="B445" s="6" t="s">
        <v>102</v>
      </c>
      <c r="C445" s="6" t="s">
        <v>4848</v>
      </c>
      <c r="D445" s="6" t="s">
        <v>3760</v>
      </c>
      <c r="E445" s="6" t="s">
        <v>3760</v>
      </c>
      <c r="F445" s="6" t="s">
        <v>3761</v>
      </c>
      <c r="G445" s="6" t="s">
        <v>182</v>
      </c>
      <c r="H445" s="6" t="s">
        <v>1445</v>
      </c>
      <c r="I445" s="6" t="s">
        <v>4680</v>
      </c>
      <c r="J445" s="6" t="s">
        <v>5365</v>
      </c>
      <c r="K445" s="6" t="s">
        <v>4726</v>
      </c>
      <c r="L445" s="2" t="s">
        <v>4833</v>
      </c>
      <c r="M445" s="2" t="s">
        <v>4831</v>
      </c>
      <c r="N445" s="9" t="s">
        <v>4834</v>
      </c>
      <c r="O445" s="6" t="s">
        <v>389</v>
      </c>
      <c r="P445" s="6" t="s">
        <v>98</v>
      </c>
      <c r="Q445" s="6" t="s">
        <v>5797</v>
      </c>
      <c r="R445" s="6" t="s">
        <v>5433</v>
      </c>
    </row>
    <row r="446" customFormat="false" ht="23.85" hidden="false" customHeight="false" outlineLevel="0" collapsed="false">
      <c r="A446" s="6" t="s">
        <v>4832</v>
      </c>
      <c r="B446" s="6" t="s">
        <v>102</v>
      </c>
      <c r="C446" s="6" t="s">
        <v>4848</v>
      </c>
      <c r="D446" s="6" t="s">
        <v>4481</v>
      </c>
      <c r="E446" s="6" t="s">
        <v>4481</v>
      </c>
      <c r="F446" s="6" t="s">
        <v>4482</v>
      </c>
      <c r="G446" s="6" t="s">
        <v>2312</v>
      </c>
      <c r="H446" s="6" t="s">
        <v>1445</v>
      </c>
      <c r="I446" s="6" t="s">
        <v>4684</v>
      </c>
      <c r="J446" s="6" t="s">
        <v>440</v>
      </c>
      <c r="K446" s="6" t="s">
        <v>4790</v>
      </c>
      <c r="L446" s="2" t="s">
        <v>4483</v>
      </c>
      <c r="M446" s="2" t="s">
        <v>2908</v>
      </c>
      <c r="N446" s="9" t="s">
        <v>4484</v>
      </c>
      <c r="O446" s="6" t="s">
        <v>440</v>
      </c>
      <c r="P446" s="6" t="s">
        <v>85</v>
      </c>
      <c r="Q446" s="6" t="s">
        <v>5793</v>
      </c>
      <c r="R446" s="6" t="s">
        <v>5613</v>
      </c>
    </row>
    <row r="447" customFormat="false" ht="15" hidden="false" customHeight="false" outlineLevel="0" collapsed="false">
      <c r="A447" s="6" t="s">
        <v>4968</v>
      </c>
      <c r="B447" s="6" t="s">
        <v>102</v>
      </c>
      <c r="C447" s="6" t="s">
        <v>4682</v>
      </c>
      <c r="D447" s="6" t="s">
        <v>3805</v>
      </c>
      <c r="E447" s="6" t="s">
        <v>3805</v>
      </c>
      <c r="F447" s="6" t="s">
        <v>3805</v>
      </c>
      <c r="G447" s="6" t="s">
        <v>2284</v>
      </c>
      <c r="H447" s="6" t="s">
        <v>287</v>
      </c>
      <c r="I447" s="6" t="s">
        <v>4682</v>
      </c>
      <c r="J447" s="6" t="s">
        <v>834</v>
      </c>
      <c r="K447" s="6" t="s">
        <v>4679</v>
      </c>
      <c r="L447" s="2" t="s">
        <v>3808</v>
      </c>
      <c r="M447" s="2" t="s">
        <v>3807</v>
      </c>
      <c r="N447" s="9" t="s">
        <v>3809</v>
      </c>
      <c r="O447" s="6" t="s">
        <v>834</v>
      </c>
      <c r="P447" s="6" t="s">
        <v>106</v>
      </c>
      <c r="Q447" s="6" t="s">
        <v>4968</v>
      </c>
      <c r="R447" s="6" t="s">
        <v>5613</v>
      </c>
    </row>
    <row r="448" customFormat="false" ht="23.85" hidden="false" customHeight="false" outlineLevel="0" collapsed="false">
      <c r="A448" s="6" t="s">
        <v>4968</v>
      </c>
      <c r="B448" s="6" t="s">
        <v>102</v>
      </c>
      <c r="C448" s="6" t="s">
        <v>4682</v>
      </c>
      <c r="D448" s="6" t="s">
        <v>4299</v>
      </c>
      <c r="E448" s="6" t="s">
        <v>4299</v>
      </c>
      <c r="F448" s="6" t="s">
        <v>5798</v>
      </c>
      <c r="G448" s="6" t="s">
        <v>1583</v>
      </c>
      <c r="H448" s="6" t="s">
        <v>1445</v>
      </c>
      <c r="I448" s="6" t="s">
        <v>4682</v>
      </c>
      <c r="J448" s="6" t="s">
        <v>324</v>
      </c>
      <c r="K448" s="6" t="s">
        <v>4790</v>
      </c>
      <c r="L448" s="2" t="s">
        <v>5799</v>
      </c>
      <c r="M448" s="2" t="s">
        <v>4301</v>
      </c>
      <c r="N448" s="9" t="s">
        <v>4303</v>
      </c>
      <c r="O448" s="6" t="s">
        <v>324</v>
      </c>
      <c r="P448" s="6" t="s">
        <v>85</v>
      </c>
      <c r="Q448" s="6" t="s">
        <v>4968</v>
      </c>
      <c r="R448" s="6" t="s">
        <v>5613</v>
      </c>
    </row>
    <row r="449" customFormat="false" ht="23.85" hidden="false" customHeight="false" outlineLevel="0" collapsed="false">
      <c r="A449" s="6" t="s">
        <v>4722</v>
      </c>
      <c r="B449" s="6" t="s">
        <v>1539</v>
      </c>
      <c r="C449" s="6" t="s">
        <v>4848</v>
      </c>
      <c r="D449" s="6" t="s">
        <v>1537</v>
      </c>
      <c r="E449" s="6" t="s">
        <v>1537</v>
      </c>
      <c r="F449" s="6" t="s">
        <v>729</v>
      </c>
      <c r="G449" s="6" t="s">
        <v>164</v>
      </c>
      <c r="H449" s="6" t="s">
        <v>77</v>
      </c>
      <c r="I449" s="6" t="s">
        <v>4684</v>
      </c>
      <c r="J449" s="6" t="s">
        <v>5800</v>
      </c>
      <c r="K449" s="6" t="s">
        <v>4679</v>
      </c>
      <c r="L449" s="2" t="s">
        <v>1541</v>
      </c>
      <c r="M449" s="2" t="s">
        <v>1540</v>
      </c>
      <c r="N449" s="9" t="s">
        <v>1543</v>
      </c>
      <c r="O449" s="6" t="s">
        <v>1542</v>
      </c>
      <c r="P449" s="6" t="s">
        <v>98</v>
      </c>
      <c r="Q449" s="6" t="s">
        <v>5801</v>
      </c>
      <c r="R449" s="6" t="s">
        <v>5368</v>
      </c>
    </row>
    <row r="450" customFormat="false" ht="23.85" hidden="false" customHeight="false" outlineLevel="0" collapsed="false">
      <c r="A450" s="6" t="s">
        <v>4722</v>
      </c>
      <c r="B450" s="6" t="s">
        <v>1539</v>
      </c>
      <c r="C450" s="6" t="s">
        <v>4848</v>
      </c>
      <c r="D450" s="6" t="s">
        <v>2361</v>
      </c>
      <c r="E450" s="6" t="s">
        <v>2361</v>
      </c>
      <c r="F450" s="6" t="s">
        <v>988</v>
      </c>
      <c r="G450" s="6" t="s">
        <v>507</v>
      </c>
      <c r="H450" s="6" t="s">
        <v>287</v>
      </c>
      <c r="I450" s="6" t="s">
        <v>4684</v>
      </c>
      <c r="J450" s="6" t="s">
        <v>1874</v>
      </c>
      <c r="K450" s="6" t="s">
        <v>4790</v>
      </c>
      <c r="L450" s="2" t="s">
        <v>2364</v>
      </c>
      <c r="M450" s="2" t="s">
        <v>2363</v>
      </c>
      <c r="N450" s="9" t="s">
        <v>2365</v>
      </c>
      <c r="O450" s="6" t="s">
        <v>1874</v>
      </c>
      <c r="P450" s="6" t="s">
        <v>106</v>
      </c>
      <c r="Q450" s="6" t="s">
        <v>4722</v>
      </c>
      <c r="R450" s="6" t="s">
        <v>5802</v>
      </c>
    </row>
    <row r="451" customFormat="false" ht="35.05" hidden="false" customHeight="false" outlineLevel="0" collapsed="false">
      <c r="A451" s="6" t="s">
        <v>4722</v>
      </c>
      <c r="B451" s="6" t="s">
        <v>1539</v>
      </c>
      <c r="C451" s="6" t="s">
        <v>4697</v>
      </c>
      <c r="D451" s="6" t="s">
        <v>1918</v>
      </c>
      <c r="E451" s="6" t="s">
        <v>1918</v>
      </c>
      <c r="F451" s="6" t="s">
        <v>1919</v>
      </c>
      <c r="G451" s="6" t="s">
        <v>90</v>
      </c>
      <c r="H451" s="6" t="s">
        <v>287</v>
      </c>
      <c r="I451" s="6" t="s">
        <v>4697</v>
      </c>
      <c r="J451" s="6" t="s">
        <v>130</v>
      </c>
      <c r="K451" s="6" t="s">
        <v>4675</v>
      </c>
      <c r="L451" s="2" t="s">
        <v>5803</v>
      </c>
      <c r="M451" s="2" t="s">
        <v>5804</v>
      </c>
      <c r="N451" s="9" t="s">
        <v>1925</v>
      </c>
      <c r="O451" s="6" t="s">
        <v>130</v>
      </c>
      <c r="P451" s="6" t="s">
        <v>85</v>
      </c>
      <c r="Q451" s="6" t="s">
        <v>5805</v>
      </c>
      <c r="R451" s="6" t="s">
        <v>5357</v>
      </c>
    </row>
    <row r="452" customFormat="false" ht="23.85" hidden="false" customHeight="false" outlineLevel="0" collapsed="false">
      <c r="A452" s="6" t="s">
        <v>4722</v>
      </c>
      <c r="B452" s="6" t="s">
        <v>1539</v>
      </c>
      <c r="C452" s="6" t="s">
        <v>4848</v>
      </c>
      <c r="D452" s="6" t="s">
        <v>301</v>
      </c>
      <c r="E452" s="6" t="s">
        <v>301</v>
      </c>
      <c r="F452" s="6" t="s">
        <v>5806</v>
      </c>
      <c r="G452" s="6" t="s">
        <v>239</v>
      </c>
      <c r="H452" s="6" t="s">
        <v>287</v>
      </c>
      <c r="I452" s="6" t="s">
        <v>4684</v>
      </c>
      <c r="J452" s="6" t="s">
        <v>873</v>
      </c>
      <c r="K452" s="6" t="s">
        <v>4679</v>
      </c>
      <c r="L452" s="2" t="s">
        <v>5807</v>
      </c>
      <c r="M452" s="2" t="s">
        <v>5808</v>
      </c>
      <c r="N452" s="9" t="s">
        <v>5809</v>
      </c>
      <c r="O452" s="6" t="s">
        <v>873</v>
      </c>
      <c r="P452" s="6" t="s">
        <v>98</v>
      </c>
      <c r="Q452" s="6" t="s">
        <v>5810</v>
      </c>
      <c r="R452" s="6" t="s">
        <v>5802</v>
      </c>
    </row>
    <row r="453" customFormat="false" ht="15" hidden="false" customHeight="false" outlineLevel="0" collapsed="false">
      <c r="A453" s="6" t="s">
        <v>4722</v>
      </c>
      <c r="B453" s="6" t="s">
        <v>1539</v>
      </c>
      <c r="C453" s="6" t="s">
        <v>4848</v>
      </c>
      <c r="D453" s="6" t="s">
        <v>1205</v>
      </c>
      <c r="E453" s="6" t="s">
        <v>1205</v>
      </c>
      <c r="F453" s="6" t="s">
        <v>5811</v>
      </c>
      <c r="G453" s="6" t="s">
        <v>153</v>
      </c>
      <c r="H453" s="6" t="s">
        <v>287</v>
      </c>
      <c r="I453" s="6" t="s">
        <v>4684</v>
      </c>
      <c r="J453" s="6" t="s">
        <v>5365</v>
      </c>
      <c r="K453" s="6" t="s">
        <v>4679</v>
      </c>
      <c r="L453" s="2" t="s">
        <v>5812</v>
      </c>
      <c r="M453" s="2" t="s">
        <v>5813</v>
      </c>
      <c r="N453" s="9" t="s">
        <v>5814</v>
      </c>
      <c r="O453" s="6" t="s">
        <v>834</v>
      </c>
      <c r="P453" s="6" t="s">
        <v>106</v>
      </c>
      <c r="Q453" s="6" t="s">
        <v>4722</v>
      </c>
      <c r="R453" s="6" t="s">
        <v>5802</v>
      </c>
    </row>
    <row r="454" customFormat="false" ht="23.85" hidden="false" customHeight="false" outlineLevel="0" collapsed="false">
      <c r="A454" s="6" t="s">
        <v>4722</v>
      </c>
      <c r="B454" s="6" t="s">
        <v>1539</v>
      </c>
      <c r="C454" s="6" t="s">
        <v>4848</v>
      </c>
      <c r="D454" s="6" t="s">
        <v>2162</v>
      </c>
      <c r="E454" s="6" t="s">
        <v>2162</v>
      </c>
      <c r="F454" s="6" t="s">
        <v>481</v>
      </c>
      <c r="G454" s="6" t="s">
        <v>239</v>
      </c>
      <c r="H454" s="6" t="s">
        <v>287</v>
      </c>
      <c r="I454" s="6" t="s">
        <v>4684</v>
      </c>
      <c r="J454" s="6" t="s">
        <v>5366</v>
      </c>
      <c r="K454" s="6" t="s">
        <v>4679</v>
      </c>
      <c r="L454" s="2" t="s">
        <v>2165</v>
      </c>
      <c r="M454" s="2" t="s">
        <v>2164</v>
      </c>
      <c r="N454" s="9" t="s">
        <v>2167</v>
      </c>
      <c r="O454" s="6" t="s">
        <v>2166</v>
      </c>
      <c r="P454" s="6" t="s">
        <v>106</v>
      </c>
      <c r="Q454" s="6" t="s">
        <v>5801</v>
      </c>
      <c r="R454" s="6" t="s">
        <v>5368</v>
      </c>
    </row>
    <row r="455" customFormat="false" ht="23.85" hidden="false" customHeight="false" outlineLevel="0" collapsed="false">
      <c r="A455" s="6" t="s">
        <v>4722</v>
      </c>
      <c r="B455" s="6" t="s">
        <v>1539</v>
      </c>
      <c r="C455" s="6" t="s">
        <v>4697</v>
      </c>
      <c r="D455" s="6" t="s">
        <v>2168</v>
      </c>
      <c r="E455" s="6" t="s">
        <v>2168</v>
      </c>
      <c r="F455" s="6" t="s">
        <v>2169</v>
      </c>
      <c r="G455" s="6" t="s">
        <v>90</v>
      </c>
      <c r="H455" s="6" t="s">
        <v>287</v>
      </c>
      <c r="I455" s="6" t="s">
        <v>4697</v>
      </c>
      <c r="J455" s="6" t="s">
        <v>178</v>
      </c>
      <c r="K455" s="6" t="s">
        <v>4675</v>
      </c>
      <c r="L455" s="2" t="s">
        <v>2172</v>
      </c>
      <c r="M455" s="2" t="s">
        <v>2171</v>
      </c>
      <c r="N455" s="9" t="s">
        <v>2173</v>
      </c>
      <c r="O455" s="6" t="s">
        <v>130</v>
      </c>
      <c r="P455" s="6" t="s">
        <v>85</v>
      </c>
      <c r="Q455" s="6" t="s">
        <v>5805</v>
      </c>
      <c r="R455" s="6" t="s">
        <v>5357</v>
      </c>
    </row>
    <row r="456" customFormat="false" ht="23.85" hidden="false" customHeight="false" outlineLevel="0" collapsed="false">
      <c r="A456" s="6" t="s">
        <v>4722</v>
      </c>
      <c r="B456" s="6" t="s">
        <v>1539</v>
      </c>
      <c r="C456" s="6" t="s">
        <v>4697</v>
      </c>
      <c r="D456" s="6" t="s">
        <v>2600</v>
      </c>
      <c r="E456" s="6" t="s">
        <v>2600</v>
      </c>
      <c r="F456" s="6" t="s">
        <v>2601</v>
      </c>
      <c r="G456" s="6" t="s">
        <v>153</v>
      </c>
      <c r="H456" s="6" t="s">
        <v>287</v>
      </c>
      <c r="I456" s="6" t="s">
        <v>4715</v>
      </c>
      <c r="J456" s="6" t="s">
        <v>5365</v>
      </c>
      <c r="K456" s="6" t="s">
        <v>4790</v>
      </c>
      <c r="L456" s="2" t="s">
        <v>2604</v>
      </c>
      <c r="M456" s="2" t="s">
        <v>2603</v>
      </c>
      <c r="N456" s="9" t="s">
        <v>2605</v>
      </c>
      <c r="O456" s="6" t="s">
        <v>281</v>
      </c>
      <c r="P456" s="6" t="s">
        <v>106</v>
      </c>
      <c r="Q456" s="6" t="s">
        <v>5805</v>
      </c>
      <c r="R456" s="6" t="s">
        <v>5357</v>
      </c>
    </row>
    <row r="457" customFormat="false" ht="15" hidden="false" customHeight="false" outlineLevel="0" collapsed="false">
      <c r="A457" s="6" t="s">
        <v>4722</v>
      </c>
      <c r="B457" s="6" t="s">
        <v>1539</v>
      </c>
      <c r="C457" s="6" t="s">
        <v>4848</v>
      </c>
      <c r="D457" s="6" t="s">
        <v>2611</v>
      </c>
      <c r="E457" s="6" t="s">
        <v>2611</v>
      </c>
      <c r="F457" s="6" t="s">
        <v>2612</v>
      </c>
      <c r="G457" s="6" t="s">
        <v>182</v>
      </c>
      <c r="H457" s="6" t="s">
        <v>287</v>
      </c>
      <c r="I457" s="6" t="s">
        <v>4684</v>
      </c>
      <c r="J457" s="6" t="s">
        <v>5365</v>
      </c>
      <c r="K457" s="6" t="s">
        <v>4679</v>
      </c>
      <c r="L457" s="2" t="s">
        <v>2615</v>
      </c>
      <c r="M457" s="2" t="s">
        <v>5815</v>
      </c>
      <c r="N457" s="9" t="s">
        <v>2616</v>
      </c>
      <c r="O457" s="6" t="s">
        <v>1874</v>
      </c>
      <c r="P457" s="6" t="s">
        <v>106</v>
      </c>
      <c r="Q457" s="6" t="s">
        <v>4722</v>
      </c>
      <c r="R457" s="6" t="s">
        <v>5802</v>
      </c>
    </row>
    <row r="458" customFormat="false" ht="15" hidden="false" customHeight="false" outlineLevel="0" collapsed="false">
      <c r="A458" s="6" t="s">
        <v>4722</v>
      </c>
      <c r="B458" s="6" t="s">
        <v>1539</v>
      </c>
      <c r="C458" s="6" t="s">
        <v>4848</v>
      </c>
      <c r="D458" s="6" t="s">
        <v>2804</v>
      </c>
      <c r="E458" s="6" t="s">
        <v>5816</v>
      </c>
      <c r="F458" s="6" t="s">
        <v>2805</v>
      </c>
      <c r="G458" s="6" t="s">
        <v>507</v>
      </c>
      <c r="H458" s="6" t="s">
        <v>1445</v>
      </c>
      <c r="I458" s="6" t="s">
        <v>4684</v>
      </c>
      <c r="J458" s="6" t="s">
        <v>5365</v>
      </c>
      <c r="K458" s="6" t="s">
        <v>4679</v>
      </c>
      <c r="L458" s="2" t="s">
        <v>2808</v>
      </c>
      <c r="M458" s="2" t="s">
        <v>5815</v>
      </c>
      <c r="N458" s="9" t="s">
        <v>2809</v>
      </c>
      <c r="O458" s="6" t="s">
        <v>2841</v>
      </c>
      <c r="P458" s="6" t="s">
        <v>106</v>
      </c>
      <c r="Q458" s="6" t="s">
        <v>4722</v>
      </c>
      <c r="R458" s="6" t="s">
        <v>5802</v>
      </c>
    </row>
    <row r="459" customFormat="false" ht="23.85" hidden="false" customHeight="false" outlineLevel="0" collapsed="false">
      <c r="A459" s="6" t="s">
        <v>4722</v>
      </c>
      <c r="B459" s="6" t="s">
        <v>1539</v>
      </c>
      <c r="C459" s="6" t="s">
        <v>4870</v>
      </c>
      <c r="D459" s="6" t="s">
        <v>2681</v>
      </c>
      <c r="E459" s="6" t="s">
        <v>2681</v>
      </c>
      <c r="F459" s="6" t="s">
        <v>2682</v>
      </c>
      <c r="G459" s="6" t="s">
        <v>153</v>
      </c>
      <c r="H459" s="6" t="s">
        <v>1445</v>
      </c>
      <c r="I459" s="6" t="s">
        <v>4706</v>
      </c>
      <c r="J459" s="6" t="s">
        <v>2686</v>
      </c>
      <c r="K459" s="6" t="s">
        <v>4679</v>
      </c>
      <c r="L459" s="2" t="s">
        <v>2685</v>
      </c>
      <c r="M459" s="2" t="s">
        <v>2684</v>
      </c>
      <c r="N459" s="9" t="s">
        <v>2687</v>
      </c>
      <c r="O459" s="6" t="s">
        <v>2686</v>
      </c>
      <c r="P459" s="6" t="s">
        <v>98</v>
      </c>
      <c r="Q459" s="6" t="s">
        <v>5817</v>
      </c>
      <c r="R459" s="6" t="s">
        <v>5802</v>
      </c>
    </row>
    <row r="460" customFormat="false" ht="23.85" hidden="false" customHeight="false" outlineLevel="0" collapsed="false">
      <c r="A460" s="6" t="s">
        <v>4722</v>
      </c>
      <c r="B460" s="6" t="s">
        <v>1539</v>
      </c>
      <c r="C460" s="6" t="s">
        <v>4848</v>
      </c>
      <c r="D460" s="6" t="s">
        <v>2222</v>
      </c>
      <c r="E460" s="6" t="s">
        <v>5818</v>
      </c>
      <c r="F460" s="6" t="s">
        <v>5819</v>
      </c>
      <c r="G460" s="6" t="s">
        <v>153</v>
      </c>
      <c r="H460" s="6" t="s">
        <v>1445</v>
      </c>
      <c r="I460" s="6" t="s">
        <v>4684</v>
      </c>
      <c r="J460" s="6" t="s">
        <v>5365</v>
      </c>
      <c r="K460" s="6" t="s">
        <v>4679</v>
      </c>
      <c r="L460" s="2" t="s">
        <v>5820</v>
      </c>
      <c r="M460" s="2"/>
      <c r="N460" s="9" t="s">
        <v>5821</v>
      </c>
      <c r="O460" s="6" t="s">
        <v>411</v>
      </c>
      <c r="P460" s="6" t="s">
        <v>106</v>
      </c>
      <c r="Q460" s="6" t="s">
        <v>4722</v>
      </c>
      <c r="R460" s="6" t="s">
        <v>5802</v>
      </c>
    </row>
    <row r="461" customFormat="false" ht="15" hidden="false" customHeight="false" outlineLevel="0" collapsed="false">
      <c r="A461" s="6" t="s">
        <v>4722</v>
      </c>
      <c r="B461" s="6" t="s">
        <v>1539</v>
      </c>
      <c r="C461" s="6" t="s">
        <v>4848</v>
      </c>
      <c r="D461" s="6" t="s">
        <v>4206</v>
      </c>
      <c r="E461" s="6" t="s">
        <v>4206</v>
      </c>
      <c r="F461" s="6" t="s">
        <v>5822</v>
      </c>
      <c r="G461" s="6" t="s">
        <v>1598</v>
      </c>
      <c r="H461" s="6" t="s">
        <v>1445</v>
      </c>
      <c r="I461" s="6" t="s">
        <v>4680</v>
      </c>
      <c r="J461" s="6" t="s">
        <v>308</v>
      </c>
      <c r="K461" s="6" t="s">
        <v>4675</v>
      </c>
      <c r="L461" s="2" t="s">
        <v>4802</v>
      </c>
      <c r="M461" s="2" t="s">
        <v>4801</v>
      </c>
      <c r="N461" s="9" t="s">
        <v>4212</v>
      </c>
      <c r="O461" s="6" t="s">
        <v>308</v>
      </c>
      <c r="P461" s="6" t="s">
        <v>85</v>
      </c>
      <c r="Q461" s="6" t="s">
        <v>5823</v>
      </c>
      <c r="R461" s="6" t="s">
        <v>5433</v>
      </c>
    </row>
    <row r="462" customFormat="false" ht="23.85" hidden="false" customHeight="false" outlineLevel="0" collapsed="false">
      <c r="A462" s="6" t="s">
        <v>4722</v>
      </c>
      <c r="B462" s="6" t="s">
        <v>1539</v>
      </c>
      <c r="C462" s="6" t="s">
        <v>4848</v>
      </c>
      <c r="D462" s="6" t="s">
        <v>4305</v>
      </c>
      <c r="E462" s="6" t="s">
        <v>5824</v>
      </c>
      <c r="F462" s="6" t="s">
        <v>4306</v>
      </c>
      <c r="G462" s="6" t="s">
        <v>1598</v>
      </c>
      <c r="H462" s="6" t="s">
        <v>1445</v>
      </c>
      <c r="I462" s="6" t="s">
        <v>4684</v>
      </c>
      <c r="J462" s="6" t="s">
        <v>256</v>
      </c>
      <c r="K462" s="6" t="s">
        <v>4675</v>
      </c>
      <c r="L462" s="2" t="s">
        <v>4309</v>
      </c>
      <c r="M462" s="2" t="s">
        <v>4308</v>
      </c>
      <c r="N462" s="9" t="s">
        <v>4310</v>
      </c>
      <c r="O462" s="6" t="s">
        <v>256</v>
      </c>
      <c r="P462" s="6" t="s">
        <v>85</v>
      </c>
      <c r="Q462" s="6" t="s">
        <v>4722</v>
      </c>
      <c r="R462" s="6" t="s">
        <v>5802</v>
      </c>
    </row>
    <row r="463" customFormat="false" ht="23.85" hidden="false" customHeight="false" outlineLevel="0" collapsed="false">
      <c r="A463" s="6" t="s">
        <v>4722</v>
      </c>
      <c r="B463" s="6" t="s">
        <v>1539</v>
      </c>
      <c r="C463" s="6" t="s">
        <v>4848</v>
      </c>
      <c r="D463" s="6" t="s">
        <v>4351</v>
      </c>
      <c r="E463" s="6" t="s">
        <v>4351</v>
      </c>
      <c r="F463" s="6" t="s">
        <v>3375</v>
      </c>
      <c r="G463" s="6" t="s">
        <v>1583</v>
      </c>
      <c r="H463" s="6" t="s">
        <v>1445</v>
      </c>
      <c r="I463" s="6" t="s">
        <v>4680</v>
      </c>
      <c r="J463" s="6" t="s">
        <v>683</v>
      </c>
      <c r="K463" s="6" t="s">
        <v>4790</v>
      </c>
      <c r="L463" s="2" t="s">
        <v>4354</v>
      </c>
      <c r="M463" s="2" t="s">
        <v>4353</v>
      </c>
      <c r="N463" s="9" t="s">
        <v>4355</v>
      </c>
      <c r="O463" s="6" t="s">
        <v>683</v>
      </c>
      <c r="P463" s="6" t="s">
        <v>85</v>
      </c>
      <c r="Q463" s="6" t="s">
        <v>4722</v>
      </c>
      <c r="R463" s="6" t="s">
        <v>5802</v>
      </c>
    </row>
    <row r="464" customFormat="false" ht="23.85" hidden="false" customHeight="false" outlineLevel="0" collapsed="false">
      <c r="A464" s="6" t="s">
        <v>4722</v>
      </c>
      <c r="B464" s="6" t="s">
        <v>1539</v>
      </c>
      <c r="C464" s="6" t="s">
        <v>4848</v>
      </c>
      <c r="D464" s="6" t="s">
        <v>3970</v>
      </c>
      <c r="E464" s="6" t="s">
        <v>3970</v>
      </c>
      <c r="F464" s="6" t="s">
        <v>3971</v>
      </c>
      <c r="G464" s="6" t="s">
        <v>1127</v>
      </c>
      <c r="H464" s="6" t="s">
        <v>1445</v>
      </c>
      <c r="I464" s="6" t="s">
        <v>4684</v>
      </c>
      <c r="J464" s="6" t="s">
        <v>683</v>
      </c>
      <c r="K464" s="6" t="s">
        <v>4790</v>
      </c>
      <c r="L464" s="2" t="s">
        <v>3973</v>
      </c>
      <c r="M464" s="2"/>
      <c r="N464" s="9" t="s">
        <v>3974</v>
      </c>
      <c r="O464" s="6" t="s">
        <v>683</v>
      </c>
      <c r="P464" s="6" t="s">
        <v>85</v>
      </c>
      <c r="Q464" s="6" t="s">
        <v>4722</v>
      </c>
      <c r="R464" s="6" t="s">
        <v>5802</v>
      </c>
    </row>
    <row r="465" customFormat="false" ht="15" hidden="false" customHeight="false" outlineLevel="0" collapsed="false">
      <c r="A465" s="6" t="s">
        <v>4722</v>
      </c>
      <c r="B465" s="6" t="s">
        <v>1539</v>
      </c>
      <c r="C465" s="6" t="s">
        <v>4848</v>
      </c>
      <c r="D465" s="6" t="s">
        <v>4501</v>
      </c>
      <c r="E465" s="6" t="s">
        <v>4501</v>
      </c>
      <c r="F465" s="6" t="s">
        <v>4502</v>
      </c>
      <c r="G465" s="6" t="s">
        <v>1644</v>
      </c>
      <c r="H465" s="6" t="s">
        <v>1445</v>
      </c>
      <c r="I465" s="6" t="s">
        <v>4706</v>
      </c>
      <c r="J465" s="6" t="s">
        <v>383</v>
      </c>
      <c r="K465" s="6" t="s">
        <v>4790</v>
      </c>
      <c r="L465" s="2" t="s">
        <v>4504</v>
      </c>
      <c r="M465" s="2"/>
      <c r="N465" s="9" t="s">
        <v>4505</v>
      </c>
      <c r="O465" s="6" t="s">
        <v>383</v>
      </c>
      <c r="P465" s="6" t="s">
        <v>85</v>
      </c>
      <c r="Q465" s="6" t="s">
        <v>4722</v>
      </c>
      <c r="R465" s="6" t="s">
        <v>5802</v>
      </c>
    </row>
    <row r="466" customFormat="false" ht="23.85" hidden="false" customHeight="false" outlineLevel="0" collapsed="false">
      <c r="A466" s="6" t="s">
        <v>4722</v>
      </c>
      <c r="B466" s="6" t="s">
        <v>1539</v>
      </c>
      <c r="C466" s="6" t="s">
        <v>4848</v>
      </c>
      <c r="D466" s="6" t="s">
        <v>4570</v>
      </c>
      <c r="E466" s="6" t="s">
        <v>4570</v>
      </c>
      <c r="F466" s="6" t="s">
        <v>3722</v>
      </c>
      <c r="G466" s="6" t="s">
        <v>2312</v>
      </c>
      <c r="H466" s="6" t="s">
        <v>1445</v>
      </c>
      <c r="I466" s="6" t="s">
        <v>4706</v>
      </c>
      <c r="J466" s="6" t="s">
        <v>683</v>
      </c>
      <c r="K466" s="6" t="s">
        <v>4790</v>
      </c>
      <c r="L466" s="2" t="s">
        <v>4571</v>
      </c>
      <c r="M466" s="2"/>
      <c r="N466" s="9" t="s">
        <v>4572</v>
      </c>
      <c r="O466" s="6" t="s">
        <v>683</v>
      </c>
      <c r="P466" s="6" t="s">
        <v>85</v>
      </c>
      <c r="Q466" s="6" t="s">
        <v>4722</v>
      </c>
      <c r="R466" s="6" t="s">
        <v>5802</v>
      </c>
    </row>
    <row r="467" customFormat="false" ht="23.85" hidden="false" customHeight="false" outlineLevel="0" collapsed="false">
      <c r="A467" s="6" t="s">
        <v>4722</v>
      </c>
      <c r="B467" s="6" t="s">
        <v>1539</v>
      </c>
      <c r="C467" s="6" t="s">
        <v>4697</v>
      </c>
      <c r="D467" s="6" t="s">
        <v>3132</v>
      </c>
      <c r="E467" s="6" t="s">
        <v>3132</v>
      </c>
      <c r="F467" s="6" t="s">
        <v>1260</v>
      </c>
      <c r="G467" s="6" t="s">
        <v>153</v>
      </c>
      <c r="H467" s="6" t="s">
        <v>1445</v>
      </c>
      <c r="I467" s="6" t="s">
        <v>4697</v>
      </c>
      <c r="J467" s="6" t="s">
        <v>160</v>
      </c>
      <c r="K467" s="6" t="s">
        <v>4675</v>
      </c>
      <c r="L467" s="2" t="s">
        <v>3781</v>
      </c>
      <c r="M467" s="2" t="s">
        <v>4721</v>
      </c>
      <c r="N467" s="9" t="s">
        <v>3782</v>
      </c>
      <c r="O467" s="6" t="s">
        <v>160</v>
      </c>
      <c r="P467" s="6" t="s">
        <v>85</v>
      </c>
      <c r="Q467" s="6" t="s">
        <v>1539</v>
      </c>
      <c r="R467" s="6" t="s">
        <v>5433</v>
      </c>
    </row>
    <row r="468" customFormat="false" ht="15" hidden="false" customHeight="false" outlineLevel="0" collapsed="false">
      <c r="A468" s="6" t="s">
        <v>4722</v>
      </c>
      <c r="B468" s="6" t="s">
        <v>1539</v>
      </c>
      <c r="C468" s="6" t="s">
        <v>4848</v>
      </c>
      <c r="D468" s="6" t="s">
        <v>3125</v>
      </c>
      <c r="E468" s="6" t="s">
        <v>3125</v>
      </c>
      <c r="F468" s="6" t="s">
        <v>1260</v>
      </c>
      <c r="G468" s="6" t="s">
        <v>153</v>
      </c>
      <c r="H468" s="6" t="s">
        <v>1445</v>
      </c>
      <c r="I468" s="6" t="s">
        <v>4684</v>
      </c>
      <c r="J468" s="6" t="s">
        <v>5365</v>
      </c>
      <c r="K468" s="6" t="s">
        <v>4790</v>
      </c>
      <c r="L468" s="2" t="s">
        <v>3129</v>
      </c>
      <c r="M468" s="2" t="s">
        <v>5825</v>
      </c>
      <c r="N468" s="9" t="s">
        <v>3130</v>
      </c>
      <c r="O468" s="6" t="s">
        <v>130</v>
      </c>
      <c r="P468" s="6" t="s">
        <v>106</v>
      </c>
      <c r="Q468" s="6" t="s">
        <v>4722</v>
      </c>
      <c r="R468" s="6" t="s">
        <v>5802</v>
      </c>
    </row>
    <row r="469" customFormat="false" ht="46.25" hidden="false" customHeight="false" outlineLevel="0" collapsed="false">
      <c r="A469" s="6" t="s">
        <v>4979</v>
      </c>
      <c r="B469" s="6" t="s">
        <v>1539</v>
      </c>
      <c r="C469" s="6" t="s">
        <v>4870</v>
      </c>
      <c r="D469" s="6" t="s">
        <v>75</v>
      </c>
      <c r="E469" s="6" t="s">
        <v>75</v>
      </c>
      <c r="F469" s="6" t="s">
        <v>78</v>
      </c>
      <c r="G469" s="6" t="s">
        <v>76</v>
      </c>
      <c r="H469" s="6" t="s">
        <v>77</v>
      </c>
      <c r="I469" s="6" t="s">
        <v>4680</v>
      </c>
      <c r="J469" s="6" t="s">
        <v>84</v>
      </c>
      <c r="K469" s="6" t="s">
        <v>4790</v>
      </c>
      <c r="L469" s="2" t="s">
        <v>83</v>
      </c>
      <c r="M469" s="2" t="s">
        <v>5826</v>
      </c>
      <c r="N469" s="9" t="s">
        <v>5827</v>
      </c>
      <c r="O469" s="6" t="s">
        <v>84</v>
      </c>
      <c r="P469" s="6" t="s">
        <v>85</v>
      </c>
      <c r="Q469" s="6" t="s">
        <v>4979</v>
      </c>
      <c r="R469" s="6" t="s">
        <v>5802</v>
      </c>
    </row>
    <row r="470" customFormat="false" ht="57.45" hidden="false" customHeight="false" outlineLevel="0" collapsed="false">
      <c r="A470" s="6" t="s">
        <v>4979</v>
      </c>
      <c r="B470" s="6" t="s">
        <v>1539</v>
      </c>
      <c r="C470" s="6" t="s">
        <v>4870</v>
      </c>
      <c r="D470" s="6" t="s">
        <v>1964</v>
      </c>
      <c r="E470" s="6" t="s">
        <v>1964</v>
      </c>
      <c r="F470" s="6" t="s">
        <v>1965</v>
      </c>
      <c r="G470" s="6" t="s">
        <v>239</v>
      </c>
      <c r="H470" s="6" t="s">
        <v>287</v>
      </c>
      <c r="I470" s="6" t="s">
        <v>4680</v>
      </c>
      <c r="J470" s="6" t="s">
        <v>160</v>
      </c>
      <c r="K470" s="6" t="s">
        <v>4675</v>
      </c>
      <c r="L470" s="2" t="s">
        <v>1968</v>
      </c>
      <c r="M470" s="2" t="s">
        <v>5828</v>
      </c>
      <c r="N470" s="9" t="s">
        <v>1969</v>
      </c>
      <c r="O470" s="6" t="s">
        <v>160</v>
      </c>
      <c r="P470" s="6" t="s">
        <v>85</v>
      </c>
      <c r="Q470" s="6" t="s">
        <v>4979</v>
      </c>
      <c r="R470" s="6" t="s">
        <v>5802</v>
      </c>
    </row>
    <row r="471" customFormat="false" ht="23.85" hidden="false" customHeight="false" outlineLevel="0" collapsed="false">
      <c r="A471" s="6" t="s">
        <v>4979</v>
      </c>
      <c r="B471" s="6" t="s">
        <v>1539</v>
      </c>
      <c r="C471" s="6" t="s">
        <v>4870</v>
      </c>
      <c r="D471" s="6" t="s">
        <v>3240</v>
      </c>
      <c r="E471" s="6" t="s">
        <v>5829</v>
      </c>
      <c r="F471" s="6" t="s">
        <v>3241</v>
      </c>
      <c r="G471" s="6" t="s">
        <v>1583</v>
      </c>
      <c r="H471" s="6" t="s">
        <v>287</v>
      </c>
      <c r="I471" s="6" t="s">
        <v>4676</v>
      </c>
      <c r="J471" s="6" t="s">
        <v>256</v>
      </c>
      <c r="K471" s="6" t="s">
        <v>4675</v>
      </c>
      <c r="L471" s="2" t="s">
        <v>3244</v>
      </c>
      <c r="M471" s="2" t="s">
        <v>5830</v>
      </c>
      <c r="N471" s="9" t="s">
        <v>3245</v>
      </c>
      <c r="O471" s="6" t="s">
        <v>256</v>
      </c>
      <c r="P471" s="6" t="s">
        <v>85</v>
      </c>
      <c r="Q471" s="6" t="s">
        <v>4979</v>
      </c>
      <c r="R471" s="6" t="s">
        <v>5802</v>
      </c>
    </row>
    <row r="472" customFormat="false" ht="15" hidden="false" customHeight="false" outlineLevel="0" collapsed="false">
      <c r="A472" s="6" t="s">
        <v>4979</v>
      </c>
      <c r="B472" s="6" t="s">
        <v>1539</v>
      </c>
      <c r="C472" s="6" t="s">
        <v>4870</v>
      </c>
      <c r="D472" s="6" t="s">
        <v>3343</v>
      </c>
      <c r="E472" s="6" t="s">
        <v>3343</v>
      </c>
      <c r="F472" s="6" t="s">
        <v>3344</v>
      </c>
      <c r="G472" s="6" t="s">
        <v>1583</v>
      </c>
      <c r="H472" s="6" t="s">
        <v>287</v>
      </c>
      <c r="I472" s="6" t="s">
        <v>4684</v>
      </c>
      <c r="J472" s="6" t="s">
        <v>5365</v>
      </c>
      <c r="K472" s="6" t="s">
        <v>4790</v>
      </c>
      <c r="L472" s="2" t="s">
        <v>3346</v>
      </c>
      <c r="M472" s="2"/>
      <c r="N472" s="9" t="s">
        <v>3348</v>
      </c>
      <c r="O472" s="6" t="s">
        <v>517</v>
      </c>
      <c r="P472" s="6" t="s">
        <v>106</v>
      </c>
      <c r="Q472" s="6" t="s">
        <v>4979</v>
      </c>
      <c r="R472" s="6" t="s">
        <v>5802</v>
      </c>
    </row>
    <row r="473" customFormat="false" ht="23.85" hidden="false" customHeight="false" outlineLevel="0" collapsed="false">
      <c r="A473" s="6" t="s">
        <v>4979</v>
      </c>
      <c r="B473" s="6" t="s">
        <v>1539</v>
      </c>
      <c r="C473" s="6" t="s">
        <v>4848</v>
      </c>
      <c r="D473" s="6" t="s">
        <v>3882</v>
      </c>
      <c r="E473" s="6" t="s">
        <v>3882</v>
      </c>
      <c r="F473" s="6" t="s">
        <v>5831</v>
      </c>
      <c r="G473" s="6" t="s">
        <v>507</v>
      </c>
      <c r="H473" s="6" t="s">
        <v>1445</v>
      </c>
      <c r="I473" s="6" t="s">
        <v>4684</v>
      </c>
      <c r="J473" s="6" t="s">
        <v>256</v>
      </c>
      <c r="K473" s="6" t="s">
        <v>4675</v>
      </c>
      <c r="L473" s="2" t="s">
        <v>3886</v>
      </c>
      <c r="M473" s="2" t="s">
        <v>5832</v>
      </c>
      <c r="N473" s="9" t="s">
        <v>3887</v>
      </c>
      <c r="O473" s="6" t="s">
        <v>256</v>
      </c>
      <c r="P473" s="6" t="s">
        <v>85</v>
      </c>
      <c r="Q473" s="6" t="s">
        <v>4979</v>
      </c>
      <c r="R473" s="6" t="s">
        <v>5357</v>
      </c>
    </row>
    <row r="474" customFormat="false" ht="15" hidden="false" customHeight="false" outlineLevel="0" collapsed="false">
      <c r="A474" s="6" t="s">
        <v>4979</v>
      </c>
      <c r="B474" s="6" t="s">
        <v>1539</v>
      </c>
      <c r="C474" s="6" t="s">
        <v>4870</v>
      </c>
      <c r="D474" s="6" t="s">
        <v>2958</v>
      </c>
      <c r="E474" s="6" t="s">
        <v>5833</v>
      </c>
      <c r="F474" s="6" t="s">
        <v>2959</v>
      </c>
      <c r="G474" s="6" t="s">
        <v>1583</v>
      </c>
      <c r="H474" s="6" t="s">
        <v>1445</v>
      </c>
      <c r="I474" s="6" t="s">
        <v>4684</v>
      </c>
      <c r="J474" s="6" t="s">
        <v>5365</v>
      </c>
      <c r="K474" s="6" t="s">
        <v>4790</v>
      </c>
      <c r="L474" s="2" t="s">
        <v>5834</v>
      </c>
      <c r="M474" s="2"/>
      <c r="N474" s="9" t="s">
        <v>5835</v>
      </c>
      <c r="O474" s="6" t="s">
        <v>504</v>
      </c>
      <c r="P474" s="6" t="s">
        <v>106</v>
      </c>
      <c r="Q474" s="6" t="s">
        <v>4979</v>
      </c>
      <c r="R474" s="6" t="s">
        <v>5802</v>
      </c>
    </row>
    <row r="475" customFormat="false" ht="23.85" hidden="false" customHeight="false" outlineLevel="0" collapsed="false">
      <c r="A475" s="6" t="s">
        <v>4979</v>
      </c>
      <c r="B475" s="6" t="s">
        <v>1539</v>
      </c>
      <c r="C475" s="6" t="s">
        <v>4870</v>
      </c>
      <c r="D475" s="6" t="s">
        <v>4206</v>
      </c>
      <c r="E475" s="6" t="s">
        <v>4206</v>
      </c>
      <c r="F475" s="6" t="s">
        <v>4207</v>
      </c>
      <c r="G475" s="6" t="s">
        <v>1598</v>
      </c>
      <c r="H475" s="6" t="s">
        <v>1445</v>
      </c>
      <c r="I475" s="6" t="s">
        <v>4680</v>
      </c>
      <c r="J475" s="6" t="s">
        <v>308</v>
      </c>
      <c r="K475" s="6" t="s">
        <v>4675</v>
      </c>
      <c r="L475" s="2" t="s">
        <v>4210</v>
      </c>
      <c r="M475" s="2" t="s">
        <v>5836</v>
      </c>
      <c r="N475" s="9" t="s">
        <v>4211</v>
      </c>
      <c r="O475" s="6" t="s">
        <v>308</v>
      </c>
      <c r="P475" s="6" t="s">
        <v>85</v>
      </c>
      <c r="Q475" s="6" t="s">
        <v>4979</v>
      </c>
      <c r="R475" s="6" t="s">
        <v>5802</v>
      </c>
    </row>
    <row r="476" customFormat="false" ht="15" hidden="false" customHeight="false" outlineLevel="0" collapsed="false">
      <c r="A476" s="6" t="s">
        <v>4979</v>
      </c>
      <c r="B476" s="6" t="s">
        <v>1539</v>
      </c>
      <c r="C476" s="6" t="s">
        <v>4870</v>
      </c>
      <c r="D476" s="6" t="s">
        <v>3049</v>
      </c>
      <c r="E476" s="6" t="s">
        <v>3049</v>
      </c>
      <c r="F476" s="6" t="s">
        <v>4531</v>
      </c>
      <c r="G476" s="6" t="s">
        <v>3000</v>
      </c>
      <c r="H476" s="6" t="s">
        <v>1445</v>
      </c>
      <c r="I476" s="6" t="s">
        <v>4732</v>
      </c>
      <c r="J476" s="6" t="s">
        <v>5365</v>
      </c>
      <c r="K476" s="6" t="s">
        <v>4679</v>
      </c>
      <c r="L476" s="2" t="s">
        <v>5837</v>
      </c>
      <c r="M476" s="2" t="s">
        <v>5838</v>
      </c>
      <c r="N476" s="9" t="s">
        <v>5839</v>
      </c>
      <c r="O476" s="6" t="s">
        <v>236</v>
      </c>
      <c r="P476" s="6" t="s">
        <v>106</v>
      </c>
      <c r="Q476" s="6" t="s">
        <v>4979</v>
      </c>
      <c r="R476" s="6" t="s">
        <v>5802</v>
      </c>
    </row>
    <row r="477" customFormat="false" ht="23.85" hidden="false" customHeight="false" outlineLevel="0" collapsed="false">
      <c r="A477" s="6" t="s">
        <v>4982</v>
      </c>
      <c r="B477" s="6" t="s">
        <v>1539</v>
      </c>
      <c r="C477" s="6" t="s">
        <v>4682</v>
      </c>
      <c r="D477" s="6" t="s">
        <v>4206</v>
      </c>
      <c r="E477" s="6" t="s">
        <v>4206</v>
      </c>
      <c r="F477" s="6" t="s">
        <v>4207</v>
      </c>
      <c r="G477" s="6" t="s">
        <v>1598</v>
      </c>
      <c r="H477" s="6" t="s">
        <v>1445</v>
      </c>
      <c r="I477" s="6" t="s">
        <v>4682</v>
      </c>
      <c r="J477" s="6" t="s">
        <v>308</v>
      </c>
      <c r="K477" s="6" t="s">
        <v>4675</v>
      </c>
      <c r="L477" s="2" t="s">
        <v>5840</v>
      </c>
      <c r="M477" s="2"/>
      <c r="N477" s="9" t="s">
        <v>4211</v>
      </c>
      <c r="O477" s="6" t="s">
        <v>308</v>
      </c>
      <c r="P477" s="6" t="s">
        <v>85</v>
      </c>
      <c r="Q477" s="6" t="s">
        <v>4984</v>
      </c>
      <c r="R477" s="6" t="s">
        <v>5802</v>
      </c>
    </row>
    <row r="478" customFormat="false" ht="23.85" hidden="false" customHeight="false" outlineLevel="0" collapsed="false">
      <c r="A478" s="6" t="s">
        <v>4982</v>
      </c>
      <c r="B478" s="6" t="s">
        <v>1539</v>
      </c>
      <c r="C478" s="6" t="s">
        <v>4682</v>
      </c>
      <c r="D478" s="6" t="s">
        <v>3944</v>
      </c>
      <c r="E478" s="6" t="s">
        <v>3944</v>
      </c>
      <c r="F478" s="6" t="s">
        <v>3945</v>
      </c>
      <c r="G478" s="6" t="s">
        <v>1127</v>
      </c>
      <c r="H478" s="6" t="s">
        <v>1445</v>
      </c>
      <c r="I478" s="6" t="s">
        <v>4682</v>
      </c>
      <c r="J478" s="6" t="s">
        <v>504</v>
      </c>
      <c r="K478" s="6" t="s">
        <v>4790</v>
      </c>
      <c r="L478" s="2" t="s">
        <v>5841</v>
      </c>
      <c r="M478" s="2"/>
      <c r="N478" s="9" t="s">
        <v>3949</v>
      </c>
      <c r="O478" s="6" t="s">
        <v>504</v>
      </c>
      <c r="P478" s="6" t="s">
        <v>85</v>
      </c>
      <c r="Q478" s="6" t="s">
        <v>4984</v>
      </c>
      <c r="R478" s="6" t="s">
        <v>5802</v>
      </c>
    </row>
    <row r="479" customFormat="false" ht="23.85" hidden="false" customHeight="false" outlineLevel="0" collapsed="false">
      <c r="A479" s="6" t="s">
        <v>4975</v>
      </c>
      <c r="B479" s="6" t="s">
        <v>1539</v>
      </c>
      <c r="C479" s="6" t="s">
        <v>4848</v>
      </c>
      <c r="D479" s="6" t="s">
        <v>2731</v>
      </c>
      <c r="E479" s="6" t="s">
        <v>2731</v>
      </c>
      <c r="F479" s="6" t="s">
        <v>2732</v>
      </c>
      <c r="G479" s="6" t="s">
        <v>1215</v>
      </c>
      <c r="H479" s="6" t="s">
        <v>77</v>
      </c>
      <c r="I479" s="6" t="s">
        <v>4684</v>
      </c>
      <c r="J479" s="6" t="s">
        <v>504</v>
      </c>
      <c r="K479" s="6" t="s">
        <v>4790</v>
      </c>
      <c r="L479" s="2" t="s">
        <v>2735</v>
      </c>
      <c r="M479" s="2" t="s">
        <v>2734</v>
      </c>
      <c r="N479" s="9" t="s">
        <v>2736</v>
      </c>
      <c r="O479" s="6" t="s">
        <v>504</v>
      </c>
      <c r="P479" s="6" t="s">
        <v>85</v>
      </c>
      <c r="Q479" s="6" t="s">
        <v>4975</v>
      </c>
      <c r="R479" s="6" t="s">
        <v>5802</v>
      </c>
    </row>
    <row r="480" customFormat="false" ht="15" hidden="false" customHeight="false" outlineLevel="0" collapsed="false">
      <c r="A480" s="6" t="s">
        <v>4975</v>
      </c>
      <c r="B480" s="6" t="s">
        <v>1539</v>
      </c>
      <c r="C480" s="6" t="s">
        <v>4848</v>
      </c>
      <c r="D480" s="6" t="s">
        <v>1957</v>
      </c>
      <c r="E480" s="6" t="s">
        <v>1957</v>
      </c>
      <c r="F480" s="6" t="s">
        <v>1958</v>
      </c>
      <c r="G480" s="6" t="s">
        <v>76</v>
      </c>
      <c r="H480" s="6" t="s">
        <v>287</v>
      </c>
      <c r="I480" s="6" t="s">
        <v>4684</v>
      </c>
      <c r="J480" s="6" t="s">
        <v>5365</v>
      </c>
      <c r="K480" s="6" t="s">
        <v>4790</v>
      </c>
      <c r="L480" s="2" t="s">
        <v>1961</v>
      </c>
      <c r="M480" s="2" t="s">
        <v>5842</v>
      </c>
      <c r="N480" s="9" t="s">
        <v>1963</v>
      </c>
      <c r="O480" s="6" t="s">
        <v>504</v>
      </c>
      <c r="P480" s="6" t="s">
        <v>106</v>
      </c>
      <c r="Q480" s="6" t="s">
        <v>4975</v>
      </c>
      <c r="R480" s="6" t="s">
        <v>5802</v>
      </c>
    </row>
    <row r="481" customFormat="false" ht="15" hidden="false" customHeight="false" outlineLevel="0" collapsed="false">
      <c r="A481" s="6" t="s">
        <v>4975</v>
      </c>
      <c r="B481" s="6" t="s">
        <v>1539</v>
      </c>
      <c r="C481" s="6" t="s">
        <v>4848</v>
      </c>
      <c r="D481" s="6" t="s">
        <v>3240</v>
      </c>
      <c r="E481" s="6" t="s">
        <v>3240</v>
      </c>
      <c r="F481" s="6" t="s">
        <v>3241</v>
      </c>
      <c r="G481" s="6" t="s">
        <v>1583</v>
      </c>
      <c r="H481" s="6" t="s">
        <v>287</v>
      </c>
      <c r="I481" s="6" t="s">
        <v>4684</v>
      </c>
      <c r="J481" s="6" t="s">
        <v>5365</v>
      </c>
      <c r="K481" s="6" t="s">
        <v>4679</v>
      </c>
      <c r="L481" s="2" t="s">
        <v>5843</v>
      </c>
      <c r="M481" s="2" t="s">
        <v>5844</v>
      </c>
      <c r="N481" s="9" t="s">
        <v>5845</v>
      </c>
      <c r="O481" s="6" t="s">
        <v>440</v>
      </c>
      <c r="P481" s="6" t="s">
        <v>106</v>
      </c>
      <c r="Q481" s="6" t="s">
        <v>4975</v>
      </c>
      <c r="R481" s="6" t="s">
        <v>5802</v>
      </c>
    </row>
    <row r="482" customFormat="false" ht="23.85" hidden="false" customHeight="false" outlineLevel="0" collapsed="false">
      <c r="A482" s="6" t="s">
        <v>4975</v>
      </c>
      <c r="B482" s="6" t="s">
        <v>1539</v>
      </c>
      <c r="C482" s="6" t="s">
        <v>4848</v>
      </c>
      <c r="D482" s="6" t="s">
        <v>2826</v>
      </c>
      <c r="E482" s="6" t="s">
        <v>2826</v>
      </c>
      <c r="F482" s="6" t="s">
        <v>2827</v>
      </c>
      <c r="G482" s="6" t="s">
        <v>507</v>
      </c>
      <c r="H482" s="6" t="s">
        <v>287</v>
      </c>
      <c r="I482" s="6" t="s">
        <v>4684</v>
      </c>
      <c r="J482" s="6" t="s">
        <v>5365</v>
      </c>
      <c r="K482" s="6" t="s">
        <v>4679</v>
      </c>
      <c r="L482" s="2" t="s">
        <v>2830</v>
      </c>
      <c r="M482" s="2" t="s">
        <v>2829</v>
      </c>
      <c r="N482" s="9" t="s">
        <v>2831</v>
      </c>
      <c r="O482" s="6" t="s">
        <v>236</v>
      </c>
      <c r="P482" s="6" t="s">
        <v>106</v>
      </c>
      <c r="Q482" s="6" t="s">
        <v>4975</v>
      </c>
      <c r="R482" s="6" t="s">
        <v>5802</v>
      </c>
    </row>
    <row r="483" customFormat="false" ht="23.85" hidden="false" customHeight="false" outlineLevel="0" collapsed="false">
      <c r="A483" s="6" t="s">
        <v>4975</v>
      </c>
      <c r="B483" s="6" t="s">
        <v>1539</v>
      </c>
      <c r="C483" s="6" t="s">
        <v>4848</v>
      </c>
      <c r="D483" s="6" t="s">
        <v>2455</v>
      </c>
      <c r="E483" s="6" t="s">
        <v>2455</v>
      </c>
      <c r="F483" s="6" t="s">
        <v>2456</v>
      </c>
      <c r="G483" s="6" t="s">
        <v>182</v>
      </c>
      <c r="H483" s="6" t="s">
        <v>287</v>
      </c>
      <c r="I483" s="6" t="s">
        <v>4676</v>
      </c>
      <c r="J483" s="6" t="s">
        <v>448</v>
      </c>
      <c r="K483" s="6" t="s">
        <v>4790</v>
      </c>
      <c r="L483" s="2" t="s">
        <v>2459</v>
      </c>
      <c r="M483" s="2" t="s">
        <v>2458</v>
      </c>
      <c r="N483" s="9" t="s">
        <v>2460</v>
      </c>
      <c r="O483" s="6" t="s">
        <v>448</v>
      </c>
      <c r="P483" s="6" t="s">
        <v>85</v>
      </c>
      <c r="Q483" s="6" t="s">
        <v>4975</v>
      </c>
      <c r="R483" s="6" t="s">
        <v>5802</v>
      </c>
    </row>
    <row r="484" customFormat="false" ht="23.85" hidden="false" customHeight="false" outlineLevel="0" collapsed="false">
      <c r="A484" s="6" t="s">
        <v>4975</v>
      </c>
      <c r="B484" s="6" t="s">
        <v>1539</v>
      </c>
      <c r="C484" s="6" t="s">
        <v>4848</v>
      </c>
      <c r="D484" s="6" t="s">
        <v>3311</v>
      </c>
      <c r="E484" s="6" t="s">
        <v>3311</v>
      </c>
      <c r="F484" s="6" t="s">
        <v>3312</v>
      </c>
      <c r="G484" s="6" t="s">
        <v>1215</v>
      </c>
      <c r="H484" s="6" t="s">
        <v>287</v>
      </c>
      <c r="I484" s="6" t="s">
        <v>4684</v>
      </c>
      <c r="J484" s="6" t="s">
        <v>5365</v>
      </c>
      <c r="K484" s="6" t="s">
        <v>4790</v>
      </c>
      <c r="L484" s="2" t="s">
        <v>3314</v>
      </c>
      <c r="M484" s="2"/>
      <c r="N484" s="9" t="s">
        <v>3315</v>
      </c>
      <c r="O484" s="6" t="s">
        <v>256</v>
      </c>
      <c r="P484" s="6" t="s">
        <v>106</v>
      </c>
      <c r="Q484" s="6" t="s">
        <v>4975</v>
      </c>
      <c r="R484" s="6" t="s">
        <v>5802</v>
      </c>
    </row>
    <row r="485" customFormat="false" ht="23.85" hidden="false" customHeight="false" outlineLevel="0" collapsed="false">
      <c r="A485" s="6" t="s">
        <v>4975</v>
      </c>
      <c r="B485" s="6" t="s">
        <v>1539</v>
      </c>
      <c r="C485" s="6" t="s">
        <v>4848</v>
      </c>
      <c r="D485" s="6" t="s">
        <v>3417</v>
      </c>
      <c r="E485" s="6" t="s">
        <v>3417</v>
      </c>
      <c r="F485" s="6" t="s">
        <v>3418</v>
      </c>
      <c r="G485" s="6" t="s">
        <v>1215</v>
      </c>
      <c r="H485" s="6" t="s">
        <v>287</v>
      </c>
      <c r="I485" s="6" t="s">
        <v>4684</v>
      </c>
      <c r="J485" s="6" t="s">
        <v>504</v>
      </c>
      <c r="K485" s="6" t="s">
        <v>4790</v>
      </c>
      <c r="L485" s="2" t="s">
        <v>3420</v>
      </c>
      <c r="M485" s="2" t="s">
        <v>3419</v>
      </c>
      <c r="N485" s="9" t="s">
        <v>3421</v>
      </c>
      <c r="O485" s="6" t="s">
        <v>504</v>
      </c>
      <c r="P485" s="6" t="s">
        <v>85</v>
      </c>
      <c r="Q485" s="6" t="s">
        <v>4975</v>
      </c>
      <c r="R485" s="6" t="s">
        <v>5802</v>
      </c>
    </row>
    <row r="486" customFormat="false" ht="46.25" hidden="false" customHeight="false" outlineLevel="0" collapsed="false">
      <c r="A486" s="6" t="s">
        <v>4975</v>
      </c>
      <c r="B486" s="6" t="s">
        <v>1539</v>
      </c>
      <c r="C486" s="6" t="s">
        <v>4870</v>
      </c>
      <c r="D486" s="6" t="s">
        <v>466</v>
      </c>
      <c r="E486" s="6" t="s">
        <v>466</v>
      </c>
      <c r="F486" s="6" t="s">
        <v>467</v>
      </c>
      <c r="G486" s="6" t="s">
        <v>76</v>
      </c>
      <c r="H486" s="6" t="s">
        <v>287</v>
      </c>
      <c r="I486" s="6" t="s">
        <v>4676</v>
      </c>
      <c r="J486" s="6" t="s">
        <v>5412</v>
      </c>
      <c r="K486" s="6" t="s">
        <v>4679</v>
      </c>
      <c r="L486" s="2" t="s">
        <v>5846</v>
      </c>
      <c r="M486" s="2" t="s">
        <v>5847</v>
      </c>
      <c r="N486" s="9" t="s">
        <v>5848</v>
      </c>
      <c r="O486" s="6" t="s">
        <v>5593</v>
      </c>
      <c r="P486" s="6" t="s">
        <v>106</v>
      </c>
      <c r="Q486" s="6" t="s">
        <v>4978</v>
      </c>
      <c r="R486" s="6" t="s">
        <v>5368</v>
      </c>
    </row>
    <row r="487" customFormat="false" ht="23.85" hidden="false" customHeight="false" outlineLevel="0" collapsed="false">
      <c r="A487" s="6" t="s">
        <v>4975</v>
      </c>
      <c r="B487" s="6" t="s">
        <v>1539</v>
      </c>
      <c r="C487" s="6" t="s">
        <v>4848</v>
      </c>
      <c r="D487" s="6" t="s">
        <v>4089</v>
      </c>
      <c r="E487" s="6" t="s">
        <v>4089</v>
      </c>
      <c r="F487" s="6" t="s">
        <v>4090</v>
      </c>
      <c r="G487" s="6" t="s">
        <v>1598</v>
      </c>
      <c r="H487" s="6" t="s">
        <v>1445</v>
      </c>
      <c r="I487" s="6" t="s">
        <v>4684</v>
      </c>
      <c r="J487" s="6" t="s">
        <v>5365</v>
      </c>
      <c r="K487" s="6" t="s">
        <v>4790</v>
      </c>
      <c r="L487" s="2" t="s">
        <v>4091</v>
      </c>
      <c r="M487" s="2"/>
      <c r="N487" s="9" t="s">
        <v>4092</v>
      </c>
      <c r="O487" s="6" t="s">
        <v>308</v>
      </c>
      <c r="P487" s="6" t="s">
        <v>106</v>
      </c>
      <c r="Q487" s="6" t="s">
        <v>4975</v>
      </c>
      <c r="R487" s="6" t="s">
        <v>5802</v>
      </c>
    </row>
    <row r="488" customFormat="false" ht="23.85" hidden="false" customHeight="false" outlineLevel="0" collapsed="false">
      <c r="A488" s="6" t="s">
        <v>4975</v>
      </c>
      <c r="B488" s="6" t="s">
        <v>1539</v>
      </c>
      <c r="C488" s="6" t="s">
        <v>4848</v>
      </c>
      <c r="D488" s="6" t="s">
        <v>4171</v>
      </c>
      <c r="E488" s="6" t="s">
        <v>4171</v>
      </c>
      <c r="F488" s="6" t="s">
        <v>4172</v>
      </c>
      <c r="G488" s="6" t="s">
        <v>1598</v>
      </c>
      <c r="H488" s="6" t="s">
        <v>1445</v>
      </c>
      <c r="I488" s="6" t="s">
        <v>4680</v>
      </c>
      <c r="J488" s="6" t="s">
        <v>1401</v>
      </c>
      <c r="K488" s="6" t="s">
        <v>4790</v>
      </c>
      <c r="L488" s="2" t="s">
        <v>4174</v>
      </c>
      <c r="M488" s="2"/>
      <c r="N488" s="9" t="s">
        <v>4175</v>
      </c>
      <c r="O488" s="6" t="s">
        <v>1401</v>
      </c>
      <c r="P488" s="6" t="s">
        <v>85</v>
      </c>
      <c r="Q488" s="6" t="s">
        <v>4975</v>
      </c>
      <c r="R488" s="6" t="s">
        <v>5802</v>
      </c>
    </row>
    <row r="489" customFormat="false" ht="15" hidden="false" customHeight="false" outlineLevel="0" collapsed="false">
      <c r="A489" s="6" t="s">
        <v>4975</v>
      </c>
      <c r="B489" s="6" t="s">
        <v>1539</v>
      </c>
      <c r="C489" s="6" t="s">
        <v>4848</v>
      </c>
      <c r="D489" s="6" t="s">
        <v>4221</v>
      </c>
      <c r="E489" s="6" t="s">
        <v>4221</v>
      </c>
      <c r="F489" s="6" t="s">
        <v>1689</v>
      </c>
      <c r="G489" s="6" t="s">
        <v>1583</v>
      </c>
      <c r="H489" s="6" t="s">
        <v>1445</v>
      </c>
      <c r="I489" s="6" t="s">
        <v>4684</v>
      </c>
      <c r="J489" s="6" t="s">
        <v>5365</v>
      </c>
      <c r="K489" s="6" t="s">
        <v>4790</v>
      </c>
      <c r="L489" s="2" t="s">
        <v>4222</v>
      </c>
      <c r="M489" s="2" t="s">
        <v>3419</v>
      </c>
      <c r="N489" s="9" t="s">
        <v>4223</v>
      </c>
      <c r="O489" s="6" t="s">
        <v>160</v>
      </c>
      <c r="P489" s="6" t="s">
        <v>106</v>
      </c>
      <c r="Q489" s="6" t="s">
        <v>4975</v>
      </c>
      <c r="R489" s="6" t="s">
        <v>5802</v>
      </c>
    </row>
    <row r="490" customFormat="false" ht="15" hidden="false" customHeight="false" outlineLevel="0" collapsed="false">
      <c r="A490" s="6" t="s">
        <v>4975</v>
      </c>
      <c r="B490" s="6" t="s">
        <v>1539</v>
      </c>
      <c r="C490" s="6" t="s">
        <v>4848</v>
      </c>
      <c r="D490" s="6" t="s">
        <v>4312</v>
      </c>
      <c r="E490" s="6" t="s">
        <v>4312</v>
      </c>
      <c r="F490" s="6" t="s">
        <v>4313</v>
      </c>
      <c r="G490" s="6" t="s">
        <v>1598</v>
      </c>
      <c r="H490" s="6" t="s">
        <v>1445</v>
      </c>
      <c r="I490" s="6" t="s">
        <v>4684</v>
      </c>
      <c r="J490" s="6" t="s">
        <v>5365</v>
      </c>
      <c r="K490" s="6" t="s">
        <v>4679</v>
      </c>
      <c r="L490" s="2" t="s">
        <v>4314</v>
      </c>
      <c r="M490" s="2"/>
      <c r="N490" s="9" t="s">
        <v>4315</v>
      </c>
      <c r="O490" s="6" t="s">
        <v>332</v>
      </c>
      <c r="P490" s="6" t="s">
        <v>106</v>
      </c>
      <c r="Q490" s="6" t="s">
        <v>4975</v>
      </c>
      <c r="R490" s="6" t="s">
        <v>5802</v>
      </c>
    </row>
    <row r="491" customFormat="false" ht="23.85" hidden="false" customHeight="false" outlineLevel="0" collapsed="false">
      <c r="A491" s="6" t="s">
        <v>4975</v>
      </c>
      <c r="B491" s="6" t="s">
        <v>1539</v>
      </c>
      <c r="C491" s="6" t="s">
        <v>4848</v>
      </c>
      <c r="D491" s="6" t="s">
        <v>391</v>
      </c>
      <c r="E491" s="6" t="s">
        <v>391</v>
      </c>
      <c r="F491" s="6" t="s">
        <v>392</v>
      </c>
      <c r="G491" s="6" t="s">
        <v>90</v>
      </c>
      <c r="H491" s="6" t="s">
        <v>1445</v>
      </c>
      <c r="I491" s="6" t="s">
        <v>4676</v>
      </c>
      <c r="J491" s="6" t="s">
        <v>1178</v>
      </c>
      <c r="K491" s="6" t="s">
        <v>4679</v>
      </c>
      <c r="L491" s="2" t="s">
        <v>5849</v>
      </c>
      <c r="M491" s="2" t="s">
        <v>5850</v>
      </c>
      <c r="N491" s="9" t="s">
        <v>398</v>
      </c>
      <c r="O491" s="6" t="s">
        <v>1178</v>
      </c>
      <c r="P491" s="6" t="s">
        <v>106</v>
      </c>
      <c r="Q491" s="6" t="s">
        <v>4975</v>
      </c>
      <c r="R491" s="6" t="s">
        <v>5802</v>
      </c>
    </row>
    <row r="492" customFormat="false" ht="15" hidden="false" customHeight="false" outlineLevel="0" collapsed="false">
      <c r="A492" s="6" t="s">
        <v>4975</v>
      </c>
      <c r="B492" s="6" t="s">
        <v>1539</v>
      </c>
      <c r="C492" s="6" t="s">
        <v>4848</v>
      </c>
      <c r="D492" s="6" t="s">
        <v>4386</v>
      </c>
      <c r="E492" s="6" t="s">
        <v>4386</v>
      </c>
      <c r="F492" s="6" t="s">
        <v>3562</v>
      </c>
      <c r="G492" s="6" t="s">
        <v>1598</v>
      </c>
      <c r="H492" s="6" t="s">
        <v>1445</v>
      </c>
      <c r="I492" s="6" t="s">
        <v>4684</v>
      </c>
      <c r="J492" s="6" t="s">
        <v>5365</v>
      </c>
      <c r="K492" s="6" t="s">
        <v>4679</v>
      </c>
      <c r="L492" s="2" t="s">
        <v>4387</v>
      </c>
      <c r="M492" s="2"/>
      <c r="N492" s="9" t="s">
        <v>4388</v>
      </c>
      <c r="O492" s="6" t="s">
        <v>411</v>
      </c>
      <c r="P492" s="6" t="s">
        <v>106</v>
      </c>
      <c r="Q492" s="6" t="s">
        <v>4975</v>
      </c>
      <c r="R492" s="6" t="s">
        <v>5802</v>
      </c>
    </row>
    <row r="493" customFormat="false" ht="15" hidden="false" customHeight="false" outlineLevel="0" collapsed="false">
      <c r="A493" s="6" t="s">
        <v>4975</v>
      </c>
      <c r="B493" s="6" t="s">
        <v>1539</v>
      </c>
      <c r="C493" s="6" t="s">
        <v>4848</v>
      </c>
      <c r="D493" s="6" t="s">
        <v>3731</v>
      </c>
      <c r="E493" s="6" t="s">
        <v>3731</v>
      </c>
      <c r="F493" s="6" t="s">
        <v>3732</v>
      </c>
      <c r="G493" s="6" t="s">
        <v>153</v>
      </c>
      <c r="H493" s="6" t="s">
        <v>1445</v>
      </c>
      <c r="I493" s="6" t="s">
        <v>4684</v>
      </c>
      <c r="J493" s="6" t="s">
        <v>5365</v>
      </c>
      <c r="K493" s="6" t="s">
        <v>4679</v>
      </c>
      <c r="L493" s="2" t="s">
        <v>3733</v>
      </c>
      <c r="M493" s="2"/>
      <c r="N493" s="9" t="s">
        <v>3734</v>
      </c>
      <c r="O493" s="6" t="s">
        <v>332</v>
      </c>
      <c r="P493" s="6" t="s">
        <v>106</v>
      </c>
      <c r="Q493" s="6" t="s">
        <v>4975</v>
      </c>
      <c r="R493" s="6" t="s">
        <v>5802</v>
      </c>
    </row>
    <row r="494" customFormat="false" ht="23.85" hidden="false" customHeight="false" outlineLevel="0" collapsed="false">
      <c r="A494" s="6" t="s">
        <v>4975</v>
      </c>
      <c r="B494" s="6" t="s">
        <v>1539</v>
      </c>
      <c r="C494" s="6" t="s">
        <v>4848</v>
      </c>
      <c r="D494" s="6" t="s">
        <v>3944</v>
      </c>
      <c r="E494" s="6" t="s">
        <v>3944</v>
      </c>
      <c r="F494" s="6" t="s">
        <v>3945</v>
      </c>
      <c r="G494" s="6" t="s">
        <v>1127</v>
      </c>
      <c r="H494" s="6" t="s">
        <v>1445</v>
      </c>
      <c r="I494" s="6" t="s">
        <v>4684</v>
      </c>
      <c r="J494" s="6" t="s">
        <v>504</v>
      </c>
      <c r="K494" s="6" t="s">
        <v>4790</v>
      </c>
      <c r="L494" s="2" t="s">
        <v>3947</v>
      </c>
      <c r="M494" s="2" t="s">
        <v>3419</v>
      </c>
      <c r="N494" s="9" t="s">
        <v>3948</v>
      </c>
      <c r="O494" s="6" t="s">
        <v>504</v>
      </c>
      <c r="P494" s="6" t="s">
        <v>85</v>
      </c>
      <c r="Q494" s="6" t="s">
        <v>4975</v>
      </c>
      <c r="R494" s="6" t="s">
        <v>5802</v>
      </c>
    </row>
    <row r="495" customFormat="false" ht="23.85" hidden="false" customHeight="false" outlineLevel="0" collapsed="false">
      <c r="A495" s="6" t="s">
        <v>4985</v>
      </c>
      <c r="B495" s="6" t="s">
        <v>1539</v>
      </c>
      <c r="C495" s="6" t="s">
        <v>4732</v>
      </c>
      <c r="D495" s="6" t="s">
        <v>2632</v>
      </c>
      <c r="E495" s="6" t="s">
        <v>2632</v>
      </c>
      <c r="F495" s="6" t="s">
        <v>5851</v>
      </c>
      <c r="G495" s="6" t="s">
        <v>90</v>
      </c>
      <c r="H495" s="6" t="s">
        <v>1445</v>
      </c>
      <c r="I495" s="6" t="s">
        <v>5617</v>
      </c>
      <c r="J495" s="6" t="s">
        <v>256</v>
      </c>
      <c r="K495" s="6" t="s">
        <v>4790</v>
      </c>
      <c r="L495" s="2" t="s">
        <v>5852</v>
      </c>
      <c r="M495" s="2" t="s">
        <v>5853</v>
      </c>
      <c r="N495" s="9" t="s">
        <v>2638</v>
      </c>
      <c r="O495" s="6" t="s">
        <v>256</v>
      </c>
      <c r="P495" s="6" t="s">
        <v>106</v>
      </c>
      <c r="Q495" s="6" t="s">
        <v>4985</v>
      </c>
      <c r="R495" s="6" t="s">
        <v>5357</v>
      </c>
    </row>
    <row r="496" customFormat="false" ht="23.85" hidden="false" customHeight="false" outlineLevel="0" collapsed="false">
      <c r="A496" s="6" t="s">
        <v>4993</v>
      </c>
      <c r="B496" s="6" t="s">
        <v>1175</v>
      </c>
      <c r="C496" s="6" t="s">
        <v>4697</v>
      </c>
      <c r="D496" s="6" t="s">
        <v>1951</v>
      </c>
      <c r="E496" s="6" t="s">
        <v>1951</v>
      </c>
      <c r="F496" s="6" t="s">
        <v>1952</v>
      </c>
      <c r="G496" s="6" t="s">
        <v>118</v>
      </c>
      <c r="H496" s="6" t="s">
        <v>287</v>
      </c>
      <c r="I496" s="6" t="s">
        <v>4697</v>
      </c>
      <c r="J496" s="6" t="s">
        <v>97</v>
      </c>
      <c r="K496" s="6" t="s">
        <v>4675</v>
      </c>
      <c r="L496" s="2" t="s">
        <v>1955</v>
      </c>
      <c r="M496" s="2" t="s">
        <v>1954</v>
      </c>
      <c r="N496" s="9" t="s">
        <v>1956</v>
      </c>
      <c r="O496" s="6" t="s">
        <v>97</v>
      </c>
      <c r="P496" s="6" t="s">
        <v>85</v>
      </c>
      <c r="Q496" s="6" t="s">
        <v>4993</v>
      </c>
      <c r="R496" s="6" t="s">
        <v>5357</v>
      </c>
    </row>
    <row r="497" customFormat="false" ht="23.85" hidden="false" customHeight="false" outlineLevel="0" collapsed="false">
      <c r="A497" s="6" t="s">
        <v>4986</v>
      </c>
      <c r="B497" s="6" t="s">
        <v>1175</v>
      </c>
      <c r="C497" s="6" t="s">
        <v>4848</v>
      </c>
      <c r="D497" s="6" t="s">
        <v>3354</v>
      </c>
      <c r="E497" s="6" t="s">
        <v>3354</v>
      </c>
      <c r="F497" s="6" t="s">
        <v>3355</v>
      </c>
      <c r="G497" s="6" t="s">
        <v>1583</v>
      </c>
      <c r="H497" s="6" t="s">
        <v>287</v>
      </c>
      <c r="I497" s="6" t="s">
        <v>4684</v>
      </c>
      <c r="J497" s="6" t="s">
        <v>5365</v>
      </c>
      <c r="K497" s="6" t="s">
        <v>4790</v>
      </c>
      <c r="L497" s="2" t="s">
        <v>3357</v>
      </c>
      <c r="M497" s="2"/>
      <c r="N497" s="9" t="s">
        <v>3358</v>
      </c>
      <c r="O497" s="6" t="s">
        <v>160</v>
      </c>
      <c r="P497" s="6" t="s">
        <v>106</v>
      </c>
      <c r="Q497" s="6" t="s">
        <v>4986</v>
      </c>
      <c r="R497" s="6" t="s">
        <v>5802</v>
      </c>
    </row>
    <row r="498" customFormat="false" ht="15" hidden="false" customHeight="false" outlineLevel="0" collapsed="false">
      <c r="A498" s="6" t="s">
        <v>4986</v>
      </c>
      <c r="B498" s="6" t="s">
        <v>1175</v>
      </c>
      <c r="C498" s="6" t="s">
        <v>4848</v>
      </c>
      <c r="D498" s="6" t="s">
        <v>4062</v>
      </c>
      <c r="E498" s="6" t="s">
        <v>4062</v>
      </c>
      <c r="F498" s="6" t="s">
        <v>5854</v>
      </c>
      <c r="G498" s="6" t="s">
        <v>1598</v>
      </c>
      <c r="H498" s="6" t="s">
        <v>1445</v>
      </c>
      <c r="I498" s="6" t="s">
        <v>4676</v>
      </c>
      <c r="J498" s="6" t="s">
        <v>5855</v>
      </c>
      <c r="K498" s="6" t="s">
        <v>4679</v>
      </c>
      <c r="L498" s="2" t="s">
        <v>5856</v>
      </c>
      <c r="M498" s="2" t="s">
        <v>4065</v>
      </c>
      <c r="N498" s="9" t="s">
        <v>4067</v>
      </c>
      <c r="O498" s="6" t="s">
        <v>5855</v>
      </c>
      <c r="P498" s="6" t="s">
        <v>106</v>
      </c>
      <c r="Q498" s="6" t="s">
        <v>4986</v>
      </c>
      <c r="R498" s="6" t="s">
        <v>5802</v>
      </c>
    </row>
    <row r="499" customFormat="false" ht="15" hidden="false" customHeight="false" outlineLevel="0" collapsed="false">
      <c r="A499" s="6" t="s">
        <v>4986</v>
      </c>
      <c r="B499" s="6" t="s">
        <v>1175</v>
      </c>
      <c r="C499" s="6" t="s">
        <v>4848</v>
      </c>
      <c r="D499" s="6" t="s">
        <v>3894</v>
      </c>
      <c r="E499" s="6" t="s">
        <v>3894</v>
      </c>
      <c r="F499" s="6" t="s">
        <v>3895</v>
      </c>
      <c r="G499" s="6" t="s">
        <v>1127</v>
      </c>
      <c r="H499" s="6" t="s">
        <v>1445</v>
      </c>
      <c r="I499" s="6" t="s">
        <v>4684</v>
      </c>
      <c r="J499" s="6" t="s">
        <v>5365</v>
      </c>
      <c r="K499" s="6" t="s">
        <v>4790</v>
      </c>
      <c r="L499" s="2" t="s">
        <v>5857</v>
      </c>
      <c r="M499" s="2"/>
      <c r="N499" s="9" t="s">
        <v>5858</v>
      </c>
      <c r="O499" s="6" t="s">
        <v>84</v>
      </c>
      <c r="P499" s="6" t="s">
        <v>106</v>
      </c>
      <c r="Q499" s="6" t="s">
        <v>4988</v>
      </c>
      <c r="R499" s="6" t="s">
        <v>5802</v>
      </c>
    </row>
    <row r="500" customFormat="false" ht="23.85" hidden="false" customHeight="false" outlineLevel="0" collapsed="false">
      <c r="A500" s="6" t="s">
        <v>4986</v>
      </c>
      <c r="B500" s="6" t="s">
        <v>1175</v>
      </c>
      <c r="C500" s="6" t="s">
        <v>4848</v>
      </c>
      <c r="D500" s="6" t="s">
        <v>3902</v>
      </c>
      <c r="E500" s="6" t="s">
        <v>3902</v>
      </c>
      <c r="F500" s="6" t="s">
        <v>3890</v>
      </c>
      <c r="G500" s="6" t="s">
        <v>1127</v>
      </c>
      <c r="H500" s="6" t="s">
        <v>1445</v>
      </c>
      <c r="I500" s="6" t="s">
        <v>4680</v>
      </c>
      <c r="J500" s="6" t="s">
        <v>281</v>
      </c>
      <c r="K500" s="6" t="s">
        <v>4675</v>
      </c>
      <c r="L500" s="2" t="s">
        <v>3905</v>
      </c>
      <c r="M500" s="2" t="s">
        <v>3904</v>
      </c>
      <c r="N500" s="9" t="s">
        <v>3906</v>
      </c>
      <c r="O500" s="6" t="s">
        <v>281</v>
      </c>
      <c r="P500" s="6" t="s">
        <v>85</v>
      </c>
      <c r="Q500" s="6" t="s">
        <v>4986</v>
      </c>
      <c r="R500" s="6" t="s">
        <v>5802</v>
      </c>
    </row>
    <row r="501" customFormat="false" ht="15" hidden="false" customHeight="false" outlineLevel="0" collapsed="false">
      <c r="A501" s="6" t="s">
        <v>4986</v>
      </c>
      <c r="B501" s="6" t="s">
        <v>1175</v>
      </c>
      <c r="C501" s="6" t="s">
        <v>4848</v>
      </c>
      <c r="D501" s="6" t="s">
        <v>2693</v>
      </c>
      <c r="E501" s="6" t="s">
        <v>2693</v>
      </c>
      <c r="F501" s="6" t="s">
        <v>2694</v>
      </c>
      <c r="G501" s="6" t="s">
        <v>153</v>
      </c>
      <c r="H501" s="6" t="s">
        <v>1445</v>
      </c>
      <c r="I501" s="6" t="s">
        <v>4684</v>
      </c>
      <c r="J501" s="6" t="s">
        <v>642</v>
      </c>
      <c r="K501" s="6" t="s">
        <v>4790</v>
      </c>
      <c r="L501" s="2" t="s">
        <v>5859</v>
      </c>
      <c r="M501" s="2"/>
      <c r="N501" s="9" t="s">
        <v>2698</v>
      </c>
      <c r="O501" s="6" t="s">
        <v>642</v>
      </c>
      <c r="P501" s="6" t="s">
        <v>85</v>
      </c>
      <c r="Q501" s="6" t="s">
        <v>4986</v>
      </c>
      <c r="R501" s="6" t="s">
        <v>5802</v>
      </c>
    </row>
    <row r="502" customFormat="false" ht="15" hidden="false" customHeight="false" outlineLevel="0" collapsed="false">
      <c r="A502" s="6" t="s">
        <v>4986</v>
      </c>
      <c r="B502" s="6" t="s">
        <v>1175</v>
      </c>
      <c r="C502" s="6" t="s">
        <v>4848</v>
      </c>
      <c r="D502" s="6" t="s">
        <v>4198</v>
      </c>
      <c r="E502" s="6" t="s">
        <v>4198</v>
      </c>
      <c r="F502" s="6" t="s">
        <v>3793</v>
      </c>
      <c r="G502" s="6" t="s">
        <v>1598</v>
      </c>
      <c r="H502" s="6" t="s">
        <v>1445</v>
      </c>
      <c r="I502" s="6" t="s">
        <v>4684</v>
      </c>
      <c r="J502" s="6" t="s">
        <v>5365</v>
      </c>
      <c r="K502" s="6" t="s">
        <v>4790</v>
      </c>
      <c r="L502" s="2" t="s">
        <v>4199</v>
      </c>
      <c r="M502" s="2" t="s">
        <v>3794</v>
      </c>
      <c r="N502" s="9" t="s">
        <v>4200</v>
      </c>
      <c r="O502" s="6" t="s">
        <v>461</v>
      </c>
      <c r="P502" s="6" t="s">
        <v>106</v>
      </c>
      <c r="Q502" s="6" t="s">
        <v>4986</v>
      </c>
      <c r="R502" s="6" t="s">
        <v>5802</v>
      </c>
    </row>
    <row r="503" customFormat="false" ht="23.85" hidden="false" customHeight="false" outlineLevel="0" collapsed="false">
      <c r="A503" s="6" t="s">
        <v>4986</v>
      </c>
      <c r="B503" s="6" t="s">
        <v>1175</v>
      </c>
      <c r="C503" s="6" t="s">
        <v>4848</v>
      </c>
      <c r="D503" s="6" t="s">
        <v>3701</v>
      </c>
      <c r="E503" s="6" t="s">
        <v>3701</v>
      </c>
      <c r="F503" s="6" t="s">
        <v>674</v>
      </c>
      <c r="G503" s="6" t="s">
        <v>182</v>
      </c>
      <c r="H503" s="6" t="s">
        <v>1445</v>
      </c>
      <c r="I503" s="6" t="s">
        <v>4680</v>
      </c>
      <c r="J503" s="6" t="s">
        <v>2000</v>
      </c>
      <c r="K503" s="6" t="s">
        <v>4790</v>
      </c>
      <c r="L503" s="2" t="s">
        <v>3704</v>
      </c>
      <c r="M503" s="2" t="s">
        <v>5860</v>
      </c>
      <c r="N503" s="9" t="s">
        <v>3705</v>
      </c>
      <c r="O503" s="6" t="s">
        <v>1455</v>
      </c>
      <c r="P503" s="6" t="s">
        <v>85</v>
      </c>
      <c r="Q503" s="6" t="s">
        <v>4988</v>
      </c>
      <c r="R503" s="6" t="s">
        <v>5368</v>
      </c>
    </row>
    <row r="504" customFormat="false" ht="15" hidden="false" customHeight="false" outlineLevel="0" collapsed="false">
      <c r="A504" s="6" t="s">
        <v>4986</v>
      </c>
      <c r="B504" s="6" t="s">
        <v>1175</v>
      </c>
      <c r="C504" s="6" t="s">
        <v>4848</v>
      </c>
      <c r="D504" s="6" t="s">
        <v>3701</v>
      </c>
      <c r="E504" s="6" t="s">
        <v>3701</v>
      </c>
      <c r="F504" s="6" t="s">
        <v>674</v>
      </c>
      <c r="G504" s="6" t="s">
        <v>182</v>
      </c>
      <c r="H504" s="6" t="s">
        <v>1445</v>
      </c>
      <c r="I504" s="6" t="s">
        <v>4684</v>
      </c>
      <c r="J504" s="6" t="s">
        <v>5365</v>
      </c>
      <c r="K504" s="6" t="s">
        <v>4679</v>
      </c>
      <c r="L504" s="2" t="s">
        <v>5861</v>
      </c>
      <c r="M504" s="2" t="s">
        <v>5862</v>
      </c>
      <c r="N504" s="9" t="s">
        <v>3706</v>
      </c>
      <c r="O504" s="6" t="s">
        <v>1455</v>
      </c>
      <c r="P504" s="6" t="s">
        <v>106</v>
      </c>
      <c r="Q504" s="6" t="s">
        <v>4988</v>
      </c>
      <c r="R504" s="6" t="s">
        <v>5802</v>
      </c>
    </row>
    <row r="505" customFormat="false" ht="15" hidden="false" customHeight="false" outlineLevel="0" collapsed="false">
      <c r="A505" s="6" t="s">
        <v>4986</v>
      </c>
      <c r="B505" s="6" t="s">
        <v>1175</v>
      </c>
      <c r="C505" s="6" t="s">
        <v>4848</v>
      </c>
      <c r="D505" s="6" t="s">
        <v>4342</v>
      </c>
      <c r="E505" s="6" t="s">
        <v>4342</v>
      </c>
      <c r="F505" s="6" t="s">
        <v>3793</v>
      </c>
      <c r="G505" s="6" t="s">
        <v>2312</v>
      </c>
      <c r="H505" s="6" t="s">
        <v>1445</v>
      </c>
      <c r="I505" s="6" t="s">
        <v>4684</v>
      </c>
      <c r="J505" s="6" t="s">
        <v>5365</v>
      </c>
      <c r="K505" s="6" t="s">
        <v>4790</v>
      </c>
      <c r="L505" s="2" t="s">
        <v>4343</v>
      </c>
      <c r="M505" s="2" t="s">
        <v>3794</v>
      </c>
      <c r="N505" s="9" t="s">
        <v>4344</v>
      </c>
      <c r="O505" s="6" t="s">
        <v>1455</v>
      </c>
      <c r="P505" s="6" t="s">
        <v>106</v>
      </c>
      <c r="Q505" s="6" t="s">
        <v>4988</v>
      </c>
      <c r="R505" s="6" t="s">
        <v>5802</v>
      </c>
    </row>
    <row r="506" customFormat="false" ht="23.85" hidden="false" customHeight="false" outlineLevel="0" collapsed="false">
      <c r="A506" s="6" t="s">
        <v>4986</v>
      </c>
      <c r="B506" s="6" t="s">
        <v>1175</v>
      </c>
      <c r="C506" s="6" t="s">
        <v>4848</v>
      </c>
      <c r="D506" s="6" t="s">
        <v>4345</v>
      </c>
      <c r="E506" s="6" t="s">
        <v>4345</v>
      </c>
      <c r="F506" s="6" t="s">
        <v>3793</v>
      </c>
      <c r="G506" s="6" t="s">
        <v>1598</v>
      </c>
      <c r="H506" s="6" t="s">
        <v>1445</v>
      </c>
      <c r="I506" s="6" t="s">
        <v>4684</v>
      </c>
      <c r="J506" s="6" t="s">
        <v>5365</v>
      </c>
      <c r="K506" s="6" t="s">
        <v>4790</v>
      </c>
      <c r="L506" s="2" t="s">
        <v>4346</v>
      </c>
      <c r="M506" s="2" t="s">
        <v>3794</v>
      </c>
      <c r="N506" s="9" t="s">
        <v>4347</v>
      </c>
      <c r="O506" s="6" t="s">
        <v>967</v>
      </c>
      <c r="P506" s="6" t="s">
        <v>106</v>
      </c>
      <c r="Q506" s="6" t="s">
        <v>4986</v>
      </c>
      <c r="R506" s="6" t="s">
        <v>5802</v>
      </c>
    </row>
    <row r="507" customFormat="false" ht="23.85" hidden="false" customHeight="false" outlineLevel="0" collapsed="false">
      <c r="A507" s="6" t="s">
        <v>4986</v>
      </c>
      <c r="B507" s="6" t="s">
        <v>1175</v>
      </c>
      <c r="C507" s="6" t="s">
        <v>4848</v>
      </c>
      <c r="D507" s="6" t="s">
        <v>3939</v>
      </c>
      <c r="E507" s="6" t="s">
        <v>3939</v>
      </c>
      <c r="F507" s="6" t="s">
        <v>3940</v>
      </c>
      <c r="G507" s="6" t="s">
        <v>507</v>
      </c>
      <c r="H507" s="6" t="s">
        <v>1445</v>
      </c>
      <c r="I507" s="6" t="s">
        <v>4684</v>
      </c>
      <c r="J507" s="6" t="s">
        <v>5365</v>
      </c>
      <c r="K507" s="6" t="s">
        <v>4790</v>
      </c>
      <c r="L507" s="2" t="s">
        <v>3942</v>
      </c>
      <c r="M507" s="2" t="s">
        <v>3941</v>
      </c>
      <c r="N507" s="9" t="s">
        <v>3943</v>
      </c>
      <c r="O507" s="6" t="s">
        <v>448</v>
      </c>
      <c r="P507" s="6" t="s">
        <v>106</v>
      </c>
      <c r="Q507" s="6" t="s">
        <v>4988</v>
      </c>
      <c r="R507" s="6" t="s">
        <v>5802</v>
      </c>
    </row>
    <row r="508" customFormat="false" ht="15" hidden="false" customHeight="false" outlineLevel="0" collapsed="false">
      <c r="A508" s="6" t="s">
        <v>4986</v>
      </c>
      <c r="B508" s="6" t="s">
        <v>1175</v>
      </c>
      <c r="C508" s="6" t="s">
        <v>4848</v>
      </c>
      <c r="D508" s="6" t="s">
        <v>3478</v>
      </c>
      <c r="E508" s="6" t="s">
        <v>3478</v>
      </c>
      <c r="F508" s="6" t="s">
        <v>5863</v>
      </c>
      <c r="G508" s="6" t="s">
        <v>1644</v>
      </c>
      <c r="H508" s="6" t="s">
        <v>1445</v>
      </c>
      <c r="I508" s="6" t="s">
        <v>4684</v>
      </c>
      <c r="J508" s="6" t="s">
        <v>5365</v>
      </c>
      <c r="K508" s="6" t="s">
        <v>4790</v>
      </c>
      <c r="L508" s="2" t="s">
        <v>5864</v>
      </c>
      <c r="M508" s="2"/>
      <c r="N508" s="9" t="s">
        <v>5865</v>
      </c>
      <c r="O508" s="6" t="s">
        <v>150</v>
      </c>
      <c r="P508" s="6" t="s">
        <v>106</v>
      </c>
      <c r="Q508" s="6" t="s">
        <v>4986</v>
      </c>
      <c r="R508" s="6" t="s">
        <v>5802</v>
      </c>
    </row>
    <row r="509" customFormat="false" ht="15" hidden="false" customHeight="false" outlineLevel="0" collapsed="false">
      <c r="A509" s="6" t="s">
        <v>4986</v>
      </c>
      <c r="B509" s="6" t="s">
        <v>1175</v>
      </c>
      <c r="C509" s="6" t="s">
        <v>4848</v>
      </c>
      <c r="D509" s="6" t="s">
        <v>4014</v>
      </c>
      <c r="E509" s="6" t="s">
        <v>4014</v>
      </c>
      <c r="F509" s="6" t="s">
        <v>4015</v>
      </c>
      <c r="G509" s="6" t="s">
        <v>507</v>
      </c>
      <c r="H509" s="6" t="s">
        <v>1445</v>
      </c>
      <c r="I509" s="6" t="s">
        <v>4684</v>
      </c>
      <c r="J509" s="6" t="s">
        <v>5365</v>
      </c>
      <c r="K509" s="6" t="s">
        <v>4790</v>
      </c>
      <c r="L509" s="2" t="s">
        <v>4017</v>
      </c>
      <c r="M509" s="2" t="s">
        <v>4016</v>
      </c>
      <c r="N509" s="9" t="s">
        <v>4018</v>
      </c>
      <c r="O509" s="6" t="s">
        <v>389</v>
      </c>
      <c r="P509" s="6" t="s">
        <v>106</v>
      </c>
      <c r="Q509" s="6" t="s">
        <v>4986</v>
      </c>
      <c r="R509" s="6" t="s">
        <v>5802</v>
      </c>
    </row>
    <row r="510" customFormat="false" ht="15" hidden="false" customHeight="false" outlineLevel="0" collapsed="false">
      <c r="A510" s="6" t="s">
        <v>4986</v>
      </c>
      <c r="B510" s="6" t="s">
        <v>1175</v>
      </c>
      <c r="C510" s="6" t="s">
        <v>4848</v>
      </c>
      <c r="D510" s="6" t="s">
        <v>4578</v>
      </c>
      <c r="E510" s="6" t="s">
        <v>4578</v>
      </c>
      <c r="F510" s="6" t="s">
        <v>3793</v>
      </c>
      <c r="G510" s="6" t="s">
        <v>1598</v>
      </c>
      <c r="H510" s="6" t="s">
        <v>1445</v>
      </c>
      <c r="I510" s="6" t="s">
        <v>4684</v>
      </c>
      <c r="J510" s="6" t="s">
        <v>5365</v>
      </c>
      <c r="K510" s="6" t="s">
        <v>4790</v>
      </c>
      <c r="L510" s="2" t="s">
        <v>4579</v>
      </c>
      <c r="M510" s="2" t="s">
        <v>3794</v>
      </c>
      <c r="N510" s="9" t="s">
        <v>4580</v>
      </c>
      <c r="O510" s="6" t="s">
        <v>655</v>
      </c>
      <c r="P510" s="6" t="s">
        <v>106</v>
      </c>
      <c r="Q510" s="6" t="s">
        <v>4988</v>
      </c>
      <c r="R510" s="6" t="s">
        <v>5802</v>
      </c>
    </row>
    <row r="511" customFormat="false" ht="15" hidden="false" customHeight="false" outlineLevel="0" collapsed="false">
      <c r="A511" s="6" t="s">
        <v>4986</v>
      </c>
      <c r="B511" s="6" t="s">
        <v>1175</v>
      </c>
      <c r="C511" s="6" t="s">
        <v>4848</v>
      </c>
      <c r="D511" s="6" t="s">
        <v>3792</v>
      </c>
      <c r="E511" s="6" t="s">
        <v>3792</v>
      </c>
      <c r="F511" s="6" t="s">
        <v>3793</v>
      </c>
      <c r="G511" s="6" t="s">
        <v>182</v>
      </c>
      <c r="H511" s="6" t="s">
        <v>1445</v>
      </c>
      <c r="I511" s="6" t="s">
        <v>4684</v>
      </c>
      <c r="J511" s="6" t="s">
        <v>5365</v>
      </c>
      <c r="K511" s="6" t="s">
        <v>4790</v>
      </c>
      <c r="L511" s="2" t="s">
        <v>3795</v>
      </c>
      <c r="M511" s="2" t="s">
        <v>3794</v>
      </c>
      <c r="N511" s="9" t="s">
        <v>3796</v>
      </c>
      <c r="O511" s="6" t="s">
        <v>511</v>
      </c>
      <c r="P511" s="6" t="s">
        <v>106</v>
      </c>
      <c r="Q511" s="6" t="s">
        <v>4988</v>
      </c>
      <c r="R511" s="6" t="s">
        <v>5802</v>
      </c>
    </row>
    <row r="512" customFormat="false" ht="23.85" hidden="false" customHeight="false" outlineLevel="0" collapsed="false">
      <c r="A512" s="6" t="s">
        <v>4723</v>
      </c>
      <c r="B512" s="6" t="s">
        <v>1175</v>
      </c>
      <c r="C512" s="6" t="s">
        <v>4697</v>
      </c>
      <c r="D512" s="6" t="s">
        <v>2046</v>
      </c>
      <c r="E512" s="6" t="s">
        <v>2046</v>
      </c>
      <c r="F512" s="6" t="s">
        <v>2047</v>
      </c>
      <c r="G512" s="6" t="s">
        <v>76</v>
      </c>
      <c r="H512" s="6" t="s">
        <v>287</v>
      </c>
      <c r="I512" s="6" t="s">
        <v>4697</v>
      </c>
      <c r="J512" s="6" t="s">
        <v>5477</v>
      </c>
      <c r="K512" s="6" t="s">
        <v>4790</v>
      </c>
      <c r="L512" s="2" t="s">
        <v>2050</v>
      </c>
      <c r="M512" s="2" t="s">
        <v>2049</v>
      </c>
      <c r="N512" s="9" t="s">
        <v>2051</v>
      </c>
      <c r="O512" s="6" t="s">
        <v>389</v>
      </c>
      <c r="P512" s="6" t="s">
        <v>85</v>
      </c>
      <c r="Q512" s="6" t="s">
        <v>5866</v>
      </c>
      <c r="R512" s="6" t="s">
        <v>5368</v>
      </c>
    </row>
    <row r="513" customFormat="false" ht="15" hidden="false" customHeight="false" outlineLevel="0" collapsed="false">
      <c r="A513" s="6" t="s">
        <v>4723</v>
      </c>
      <c r="B513" s="6" t="s">
        <v>1175</v>
      </c>
      <c r="C513" s="6" t="s">
        <v>4697</v>
      </c>
      <c r="D513" s="6" t="s">
        <v>4613</v>
      </c>
      <c r="E513" s="6" t="s">
        <v>4613</v>
      </c>
      <c r="F513" s="6" t="s">
        <v>4613</v>
      </c>
      <c r="G513" s="6" t="s">
        <v>2284</v>
      </c>
      <c r="H513" s="6" t="s">
        <v>1445</v>
      </c>
      <c r="I513" s="6" t="s">
        <v>4697</v>
      </c>
      <c r="J513" s="6" t="s">
        <v>281</v>
      </c>
      <c r="K513" s="6" t="s">
        <v>4675</v>
      </c>
      <c r="L513" s="2" t="s">
        <v>4616</v>
      </c>
      <c r="M513" s="2" t="s">
        <v>4811</v>
      </c>
      <c r="N513" s="9" t="s">
        <v>4617</v>
      </c>
      <c r="O513" s="6" t="s">
        <v>281</v>
      </c>
      <c r="P513" s="6" t="s">
        <v>85</v>
      </c>
      <c r="Q513" s="6" t="s">
        <v>5867</v>
      </c>
      <c r="R513" s="6" t="s">
        <v>5433</v>
      </c>
    </row>
    <row r="514" customFormat="false" ht="15" hidden="false" customHeight="false" outlineLevel="0" collapsed="false">
      <c r="A514" s="6" t="s">
        <v>4723</v>
      </c>
      <c r="B514" s="6" t="s">
        <v>1175</v>
      </c>
      <c r="C514" s="6" t="s">
        <v>4697</v>
      </c>
      <c r="D514" s="6" t="s">
        <v>3964</v>
      </c>
      <c r="E514" s="6" t="s">
        <v>3964</v>
      </c>
      <c r="F514" s="6" t="s">
        <v>3965</v>
      </c>
      <c r="G514" s="6" t="s">
        <v>507</v>
      </c>
      <c r="H514" s="6" t="s">
        <v>1445</v>
      </c>
      <c r="I514" s="6" t="s">
        <v>4697</v>
      </c>
      <c r="J514" s="6" t="s">
        <v>160</v>
      </c>
      <c r="K514" s="6" t="s">
        <v>4675</v>
      </c>
      <c r="L514" s="2" t="s">
        <v>3968</v>
      </c>
      <c r="M514" s="2" t="s">
        <v>3967</v>
      </c>
      <c r="N514" s="9" t="s">
        <v>3969</v>
      </c>
      <c r="O514" s="6" t="s">
        <v>160</v>
      </c>
      <c r="P514" s="6" t="s">
        <v>85</v>
      </c>
      <c r="Q514" s="6" t="s">
        <v>5867</v>
      </c>
      <c r="R514" s="6" t="s">
        <v>5433</v>
      </c>
    </row>
    <row r="515" customFormat="false" ht="23.85" hidden="false" customHeight="false" outlineLevel="0" collapsed="false">
      <c r="A515" s="6" t="s">
        <v>4989</v>
      </c>
      <c r="B515" s="6" t="s">
        <v>1175</v>
      </c>
      <c r="C515" s="6" t="s">
        <v>4682</v>
      </c>
      <c r="D515" s="6" t="s">
        <v>1457</v>
      </c>
      <c r="E515" s="6" t="s">
        <v>1457</v>
      </c>
      <c r="F515" s="6" t="s">
        <v>1458</v>
      </c>
      <c r="G515" s="6" t="s">
        <v>1215</v>
      </c>
      <c r="H515" s="6" t="s">
        <v>77</v>
      </c>
      <c r="I515" s="6" t="s">
        <v>4682</v>
      </c>
      <c r="J515" s="6" t="s">
        <v>873</v>
      </c>
      <c r="K515" s="6" t="s">
        <v>4679</v>
      </c>
      <c r="L515" s="2" t="s">
        <v>1460</v>
      </c>
      <c r="M515" s="2" t="s">
        <v>1459</v>
      </c>
      <c r="N515" s="9" t="s">
        <v>1461</v>
      </c>
      <c r="O515" s="6" t="s">
        <v>873</v>
      </c>
      <c r="P515" s="6" t="s">
        <v>106</v>
      </c>
      <c r="Q515" s="6" t="s">
        <v>4989</v>
      </c>
      <c r="R515" s="6" t="s">
        <v>5802</v>
      </c>
    </row>
    <row r="516" customFormat="false" ht="23.85" hidden="false" customHeight="false" outlineLevel="0" collapsed="false">
      <c r="A516" s="6" t="s">
        <v>4989</v>
      </c>
      <c r="B516" s="6" t="s">
        <v>1175</v>
      </c>
      <c r="C516" s="6" t="s">
        <v>4682</v>
      </c>
      <c r="D516" s="6" t="s">
        <v>1172</v>
      </c>
      <c r="E516" s="6" t="s">
        <v>1172</v>
      </c>
      <c r="F516" s="6" t="s">
        <v>1173</v>
      </c>
      <c r="G516" s="6" t="s">
        <v>182</v>
      </c>
      <c r="H516" s="6" t="s">
        <v>287</v>
      </c>
      <c r="I516" s="6" t="s">
        <v>4682</v>
      </c>
      <c r="J516" s="6" t="s">
        <v>1178</v>
      </c>
      <c r="K516" s="6" t="s">
        <v>4679</v>
      </c>
      <c r="L516" s="2" t="s">
        <v>1177</v>
      </c>
      <c r="M516" s="2" t="s">
        <v>1176</v>
      </c>
      <c r="N516" s="9" t="s">
        <v>1179</v>
      </c>
      <c r="O516" s="6" t="s">
        <v>1178</v>
      </c>
      <c r="P516" s="6" t="s">
        <v>106</v>
      </c>
      <c r="Q516" s="6" t="s">
        <v>4989</v>
      </c>
      <c r="R516" s="6" t="s">
        <v>5802</v>
      </c>
    </row>
    <row r="517" customFormat="false" ht="23.85" hidden="false" customHeight="false" outlineLevel="0" collapsed="false">
      <c r="A517" s="6" t="s">
        <v>4989</v>
      </c>
      <c r="B517" s="6" t="s">
        <v>1175</v>
      </c>
      <c r="C517" s="6" t="s">
        <v>4682</v>
      </c>
      <c r="D517" s="6" t="s">
        <v>3810</v>
      </c>
      <c r="E517" s="6" t="s">
        <v>3810</v>
      </c>
      <c r="F517" s="6" t="s">
        <v>3811</v>
      </c>
      <c r="G517" s="6" t="s">
        <v>2284</v>
      </c>
      <c r="H517" s="6" t="s">
        <v>287</v>
      </c>
      <c r="I517" s="6" t="s">
        <v>4682</v>
      </c>
      <c r="J517" s="6" t="s">
        <v>1943</v>
      </c>
      <c r="K517" s="6" t="s">
        <v>4790</v>
      </c>
      <c r="L517" s="2" t="s">
        <v>3813</v>
      </c>
      <c r="M517" s="2"/>
      <c r="N517" s="9" t="s">
        <v>3814</v>
      </c>
      <c r="O517" s="6" t="s">
        <v>1943</v>
      </c>
      <c r="P517" s="6" t="s">
        <v>85</v>
      </c>
      <c r="Q517" s="6" t="s">
        <v>4989</v>
      </c>
      <c r="R517" s="6" t="s">
        <v>5802</v>
      </c>
    </row>
    <row r="518" customFormat="false" ht="15" hidden="false" customHeight="false" outlineLevel="0" collapsed="false">
      <c r="A518" s="6" t="s">
        <v>4989</v>
      </c>
      <c r="B518" s="6" t="s">
        <v>1175</v>
      </c>
      <c r="C518" s="6" t="s">
        <v>4682</v>
      </c>
      <c r="D518" s="6" t="s">
        <v>1359</v>
      </c>
      <c r="E518" s="6" t="s">
        <v>1359</v>
      </c>
      <c r="F518" s="6" t="s">
        <v>5868</v>
      </c>
      <c r="G518" s="6" t="s">
        <v>76</v>
      </c>
      <c r="H518" s="6" t="s">
        <v>287</v>
      </c>
      <c r="I518" s="6" t="s">
        <v>4682</v>
      </c>
      <c r="J518" s="6" t="s">
        <v>661</v>
      </c>
      <c r="K518" s="6" t="s">
        <v>4679</v>
      </c>
      <c r="L518" s="2" t="s">
        <v>5869</v>
      </c>
      <c r="M518" s="2" t="s">
        <v>5870</v>
      </c>
      <c r="N518" s="9" t="s">
        <v>1365</v>
      </c>
      <c r="O518" s="6" t="s">
        <v>661</v>
      </c>
      <c r="P518" s="6" t="s">
        <v>106</v>
      </c>
      <c r="Q518" s="6" t="s">
        <v>4989</v>
      </c>
      <c r="R518" s="6" t="s">
        <v>5802</v>
      </c>
    </row>
    <row r="519" customFormat="false" ht="23.85" hidden="false" customHeight="false" outlineLevel="0" collapsed="false">
      <c r="A519" s="6" t="s">
        <v>5005</v>
      </c>
      <c r="B519" s="6" t="s">
        <v>374</v>
      </c>
      <c r="C519" s="6" t="s">
        <v>4848</v>
      </c>
      <c r="D519" s="6" t="s">
        <v>3441</v>
      </c>
      <c r="E519" s="6" t="s">
        <v>5871</v>
      </c>
      <c r="F519" s="6" t="s">
        <v>3442</v>
      </c>
      <c r="G519" s="6" t="s">
        <v>1583</v>
      </c>
      <c r="H519" s="6" t="s">
        <v>287</v>
      </c>
      <c r="I519" s="6" t="s">
        <v>4684</v>
      </c>
      <c r="J519" s="6" t="s">
        <v>5365</v>
      </c>
      <c r="K519" s="6" t="s">
        <v>4790</v>
      </c>
      <c r="L519" s="2" t="s">
        <v>3446</v>
      </c>
      <c r="M519" s="2" t="s">
        <v>5872</v>
      </c>
      <c r="N519" s="9" t="s">
        <v>5873</v>
      </c>
      <c r="O519" s="6" t="s">
        <v>130</v>
      </c>
      <c r="P519" s="6" t="s">
        <v>85</v>
      </c>
      <c r="Q519" s="6" t="s">
        <v>5005</v>
      </c>
      <c r="R519" s="6" t="s">
        <v>5802</v>
      </c>
    </row>
    <row r="520" customFormat="false" ht="23.85" hidden="false" customHeight="false" outlineLevel="0" collapsed="false">
      <c r="A520" s="6" t="s">
        <v>5005</v>
      </c>
      <c r="B520" s="6" t="s">
        <v>374</v>
      </c>
      <c r="C520" s="6" t="s">
        <v>4697</v>
      </c>
      <c r="D520" s="6" t="s">
        <v>3441</v>
      </c>
      <c r="E520" s="6" t="s">
        <v>3441</v>
      </c>
      <c r="F520" s="6" t="s">
        <v>3442</v>
      </c>
      <c r="G520" s="6" t="s">
        <v>1583</v>
      </c>
      <c r="H520" s="6" t="s">
        <v>287</v>
      </c>
      <c r="I520" s="6" t="s">
        <v>4697</v>
      </c>
      <c r="J520" s="6" t="s">
        <v>178</v>
      </c>
      <c r="K520" s="6" t="s">
        <v>4675</v>
      </c>
      <c r="L520" s="2" t="s">
        <v>5874</v>
      </c>
      <c r="M520" s="2" t="s">
        <v>5875</v>
      </c>
      <c r="N520" s="9" t="s">
        <v>3447</v>
      </c>
      <c r="O520" s="6" t="s">
        <v>178</v>
      </c>
      <c r="P520" s="6" t="s">
        <v>85</v>
      </c>
      <c r="Q520" s="6" t="s">
        <v>5005</v>
      </c>
      <c r="R520" s="6" t="s">
        <v>5802</v>
      </c>
    </row>
    <row r="521" customFormat="false" ht="46.25" hidden="false" customHeight="false" outlineLevel="0" collapsed="false">
      <c r="A521" s="6" t="s">
        <v>4997</v>
      </c>
      <c r="B521" s="6" t="s">
        <v>374</v>
      </c>
      <c r="C521" s="6" t="s">
        <v>4848</v>
      </c>
      <c r="D521" s="6" t="s">
        <v>685</v>
      </c>
      <c r="E521" s="6" t="s">
        <v>685</v>
      </c>
      <c r="F521" s="6" t="s">
        <v>5876</v>
      </c>
      <c r="G521" s="6" t="s">
        <v>153</v>
      </c>
      <c r="H521" s="6" t="s">
        <v>287</v>
      </c>
      <c r="I521" s="6" t="s">
        <v>4684</v>
      </c>
      <c r="J521" s="6" t="s">
        <v>5365</v>
      </c>
      <c r="K521" s="6" t="s">
        <v>4679</v>
      </c>
      <c r="L521" s="2" t="s">
        <v>5877</v>
      </c>
      <c r="M521" s="2" t="s">
        <v>5878</v>
      </c>
      <c r="N521" s="9" t="s">
        <v>5879</v>
      </c>
      <c r="O521" s="6" t="s">
        <v>1943</v>
      </c>
      <c r="P521" s="6" t="s">
        <v>106</v>
      </c>
      <c r="Q521" s="6" t="s">
        <v>5000</v>
      </c>
      <c r="R521" s="6" t="s">
        <v>5357</v>
      </c>
    </row>
    <row r="522" customFormat="false" ht="35.05" hidden="false" customHeight="false" outlineLevel="0" collapsed="false">
      <c r="A522" s="6" t="s">
        <v>4997</v>
      </c>
      <c r="B522" s="6" t="s">
        <v>374</v>
      </c>
      <c r="C522" s="6" t="s">
        <v>4848</v>
      </c>
      <c r="D522" s="6" t="s">
        <v>1752</v>
      </c>
      <c r="E522" s="6" t="s">
        <v>1752</v>
      </c>
      <c r="F522" s="6" t="s">
        <v>1753</v>
      </c>
      <c r="G522" s="6" t="s">
        <v>507</v>
      </c>
      <c r="H522" s="6" t="s">
        <v>287</v>
      </c>
      <c r="I522" s="6" t="s">
        <v>4680</v>
      </c>
      <c r="J522" s="6" t="s">
        <v>504</v>
      </c>
      <c r="K522" s="6" t="s">
        <v>4675</v>
      </c>
      <c r="L522" s="2" t="s">
        <v>1756</v>
      </c>
      <c r="M522" s="2" t="s">
        <v>1755</v>
      </c>
      <c r="N522" s="9" t="s">
        <v>1757</v>
      </c>
      <c r="O522" s="6" t="s">
        <v>504</v>
      </c>
      <c r="P522" s="6" t="s">
        <v>85</v>
      </c>
      <c r="Q522" s="6" t="s">
        <v>5000</v>
      </c>
      <c r="R522" s="6" t="s">
        <v>5357</v>
      </c>
    </row>
    <row r="523" customFormat="false" ht="23.85" hidden="false" customHeight="false" outlineLevel="0" collapsed="false">
      <c r="A523" s="6" t="s">
        <v>4997</v>
      </c>
      <c r="B523" s="6" t="s">
        <v>374</v>
      </c>
      <c r="C523" s="6" t="s">
        <v>4848</v>
      </c>
      <c r="D523" s="6" t="s">
        <v>1824</v>
      </c>
      <c r="E523" s="6" t="s">
        <v>5880</v>
      </c>
      <c r="F523" s="6" t="s">
        <v>1824</v>
      </c>
      <c r="G523" s="6" t="s">
        <v>153</v>
      </c>
      <c r="H523" s="6" t="s">
        <v>1445</v>
      </c>
      <c r="I523" s="6" t="s">
        <v>4684</v>
      </c>
      <c r="J523" s="6" t="s">
        <v>5521</v>
      </c>
      <c r="K523" s="6" t="s">
        <v>4675</v>
      </c>
      <c r="L523" s="2" t="s">
        <v>5881</v>
      </c>
      <c r="M523" s="2" t="s">
        <v>3675</v>
      </c>
      <c r="N523" s="9" t="s">
        <v>3678</v>
      </c>
      <c r="O523" s="6" t="s">
        <v>97</v>
      </c>
      <c r="P523" s="6" t="s">
        <v>98</v>
      </c>
      <c r="Q523" s="6" t="s">
        <v>4997</v>
      </c>
      <c r="R523" s="6" t="s">
        <v>5802</v>
      </c>
    </row>
    <row r="524" customFormat="false" ht="23.85" hidden="false" customHeight="false" outlineLevel="0" collapsed="false">
      <c r="A524" s="6" t="s">
        <v>4997</v>
      </c>
      <c r="B524" s="6" t="s">
        <v>374</v>
      </c>
      <c r="C524" s="6" t="s">
        <v>4848</v>
      </c>
      <c r="D524" s="6" t="s">
        <v>3555</v>
      </c>
      <c r="E524" s="6" t="s">
        <v>3555</v>
      </c>
      <c r="F524" s="6" t="s">
        <v>3450</v>
      </c>
      <c r="G524" s="6" t="s">
        <v>1215</v>
      </c>
      <c r="H524" s="6" t="s">
        <v>1445</v>
      </c>
      <c r="I524" s="6" t="s">
        <v>4680</v>
      </c>
      <c r="J524" s="6" t="s">
        <v>1455</v>
      </c>
      <c r="K524" s="6" t="s">
        <v>4790</v>
      </c>
      <c r="L524" s="2" t="s">
        <v>3558</v>
      </c>
      <c r="M524" s="2"/>
      <c r="N524" s="9" t="s">
        <v>3559</v>
      </c>
      <c r="O524" s="6" t="s">
        <v>1455</v>
      </c>
      <c r="P524" s="6" t="s">
        <v>85</v>
      </c>
      <c r="Q524" s="6" t="s">
        <v>4997</v>
      </c>
      <c r="R524" s="6" t="s">
        <v>5802</v>
      </c>
    </row>
    <row r="525" customFormat="false" ht="68.65" hidden="false" customHeight="false" outlineLevel="0" collapsed="false">
      <c r="A525" s="6" t="s">
        <v>5001</v>
      </c>
      <c r="B525" s="6" t="s">
        <v>374</v>
      </c>
      <c r="C525" s="6" t="s">
        <v>5006</v>
      </c>
      <c r="D525" s="6" t="s">
        <v>2033</v>
      </c>
      <c r="E525" s="6" t="s">
        <v>2033</v>
      </c>
      <c r="F525" s="6" t="s">
        <v>2034</v>
      </c>
      <c r="G525" s="6" t="s">
        <v>90</v>
      </c>
      <c r="H525" s="6" t="s">
        <v>287</v>
      </c>
      <c r="I525" s="6" t="s">
        <v>4706</v>
      </c>
      <c r="J525" s="6" t="s">
        <v>281</v>
      </c>
      <c r="K525" s="6" t="s">
        <v>4675</v>
      </c>
      <c r="L525" s="2" t="s">
        <v>2038</v>
      </c>
      <c r="M525" s="2" t="s">
        <v>2037</v>
      </c>
      <c r="N525" s="9" t="s">
        <v>2039</v>
      </c>
      <c r="O525" s="6" t="s">
        <v>281</v>
      </c>
      <c r="P525" s="6" t="s">
        <v>85</v>
      </c>
      <c r="Q525" s="6" t="s">
        <v>5004</v>
      </c>
      <c r="R525" s="6" t="s">
        <v>5357</v>
      </c>
    </row>
    <row r="526" customFormat="false" ht="15" hidden="false" customHeight="false" outlineLevel="0" collapsed="false">
      <c r="A526" s="6" t="s">
        <v>5001</v>
      </c>
      <c r="B526" s="6" t="s">
        <v>374</v>
      </c>
      <c r="C526" s="6" t="s">
        <v>4870</v>
      </c>
      <c r="D526" s="6" t="s">
        <v>1855</v>
      </c>
      <c r="E526" s="6" t="s">
        <v>1855</v>
      </c>
      <c r="F526" s="6" t="s">
        <v>1856</v>
      </c>
      <c r="G526" s="6" t="s">
        <v>153</v>
      </c>
      <c r="H526" s="6" t="s">
        <v>287</v>
      </c>
      <c r="I526" s="6" t="s">
        <v>4676</v>
      </c>
      <c r="J526" s="6" t="s">
        <v>5882</v>
      </c>
      <c r="K526" s="6" t="s">
        <v>4790</v>
      </c>
      <c r="L526" s="2" t="s">
        <v>1859</v>
      </c>
      <c r="M526" s="2" t="s">
        <v>1858</v>
      </c>
      <c r="N526" s="9" t="s">
        <v>1860</v>
      </c>
      <c r="O526" s="6" t="s">
        <v>411</v>
      </c>
      <c r="P526" s="6" t="s">
        <v>85</v>
      </c>
      <c r="Q526" s="6" t="s">
        <v>5004</v>
      </c>
      <c r="R526" s="6" t="s">
        <v>5802</v>
      </c>
    </row>
    <row r="527" customFormat="false" ht="15" hidden="false" customHeight="false" outlineLevel="0" collapsed="false">
      <c r="A527" s="6" t="s">
        <v>5001</v>
      </c>
      <c r="B527" s="6" t="s">
        <v>374</v>
      </c>
      <c r="C527" s="6" t="s">
        <v>4870</v>
      </c>
      <c r="D527" s="6" t="s">
        <v>4149</v>
      </c>
      <c r="E527" s="6" t="s">
        <v>5883</v>
      </c>
      <c r="F527" s="6" t="s">
        <v>4150</v>
      </c>
      <c r="G527" s="6" t="s">
        <v>1598</v>
      </c>
      <c r="H527" s="6" t="s">
        <v>1445</v>
      </c>
      <c r="I527" s="6" t="s">
        <v>4676</v>
      </c>
      <c r="J527" s="6" t="s">
        <v>511</v>
      </c>
      <c r="K527" s="6" t="s">
        <v>4790</v>
      </c>
      <c r="L527" s="2" t="s">
        <v>5884</v>
      </c>
      <c r="M527" s="2"/>
      <c r="N527" s="9" t="s">
        <v>4153</v>
      </c>
      <c r="O527" s="6" t="s">
        <v>511</v>
      </c>
      <c r="P527" s="6" t="s">
        <v>85</v>
      </c>
      <c r="Q527" s="6" t="s">
        <v>5004</v>
      </c>
      <c r="R527" s="6" t="s">
        <v>5802</v>
      </c>
    </row>
    <row r="528" customFormat="false" ht="15" hidden="false" customHeight="false" outlineLevel="0" collapsed="false">
      <c r="A528" s="6" t="s">
        <v>5001</v>
      </c>
      <c r="B528" s="6" t="s">
        <v>374</v>
      </c>
      <c r="C528" s="6" t="s">
        <v>4870</v>
      </c>
      <c r="D528" s="6" t="s">
        <v>3854</v>
      </c>
      <c r="E528" s="6" t="s">
        <v>3854</v>
      </c>
      <c r="F528" s="6" t="s">
        <v>3843</v>
      </c>
      <c r="G528" s="6" t="s">
        <v>1598</v>
      </c>
      <c r="H528" s="6" t="s">
        <v>1445</v>
      </c>
      <c r="I528" s="6" t="s">
        <v>4706</v>
      </c>
      <c r="J528" s="6" t="s">
        <v>332</v>
      </c>
      <c r="K528" s="6" t="s">
        <v>4790</v>
      </c>
      <c r="L528" s="2" t="s">
        <v>3857</v>
      </c>
      <c r="M528" s="2" t="s">
        <v>3856</v>
      </c>
      <c r="N528" s="9" t="s">
        <v>3858</v>
      </c>
      <c r="O528" s="6" t="s">
        <v>332</v>
      </c>
      <c r="P528" s="6" t="s">
        <v>85</v>
      </c>
      <c r="Q528" s="6" t="s">
        <v>5004</v>
      </c>
      <c r="R528" s="6" t="s">
        <v>5802</v>
      </c>
    </row>
    <row r="529" customFormat="false" ht="23.85" hidden="false" customHeight="false" outlineLevel="0" collapsed="false">
      <c r="A529" s="6" t="s">
        <v>4994</v>
      </c>
      <c r="B529" s="6" t="s">
        <v>374</v>
      </c>
      <c r="C529" s="6" t="s">
        <v>4870</v>
      </c>
      <c r="D529" s="6" t="s">
        <v>187</v>
      </c>
      <c r="E529" s="6" t="s">
        <v>187</v>
      </c>
      <c r="F529" s="6" t="s">
        <v>188</v>
      </c>
      <c r="G529" s="6" t="s">
        <v>153</v>
      </c>
      <c r="H529" s="6" t="s">
        <v>77</v>
      </c>
      <c r="I529" s="6" t="s">
        <v>4706</v>
      </c>
      <c r="J529" s="6" t="s">
        <v>5365</v>
      </c>
      <c r="K529" s="6" t="s">
        <v>4679</v>
      </c>
      <c r="L529" s="2" t="s">
        <v>5885</v>
      </c>
      <c r="M529" s="2" t="s">
        <v>381</v>
      </c>
      <c r="N529" s="9" t="s">
        <v>318</v>
      </c>
      <c r="O529" s="6" t="s">
        <v>97</v>
      </c>
      <c r="P529" s="6" t="s">
        <v>98</v>
      </c>
      <c r="Q529" s="6" t="s">
        <v>4996</v>
      </c>
      <c r="R529" s="6" t="s">
        <v>5886</v>
      </c>
    </row>
    <row r="530" customFormat="false" ht="23.85" hidden="false" customHeight="false" outlineLevel="0" collapsed="false">
      <c r="A530" s="6" t="s">
        <v>4994</v>
      </c>
      <c r="B530" s="6" t="s">
        <v>374</v>
      </c>
      <c r="C530" s="6" t="s">
        <v>4870</v>
      </c>
      <c r="D530" s="6" t="s">
        <v>311</v>
      </c>
      <c r="E530" s="6" t="s">
        <v>311</v>
      </c>
      <c r="F530" s="6" t="s">
        <v>312</v>
      </c>
      <c r="G530" s="6" t="s">
        <v>118</v>
      </c>
      <c r="H530" s="6" t="s">
        <v>287</v>
      </c>
      <c r="I530" s="6" t="s">
        <v>4715</v>
      </c>
      <c r="J530" s="6" t="s">
        <v>5365</v>
      </c>
      <c r="K530" s="6" t="s">
        <v>4679</v>
      </c>
      <c r="L530" s="2" t="s">
        <v>5887</v>
      </c>
      <c r="M530" s="2" t="s">
        <v>381</v>
      </c>
      <c r="N530" s="9" t="s">
        <v>318</v>
      </c>
      <c r="O530" s="6" t="s">
        <v>97</v>
      </c>
      <c r="P530" s="6" t="s">
        <v>98</v>
      </c>
      <c r="Q530" s="6" t="s">
        <v>4996</v>
      </c>
      <c r="R530" s="6" t="s">
        <v>5886</v>
      </c>
    </row>
    <row r="531" customFormat="false" ht="23.85" hidden="false" customHeight="false" outlineLevel="0" collapsed="false">
      <c r="A531" s="6" t="s">
        <v>4994</v>
      </c>
      <c r="B531" s="6" t="s">
        <v>374</v>
      </c>
      <c r="C531" s="6" t="s">
        <v>4870</v>
      </c>
      <c r="D531" s="6" t="s">
        <v>2283</v>
      </c>
      <c r="E531" s="6" t="s">
        <v>2283</v>
      </c>
      <c r="F531" s="6" t="s">
        <v>2283</v>
      </c>
      <c r="G531" s="6" t="s">
        <v>2284</v>
      </c>
      <c r="H531" s="6" t="s">
        <v>287</v>
      </c>
      <c r="I531" s="6" t="s">
        <v>4676</v>
      </c>
      <c r="J531" s="6" t="s">
        <v>1162</v>
      </c>
      <c r="K531" s="6" t="s">
        <v>4679</v>
      </c>
      <c r="L531" s="2" t="s">
        <v>2285</v>
      </c>
      <c r="M531" s="2" t="s">
        <v>381</v>
      </c>
      <c r="N531" s="9" t="s">
        <v>2286</v>
      </c>
      <c r="O531" s="6" t="s">
        <v>1162</v>
      </c>
      <c r="P531" s="6" t="s">
        <v>85</v>
      </c>
      <c r="Q531" s="6" t="s">
        <v>4996</v>
      </c>
      <c r="R531" s="6" t="s">
        <v>5886</v>
      </c>
    </row>
    <row r="532" customFormat="false" ht="23.85" hidden="false" customHeight="false" outlineLevel="0" collapsed="false">
      <c r="A532" s="6" t="s">
        <v>4994</v>
      </c>
      <c r="B532" s="6" t="s">
        <v>374</v>
      </c>
      <c r="C532" s="6" t="s">
        <v>4870</v>
      </c>
      <c r="D532" s="6" t="s">
        <v>692</v>
      </c>
      <c r="E532" s="6" t="s">
        <v>692</v>
      </c>
      <c r="F532" s="6" t="s">
        <v>692</v>
      </c>
      <c r="G532" s="6" t="s">
        <v>182</v>
      </c>
      <c r="H532" s="6" t="s">
        <v>287</v>
      </c>
      <c r="I532" s="6" t="s">
        <v>4676</v>
      </c>
      <c r="J532" s="6" t="s">
        <v>655</v>
      </c>
      <c r="K532" s="6" t="s">
        <v>4679</v>
      </c>
      <c r="L532" s="2" t="s">
        <v>694</v>
      </c>
      <c r="M532" s="2" t="s">
        <v>381</v>
      </c>
      <c r="N532" s="9" t="s">
        <v>695</v>
      </c>
      <c r="O532" s="6" t="s">
        <v>655</v>
      </c>
      <c r="P532" s="6" t="s">
        <v>85</v>
      </c>
      <c r="Q532" s="6" t="s">
        <v>4996</v>
      </c>
      <c r="R532" s="6" t="s">
        <v>5886</v>
      </c>
    </row>
    <row r="533" customFormat="false" ht="35.05" hidden="false" customHeight="false" outlineLevel="0" collapsed="false">
      <c r="A533" s="6" t="s">
        <v>4994</v>
      </c>
      <c r="B533" s="6" t="s">
        <v>374</v>
      </c>
      <c r="C533" s="6" t="s">
        <v>5006</v>
      </c>
      <c r="D533" s="6" t="s">
        <v>371</v>
      </c>
      <c r="E533" s="6" t="s">
        <v>371</v>
      </c>
      <c r="F533" s="6" t="s">
        <v>372</v>
      </c>
      <c r="G533" s="6" t="s">
        <v>118</v>
      </c>
      <c r="H533" s="6" t="s">
        <v>287</v>
      </c>
      <c r="I533" s="6" t="s">
        <v>4676</v>
      </c>
      <c r="J533" s="6" t="s">
        <v>5365</v>
      </c>
      <c r="K533" s="6" t="s">
        <v>4790</v>
      </c>
      <c r="L533" s="2" t="s">
        <v>377</v>
      </c>
      <c r="M533" s="2" t="s">
        <v>376</v>
      </c>
      <c r="N533" s="9" t="s">
        <v>378</v>
      </c>
      <c r="O533" s="6" t="s">
        <v>178</v>
      </c>
      <c r="P533" s="6" t="s">
        <v>106</v>
      </c>
      <c r="Q533" s="6" t="s">
        <v>4996</v>
      </c>
      <c r="R533" s="6" t="s">
        <v>5357</v>
      </c>
    </row>
    <row r="534" customFormat="false" ht="23.85" hidden="false" customHeight="false" outlineLevel="0" collapsed="false">
      <c r="A534" s="6" t="s">
        <v>4994</v>
      </c>
      <c r="B534" s="6" t="s">
        <v>374</v>
      </c>
      <c r="C534" s="6" t="s">
        <v>4870</v>
      </c>
      <c r="D534" s="6" t="s">
        <v>379</v>
      </c>
      <c r="E534" s="6" t="s">
        <v>379</v>
      </c>
      <c r="F534" s="6" t="s">
        <v>379</v>
      </c>
      <c r="G534" s="6" t="s">
        <v>76</v>
      </c>
      <c r="H534" s="6" t="s">
        <v>287</v>
      </c>
      <c r="I534" s="6" t="s">
        <v>4676</v>
      </c>
      <c r="J534" s="6" t="s">
        <v>383</v>
      </c>
      <c r="K534" s="6" t="s">
        <v>4790</v>
      </c>
      <c r="L534" s="2" t="s">
        <v>382</v>
      </c>
      <c r="M534" s="2" t="s">
        <v>381</v>
      </c>
      <c r="N534" s="9" t="s">
        <v>384</v>
      </c>
      <c r="O534" s="6" t="s">
        <v>383</v>
      </c>
      <c r="P534" s="6" t="s">
        <v>85</v>
      </c>
      <c r="Q534" s="6" t="s">
        <v>4996</v>
      </c>
      <c r="R534" s="6" t="s">
        <v>5886</v>
      </c>
    </row>
    <row r="535" customFormat="false" ht="23.85" hidden="false" customHeight="false" outlineLevel="0" collapsed="false">
      <c r="A535" s="6" t="s">
        <v>4994</v>
      </c>
      <c r="B535" s="6" t="s">
        <v>374</v>
      </c>
      <c r="C535" s="6" t="s">
        <v>4870</v>
      </c>
      <c r="D535" s="6" t="s">
        <v>437</v>
      </c>
      <c r="E535" s="6" t="s">
        <v>437</v>
      </c>
      <c r="F535" s="6" t="s">
        <v>437</v>
      </c>
      <c r="G535" s="6" t="s">
        <v>239</v>
      </c>
      <c r="H535" s="6" t="s">
        <v>287</v>
      </c>
      <c r="I535" s="6" t="s">
        <v>5617</v>
      </c>
      <c r="J535" s="6" t="s">
        <v>440</v>
      </c>
      <c r="K535" s="6" t="s">
        <v>4790</v>
      </c>
      <c r="L535" s="2" t="s">
        <v>439</v>
      </c>
      <c r="M535" s="2" t="s">
        <v>381</v>
      </c>
      <c r="N535" s="9" t="s">
        <v>441</v>
      </c>
      <c r="O535" s="6" t="s">
        <v>440</v>
      </c>
      <c r="P535" s="6" t="s">
        <v>85</v>
      </c>
      <c r="Q535" s="6" t="s">
        <v>4996</v>
      </c>
      <c r="R535" s="6" t="s">
        <v>5886</v>
      </c>
    </row>
    <row r="536" customFormat="false" ht="23.85" hidden="false" customHeight="false" outlineLevel="0" collapsed="false">
      <c r="A536" s="6" t="s">
        <v>4994</v>
      </c>
      <c r="B536" s="6" t="s">
        <v>374</v>
      </c>
      <c r="C536" s="6" t="s">
        <v>4870</v>
      </c>
      <c r="D536" s="6" t="s">
        <v>3008</v>
      </c>
      <c r="E536" s="6" t="s">
        <v>3008</v>
      </c>
      <c r="F536" s="6" t="s">
        <v>1633</v>
      </c>
      <c r="G536" s="6" t="s">
        <v>1598</v>
      </c>
      <c r="H536" s="6" t="s">
        <v>1445</v>
      </c>
      <c r="I536" s="6" t="s">
        <v>4676</v>
      </c>
      <c r="J536" s="6" t="s">
        <v>5365</v>
      </c>
      <c r="K536" s="6" t="s">
        <v>4790</v>
      </c>
      <c r="L536" s="2" t="s">
        <v>3009</v>
      </c>
      <c r="M536" s="2" t="s">
        <v>381</v>
      </c>
      <c r="N536" s="9" t="s">
        <v>3010</v>
      </c>
      <c r="O536" s="6" t="s">
        <v>226</v>
      </c>
      <c r="P536" s="6" t="s">
        <v>106</v>
      </c>
      <c r="Q536" s="6" t="s">
        <v>4996</v>
      </c>
      <c r="R536" s="6" t="s">
        <v>5886</v>
      </c>
    </row>
    <row r="537" customFormat="false" ht="23.85" hidden="false" customHeight="false" outlineLevel="0" collapsed="false">
      <c r="A537" s="6" t="s">
        <v>4750</v>
      </c>
      <c r="B537" s="6" t="s">
        <v>206</v>
      </c>
      <c r="C537" s="6" t="s">
        <v>5006</v>
      </c>
      <c r="D537" s="6" t="s">
        <v>1531</v>
      </c>
      <c r="E537" s="6" t="s">
        <v>1531</v>
      </c>
      <c r="F537" s="6" t="s">
        <v>514</v>
      </c>
      <c r="G537" s="6" t="s">
        <v>164</v>
      </c>
      <c r="H537" s="6" t="s">
        <v>77</v>
      </c>
      <c r="I537" s="6" t="s">
        <v>4676</v>
      </c>
      <c r="J537" s="6" t="s">
        <v>130</v>
      </c>
      <c r="K537" s="6" t="s">
        <v>4675</v>
      </c>
      <c r="L537" s="2" t="s">
        <v>1535</v>
      </c>
      <c r="M537" s="2" t="s">
        <v>1534</v>
      </c>
      <c r="N537" s="9" t="s">
        <v>1536</v>
      </c>
      <c r="O537" s="6" t="s">
        <v>130</v>
      </c>
      <c r="P537" s="6" t="s">
        <v>85</v>
      </c>
      <c r="Q537" s="6" t="s">
        <v>5009</v>
      </c>
      <c r="R537" s="6" t="s">
        <v>5368</v>
      </c>
    </row>
    <row r="538" customFormat="false" ht="23.85" hidden="false" customHeight="false" outlineLevel="0" collapsed="false">
      <c r="A538" s="6" t="s">
        <v>4750</v>
      </c>
      <c r="B538" s="6" t="s">
        <v>206</v>
      </c>
      <c r="C538" s="6" t="s">
        <v>4870</v>
      </c>
      <c r="D538" s="6" t="s">
        <v>203</v>
      </c>
      <c r="E538" s="6" t="s">
        <v>203</v>
      </c>
      <c r="F538" s="6" t="s">
        <v>204</v>
      </c>
      <c r="G538" s="6" t="s">
        <v>153</v>
      </c>
      <c r="H538" s="6" t="s">
        <v>77</v>
      </c>
      <c r="I538" s="6" t="s">
        <v>4676</v>
      </c>
      <c r="J538" s="6" t="s">
        <v>5365</v>
      </c>
      <c r="K538" s="6" t="s">
        <v>4790</v>
      </c>
      <c r="L538" s="2" t="s">
        <v>209</v>
      </c>
      <c r="M538" s="2" t="s">
        <v>5888</v>
      </c>
      <c r="N538" s="9" t="s">
        <v>210</v>
      </c>
      <c r="O538" s="6" t="s">
        <v>281</v>
      </c>
      <c r="P538" s="6" t="s">
        <v>106</v>
      </c>
      <c r="Q538" s="6" t="s">
        <v>4750</v>
      </c>
      <c r="R538" s="6" t="s">
        <v>5802</v>
      </c>
    </row>
    <row r="539" customFormat="false" ht="35.05" hidden="false" customHeight="false" outlineLevel="0" collapsed="false">
      <c r="A539" s="6" t="s">
        <v>4750</v>
      </c>
      <c r="B539" s="6" t="s">
        <v>206</v>
      </c>
      <c r="C539" s="6" t="s">
        <v>5006</v>
      </c>
      <c r="D539" s="6" t="s">
        <v>514</v>
      </c>
      <c r="E539" s="6" t="s">
        <v>514</v>
      </c>
      <c r="F539" s="6" t="s">
        <v>514</v>
      </c>
      <c r="G539" s="6" t="s">
        <v>164</v>
      </c>
      <c r="H539" s="6" t="s">
        <v>77</v>
      </c>
      <c r="I539" s="6" t="s">
        <v>4697</v>
      </c>
      <c r="J539" s="6" t="s">
        <v>130</v>
      </c>
      <c r="K539" s="6" t="s">
        <v>4675</v>
      </c>
      <c r="L539" s="2" t="s">
        <v>1546</v>
      </c>
      <c r="M539" s="2" t="s">
        <v>1545</v>
      </c>
      <c r="N539" s="9" t="s">
        <v>1547</v>
      </c>
      <c r="O539" s="6" t="s">
        <v>130</v>
      </c>
      <c r="P539" s="6" t="s">
        <v>85</v>
      </c>
      <c r="Q539" s="6" t="s">
        <v>5009</v>
      </c>
      <c r="R539" s="6" t="s">
        <v>5433</v>
      </c>
    </row>
    <row r="540" customFormat="false" ht="23.85" hidden="false" customHeight="false" outlineLevel="0" collapsed="false">
      <c r="A540" s="6" t="s">
        <v>4750</v>
      </c>
      <c r="B540" s="6" t="s">
        <v>206</v>
      </c>
      <c r="C540" s="6" t="s">
        <v>5006</v>
      </c>
      <c r="D540" s="6" t="s">
        <v>1556</v>
      </c>
      <c r="E540" s="6" t="s">
        <v>1556</v>
      </c>
      <c r="F540" s="6" t="s">
        <v>514</v>
      </c>
      <c r="G540" s="6" t="s">
        <v>164</v>
      </c>
      <c r="H540" s="6" t="s">
        <v>77</v>
      </c>
      <c r="I540" s="6" t="s">
        <v>4676</v>
      </c>
      <c r="J540" s="6" t="s">
        <v>130</v>
      </c>
      <c r="K540" s="6" t="s">
        <v>4675</v>
      </c>
      <c r="L540" s="2" t="s">
        <v>1535</v>
      </c>
      <c r="M540" s="2" t="s">
        <v>1534</v>
      </c>
      <c r="N540" s="9" t="s">
        <v>1536</v>
      </c>
      <c r="O540" s="6" t="s">
        <v>130</v>
      </c>
      <c r="P540" s="6" t="s">
        <v>85</v>
      </c>
      <c r="Q540" s="6" t="s">
        <v>5009</v>
      </c>
      <c r="R540" s="6" t="s">
        <v>5368</v>
      </c>
    </row>
    <row r="541" customFormat="false" ht="23.85" hidden="false" customHeight="false" outlineLevel="0" collapsed="false">
      <c r="A541" s="6" t="s">
        <v>4750</v>
      </c>
      <c r="B541" s="6" t="s">
        <v>206</v>
      </c>
      <c r="C541" s="6" t="s">
        <v>5006</v>
      </c>
      <c r="D541" s="6" t="s">
        <v>3700</v>
      </c>
      <c r="E541" s="6" t="s">
        <v>3700</v>
      </c>
      <c r="F541" s="6" t="s">
        <v>514</v>
      </c>
      <c r="G541" s="6" t="s">
        <v>164</v>
      </c>
      <c r="H541" s="6" t="s">
        <v>1445</v>
      </c>
      <c r="I541" s="6" t="s">
        <v>4676</v>
      </c>
      <c r="J541" s="6" t="s">
        <v>130</v>
      </c>
      <c r="K541" s="6" t="s">
        <v>4675</v>
      </c>
      <c r="L541" s="2" t="s">
        <v>1535</v>
      </c>
      <c r="M541" s="2" t="s">
        <v>1534</v>
      </c>
      <c r="N541" s="9" t="s">
        <v>1536</v>
      </c>
      <c r="O541" s="6" t="s">
        <v>130</v>
      </c>
      <c r="P541" s="6" t="s">
        <v>85</v>
      </c>
      <c r="Q541" s="6" t="s">
        <v>5009</v>
      </c>
      <c r="R541" s="6" t="s">
        <v>5368</v>
      </c>
    </row>
    <row r="542" customFormat="false" ht="15" hidden="false" customHeight="false" outlineLevel="0" collapsed="false">
      <c r="A542" s="6" t="s">
        <v>4750</v>
      </c>
      <c r="B542" s="6" t="s">
        <v>206</v>
      </c>
      <c r="C542" s="6" t="s">
        <v>4870</v>
      </c>
      <c r="D542" s="6" t="s">
        <v>3125</v>
      </c>
      <c r="E542" s="6" t="s">
        <v>5889</v>
      </c>
      <c r="F542" s="6" t="s">
        <v>1260</v>
      </c>
      <c r="G542" s="6" t="s">
        <v>153</v>
      </c>
      <c r="H542" s="6" t="s">
        <v>1445</v>
      </c>
      <c r="I542" s="6" t="s">
        <v>4676</v>
      </c>
      <c r="J542" s="6" t="s">
        <v>5365</v>
      </c>
      <c r="K542" s="6" t="s">
        <v>4790</v>
      </c>
      <c r="L542" s="2" t="s">
        <v>5890</v>
      </c>
      <c r="M542" s="2" t="s">
        <v>5891</v>
      </c>
      <c r="N542" s="9" t="s">
        <v>210</v>
      </c>
      <c r="O542" s="6" t="s">
        <v>281</v>
      </c>
      <c r="P542" s="6" t="s">
        <v>106</v>
      </c>
      <c r="Q542" s="6" t="s">
        <v>4750</v>
      </c>
      <c r="R542" s="6" t="s">
        <v>5802</v>
      </c>
    </row>
    <row r="543" customFormat="false" ht="23.85" hidden="false" customHeight="false" outlineLevel="0" collapsed="false">
      <c r="A543" s="6" t="s">
        <v>5010</v>
      </c>
      <c r="B543" s="6" t="s">
        <v>206</v>
      </c>
      <c r="C543" s="6" t="s">
        <v>4848</v>
      </c>
      <c r="D543" s="6" t="s">
        <v>1849</v>
      </c>
      <c r="E543" s="6" t="s">
        <v>1849</v>
      </c>
      <c r="F543" s="6" t="s">
        <v>514</v>
      </c>
      <c r="G543" s="6" t="s">
        <v>164</v>
      </c>
      <c r="H543" s="6" t="s">
        <v>287</v>
      </c>
      <c r="I543" s="6" t="s">
        <v>4680</v>
      </c>
      <c r="J543" s="6" t="s">
        <v>1853</v>
      </c>
      <c r="K543" s="6" t="s">
        <v>4679</v>
      </c>
      <c r="L543" s="2" t="s">
        <v>1852</v>
      </c>
      <c r="M543" s="2" t="s">
        <v>1851</v>
      </c>
      <c r="N543" s="9" t="s">
        <v>1854</v>
      </c>
      <c r="O543" s="6" t="s">
        <v>1853</v>
      </c>
      <c r="P543" s="6" t="s">
        <v>106</v>
      </c>
      <c r="Q543" s="6" t="s">
        <v>5010</v>
      </c>
      <c r="R543" s="6" t="s">
        <v>5802</v>
      </c>
    </row>
    <row r="544" customFormat="false" ht="23.85" hidden="false" customHeight="false" outlineLevel="0" collapsed="false">
      <c r="A544" s="6" t="s">
        <v>5010</v>
      </c>
      <c r="B544" s="6" t="s">
        <v>206</v>
      </c>
      <c r="C544" s="6" t="s">
        <v>4848</v>
      </c>
      <c r="D544" s="6" t="s">
        <v>4134</v>
      </c>
      <c r="E544" s="6" t="s">
        <v>4134</v>
      </c>
      <c r="F544" s="6" t="s">
        <v>4135</v>
      </c>
      <c r="G544" s="6" t="s">
        <v>2312</v>
      </c>
      <c r="H544" s="6" t="s">
        <v>1445</v>
      </c>
      <c r="I544" s="6" t="s">
        <v>4684</v>
      </c>
      <c r="J544" s="6" t="s">
        <v>324</v>
      </c>
      <c r="K544" s="6" t="s">
        <v>4790</v>
      </c>
      <c r="L544" s="2" t="s">
        <v>4137</v>
      </c>
      <c r="M544" s="2"/>
      <c r="N544" s="9" t="s">
        <v>4138</v>
      </c>
      <c r="O544" s="6" t="s">
        <v>324</v>
      </c>
      <c r="P544" s="6" t="s">
        <v>85</v>
      </c>
      <c r="Q544" s="6" t="s">
        <v>5892</v>
      </c>
      <c r="R544" s="6" t="s">
        <v>5802</v>
      </c>
    </row>
    <row r="545" customFormat="false" ht="23.85" hidden="false" customHeight="false" outlineLevel="0" collapsed="false">
      <c r="A545" s="6" t="s">
        <v>5010</v>
      </c>
      <c r="B545" s="6" t="s">
        <v>206</v>
      </c>
      <c r="C545" s="6" t="s">
        <v>4848</v>
      </c>
      <c r="D545" s="6" t="s">
        <v>4232</v>
      </c>
      <c r="E545" s="6" t="s">
        <v>4232</v>
      </c>
      <c r="F545" s="6" t="s">
        <v>4233</v>
      </c>
      <c r="G545" s="6" t="s">
        <v>1215</v>
      </c>
      <c r="H545" s="6" t="s">
        <v>1445</v>
      </c>
      <c r="I545" s="6" t="s">
        <v>4680</v>
      </c>
      <c r="J545" s="6" t="s">
        <v>178</v>
      </c>
      <c r="K545" s="6" t="s">
        <v>4675</v>
      </c>
      <c r="L545" s="2" t="s">
        <v>4237</v>
      </c>
      <c r="M545" s="2" t="s">
        <v>5893</v>
      </c>
      <c r="N545" s="9" t="s">
        <v>4238</v>
      </c>
      <c r="O545" s="6" t="s">
        <v>178</v>
      </c>
      <c r="P545" s="6" t="s">
        <v>85</v>
      </c>
      <c r="Q545" s="6" t="s">
        <v>5010</v>
      </c>
      <c r="R545" s="6" t="s">
        <v>5802</v>
      </c>
    </row>
    <row r="546" customFormat="false" ht="23.85" hidden="false" customHeight="false" outlineLevel="0" collapsed="false">
      <c r="A546" s="6" t="s">
        <v>5010</v>
      </c>
      <c r="B546" s="6" t="s">
        <v>206</v>
      </c>
      <c r="C546" s="6" t="s">
        <v>4848</v>
      </c>
      <c r="D546" s="6" t="s">
        <v>3710</v>
      </c>
      <c r="E546" s="6" t="s">
        <v>3710</v>
      </c>
      <c r="F546" s="6" t="s">
        <v>3711</v>
      </c>
      <c r="G546" s="6" t="s">
        <v>153</v>
      </c>
      <c r="H546" s="6" t="s">
        <v>1445</v>
      </c>
      <c r="I546" s="6" t="s">
        <v>4680</v>
      </c>
      <c r="J546" s="6" t="s">
        <v>5365</v>
      </c>
      <c r="K546" s="6" t="s">
        <v>4790</v>
      </c>
      <c r="L546" s="2" t="s">
        <v>3714</v>
      </c>
      <c r="M546" s="2" t="s">
        <v>3713</v>
      </c>
      <c r="N546" s="9" t="s">
        <v>210</v>
      </c>
      <c r="O546" s="6" t="s">
        <v>281</v>
      </c>
      <c r="P546" s="6" t="s">
        <v>106</v>
      </c>
      <c r="Q546" s="6" t="s">
        <v>5894</v>
      </c>
      <c r="R546" s="6" t="s">
        <v>5802</v>
      </c>
    </row>
    <row r="547" customFormat="false" ht="23.85" hidden="false" customHeight="false" outlineLevel="0" collapsed="false">
      <c r="A547" s="6" t="s">
        <v>5010</v>
      </c>
      <c r="B547" s="6" t="s">
        <v>206</v>
      </c>
      <c r="C547" s="6" t="s">
        <v>4848</v>
      </c>
      <c r="D547" s="6" t="s">
        <v>3771</v>
      </c>
      <c r="E547" s="6" t="s">
        <v>3771</v>
      </c>
      <c r="F547" s="6" t="s">
        <v>3772</v>
      </c>
      <c r="G547" s="6" t="s">
        <v>153</v>
      </c>
      <c r="H547" s="6" t="s">
        <v>1445</v>
      </c>
      <c r="I547" s="6" t="s">
        <v>4732</v>
      </c>
      <c r="J547" s="6" t="s">
        <v>5365</v>
      </c>
      <c r="K547" s="6" t="s">
        <v>4790</v>
      </c>
      <c r="L547" s="2" t="s">
        <v>3774</v>
      </c>
      <c r="M547" s="2"/>
      <c r="N547" s="9" t="s">
        <v>210</v>
      </c>
      <c r="O547" s="6" t="s">
        <v>281</v>
      </c>
      <c r="P547" s="6" t="s">
        <v>106</v>
      </c>
      <c r="Q547" s="6" t="s">
        <v>5894</v>
      </c>
      <c r="R547" s="6" t="s">
        <v>5802</v>
      </c>
    </row>
    <row r="548" customFormat="false" ht="23.85" hidden="false" customHeight="false" outlineLevel="0" collapsed="false">
      <c r="A548" s="6" t="s">
        <v>5013</v>
      </c>
      <c r="B548" s="6" t="s">
        <v>206</v>
      </c>
      <c r="C548" s="6" t="s">
        <v>4732</v>
      </c>
      <c r="D548" s="6" t="s">
        <v>152</v>
      </c>
      <c r="E548" s="6" t="s">
        <v>152</v>
      </c>
      <c r="F548" s="6" t="s">
        <v>154</v>
      </c>
      <c r="G548" s="6" t="s">
        <v>153</v>
      </c>
      <c r="H548" s="6" t="s">
        <v>77</v>
      </c>
      <c r="I548" s="6" t="s">
        <v>4732</v>
      </c>
      <c r="J548" s="6" t="s">
        <v>5365</v>
      </c>
      <c r="K548" s="6" t="s">
        <v>4790</v>
      </c>
      <c r="L548" s="2" t="s">
        <v>5895</v>
      </c>
      <c r="M548" s="2" t="s">
        <v>5896</v>
      </c>
      <c r="N548" s="9" t="s">
        <v>2594</v>
      </c>
      <c r="O548" s="6" t="s">
        <v>160</v>
      </c>
      <c r="P548" s="6" t="s">
        <v>106</v>
      </c>
      <c r="Q548" s="6" t="s">
        <v>5013</v>
      </c>
      <c r="R548" s="6" t="s">
        <v>5802</v>
      </c>
    </row>
    <row r="549" customFormat="false" ht="23.85" hidden="false" customHeight="false" outlineLevel="0" collapsed="false">
      <c r="A549" s="6" t="s">
        <v>5013</v>
      </c>
      <c r="B549" s="6" t="s">
        <v>206</v>
      </c>
      <c r="C549" s="6" t="s">
        <v>4732</v>
      </c>
      <c r="D549" s="6" t="s">
        <v>187</v>
      </c>
      <c r="E549" s="6" t="s">
        <v>5897</v>
      </c>
      <c r="F549" s="6" t="s">
        <v>188</v>
      </c>
      <c r="G549" s="6" t="s">
        <v>153</v>
      </c>
      <c r="H549" s="6" t="s">
        <v>77</v>
      </c>
      <c r="I549" s="6" t="s">
        <v>4732</v>
      </c>
      <c r="J549" s="6" t="s">
        <v>5365</v>
      </c>
      <c r="K549" s="6" t="s">
        <v>4790</v>
      </c>
      <c r="L549" s="2" t="s">
        <v>5898</v>
      </c>
      <c r="M549" s="2" t="s">
        <v>5899</v>
      </c>
      <c r="N549" s="9" t="s">
        <v>2594</v>
      </c>
      <c r="O549" s="6" t="s">
        <v>160</v>
      </c>
      <c r="P549" s="6" t="s">
        <v>106</v>
      </c>
      <c r="Q549" s="6" t="s">
        <v>5013</v>
      </c>
      <c r="R549" s="6" t="s">
        <v>5802</v>
      </c>
    </row>
    <row r="550" customFormat="false" ht="23.85" hidden="false" customHeight="false" outlineLevel="0" collapsed="false">
      <c r="A550" s="6" t="s">
        <v>5013</v>
      </c>
      <c r="B550" s="6" t="s">
        <v>206</v>
      </c>
      <c r="C550" s="6" t="s">
        <v>4732</v>
      </c>
      <c r="D550" s="6" t="s">
        <v>203</v>
      </c>
      <c r="E550" s="6" t="s">
        <v>203</v>
      </c>
      <c r="F550" s="6" t="s">
        <v>204</v>
      </c>
      <c r="G550" s="6" t="s">
        <v>153</v>
      </c>
      <c r="H550" s="6" t="s">
        <v>77</v>
      </c>
      <c r="I550" s="6" t="s">
        <v>4732</v>
      </c>
      <c r="J550" s="6" t="s">
        <v>5365</v>
      </c>
      <c r="K550" s="6" t="s">
        <v>4790</v>
      </c>
      <c r="L550" s="2" t="s">
        <v>5900</v>
      </c>
      <c r="M550" s="2"/>
      <c r="N550" s="9" t="s">
        <v>210</v>
      </c>
      <c r="O550" s="6" t="s">
        <v>281</v>
      </c>
      <c r="P550" s="6" t="s">
        <v>106</v>
      </c>
      <c r="Q550" s="6" t="s">
        <v>5013</v>
      </c>
      <c r="R550" s="6" t="s">
        <v>5802</v>
      </c>
    </row>
    <row r="551" customFormat="false" ht="23.85" hidden="false" customHeight="false" outlineLevel="0" collapsed="false">
      <c r="A551" s="6" t="s">
        <v>5013</v>
      </c>
      <c r="B551" s="6" t="s">
        <v>206</v>
      </c>
      <c r="C551" s="6" t="s">
        <v>4732</v>
      </c>
      <c r="D551" s="6" t="s">
        <v>2590</v>
      </c>
      <c r="E551" s="6" t="s">
        <v>2590</v>
      </c>
      <c r="F551" s="6" t="s">
        <v>910</v>
      </c>
      <c r="G551" s="6" t="s">
        <v>153</v>
      </c>
      <c r="H551" s="6" t="s">
        <v>287</v>
      </c>
      <c r="I551" s="6" t="s">
        <v>4732</v>
      </c>
      <c r="J551" s="6" t="s">
        <v>5365</v>
      </c>
      <c r="K551" s="6" t="s">
        <v>4790</v>
      </c>
      <c r="L551" s="2" t="s">
        <v>2593</v>
      </c>
      <c r="M551" s="2"/>
      <c r="N551" s="9" t="s">
        <v>2594</v>
      </c>
      <c r="O551" s="6" t="s">
        <v>160</v>
      </c>
      <c r="P551" s="6" t="s">
        <v>106</v>
      </c>
      <c r="Q551" s="6" t="s">
        <v>5013</v>
      </c>
      <c r="R551" s="6" t="s">
        <v>5802</v>
      </c>
    </row>
    <row r="552" customFormat="false" ht="15" hidden="false" customHeight="false" outlineLevel="0" collapsed="false">
      <c r="A552" s="6" t="s">
        <v>4753</v>
      </c>
      <c r="B552" s="6" t="s">
        <v>127</v>
      </c>
      <c r="C552" s="6" t="s">
        <v>5016</v>
      </c>
      <c r="D552" s="6" t="s">
        <v>3321</v>
      </c>
      <c r="E552" s="6" t="s">
        <v>3321</v>
      </c>
      <c r="F552" s="6" t="s">
        <v>3322</v>
      </c>
      <c r="G552" s="6" t="s">
        <v>2312</v>
      </c>
      <c r="H552" s="6" t="s">
        <v>287</v>
      </c>
      <c r="I552" s="6" t="s">
        <v>4684</v>
      </c>
      <c r="J552" s="6" t="s">
        <v>130</v>
      </c>
      <c r="K552" s="6" t="s">
        <v>4675</v>
      </c>
      <c r="L552" s="2" t="s">
        <v>3325</v>
      </c>
      <c r="M552" s="2" t="s">
        <v>3324</v>
      </c>
      <c r="N552" s="9" t="s">
        <v>3326</v>
      </c>
      <c r="O552" s="6" t="s">
        <v>130</v>
      </c>
      <c r="P552" s="6" t="s">
        <v>85</v>
      </c>
      <c r="Q552" s="6" t="s">
        <v>4753</v>
      </c>
      <c r="R552" s="6" t="s">
        <v>5433</v>
      </c>
    </row>
    <row r="553" customFormat="false" ht="15" hidden="false" customHeight="false" outlineLevel="0" collapsed="false">
      <c r="A553" s="6" t="s">
        <v>5129</v>
      </c>
      <c r="B553" s="6" t="s">
        <v>127</v>
      </c>
      <c r="C553" s="6" t="s">
        <v>4682</v>
      </c>
      <c r="D553" s="6" t="s">
        <v>1297</v>
      </c>
      <c r="E553" s="6" t="s">
        <v>1297</v>
      </c>
      <c r="F553" s="6" t="s">
        <v>1298</v>
      </c>
      <c r="G553" s="6" t="s">
        <v>239</v>
      </c>
      <c r="H553" s="6" t="s">
        <v>287</v>
      </c>
      <c r="I553" s="6" t="s">
        <v>4682</v>
      </c>
      <c r="J553" s="6" t="s">
        <v>1302</v>
      </c>
      <c r="K553" s="6" t="s">
        <v>4679</v>
      </c>
      <c r="L553" s="2" t="s">
        <v>1301</v>
      </c>
      <c r="M553" s="2" t="s">
        <v>5901</v>
      </c>
      <c r="N553" s="9" t="s">
        <v>1304</v>
      </c>
      <c r="O553" s="6" t="s">
        <v>1302</v>
      </c>
      <c r="P553" s="6" t="s">
        <v>98</v>
      </c>
      <c r="Q553" s="6" t="s">
        <v>5902</v>
      </c>
      <c r="R553" s="6" t="s">
        <v>5368</v>
      </c>
    </row>
    <row r="554" customFormat="false" ht="15" hidden="false" customHeight="false" outlineLevel="0" collapsed="false">
      <c r="A554" s="6" t="s">
        <v>5129</v>
      </c>
      <c r="B554" s="6" t="s">
        <v>127</v>
      </c>
      <c r="C554" s="6" t="s">
        <v>4682</v>
      </c>
      <c r="D554" s="6" t="s">
        <v>3455</v>
      </c>
      <c r="E554" s="6" t="s">
        <v>3455</v>
      </c>
      <c r="F554" s="6" t="s">
        <v>3455</v>
      </c>
      <c r="G554" s="6" t="s">
        <v>3000</v>
      </c>
      <c r="H554" s="6" t="s">
        <v>287</v>
      </c>
      <c r="I554" s="6" t="s">
        <v>4682</v>
      </c>
      <c r="J554" s="6" t="s">
        <v>308</v>
      </c>
      <c r="K554" s="6" t="s">
        <v>4675</v>
      </c>
      <c r="L554" s="2" t="s">
        <v>3457</v>
      </c>
      <c r="M554" s="2"/>
      <c r="N554" s="9" t="s">
        <v>3458</v>
      </c>
      <c r="O554" s="6" t="s">
        <v>308</v>
      </c>
      <c r="P554" s="6" t="s">
        <v>85</v>
      </c>
      <c r="Q554" s="6" t="s">
        <v>5903</v>
      </c>
      <c r="R554" s="6" t="s">
        <v>5377</v>
      </c>
    </row>
    <row r="555" customFormat="false" ht="15" hidden="false" customHeight="false" outlineLevel="0" collapsed="false">
      <c r="A555" s="6" t="s">
        <v>4700</v>
      </c>
      <c r="B555" s="6" t="s">
        <v>127</v>
      </c>
      <c r="C555" s="6" t="s">
        <v>5016</v>
      </c>
      <c r="D555" s="6" t="s">
        <v>2448</v>
      </c>
      <c r="E555" s="6" t="s">
        <v>2448</v>
      </c>
      <c r="F555" s="6" t="s">
        <v>2449</v>
      </c>
      <c r="G555" s="6" t="s">
        <v>182</v>
      </c>
      <c r="H555" s="6" t="s">
        <v>287</v>
      </c>
      <c r="I555" s="6" t="s">
        <v>4697</v>
      </c>
      <c r="J555" s="6" t="s">
        <v>160</v>
      </c>
      <c r="K555" s="6" t="s">
        <v>4675</v>
      </c>
      <c r="L555" s="2" t="s">
        <v>2452</v>
      </c>
      <c r="M555" s="2" t="s">
        <v>5904</v>
      </c>
      <c r="N555" s="9" t="s">
        <v>2453</v>
      </c>
      <c r="O555" s="6" t="s">
        <v>160</v>
      </c>
      <c r="P555" s="6" t="s">
        <v>85</v>
      </c>
      <c r="Q555" s="6" t="s">
        <v>5132</v>
      </c>
      <c r="R555" s="6" t="s">
        <v>5368</v>
      </c>
    </row>
    <row r="556" customFormat="false" ht="23.85" hidden="false" customHeight="false" outlineLevel="0" collapsed="false">
      <c r="A556" s="6" t="s">
        <v>4700</v>
      </c>
      <c r="B556" s="6" t="s">
        <v>127</v>
      </c>
      <c r="C556" s="6" t="s">
        <v>5016</v>
      </c>
      <c r="D556" s="6" t="s">
        <v>2448</v>
      </c>
      <c r="E556" s="6" t="s">
        <v>2448</v>
      </c>
      <c r="F556" s="6" t="s">
        <v>2448</v>
      </c>
      <c r="G556" s="6" t="s">
        <v>182</v>
      </c>
      <c r="H556" s="6" t="s">
        <v>287</v>
      </c>
      <c r="I556" s="6" t="s">
        <v>4684</v>
      </c>
      <c r="J556" s="6" t="s">
        <v>160</v>
      </c>
      <c r="K556" s="6" t="s">
        <v>4675</v>
      </c>
      <c r="L556" s="2" t="s">
        <v>4701</v>
      </c>
      <c r="M556" s="2" t="s">
        <v>4699</v>
      </c>
      <c r="N556" s="9" t="s">
        <v>2454</v>
      </c>
      <c r="O556" s="6" t="s">
        <v>160</v>
      </c>
      <c r="P556" s="6" t="s">
        <v>85</v>
      </c>
      <c r="Q556" s="6" t="s">
        <v>4700</v>
      </c>
      <c r="R556" s="6" t="s">
        <v>5433</v>
      </c>
    </row>
    <row r="557" customFormat="false" ht="23.85" hidden="false" customHeight="false" outlineLevel="0" collapsed="false">
      <c r="A557" s="6" t="s">
        <v>5103</v>
      </c>
      <c r="B557" s="6" t="s">
        <v>127</v>
      </c>
      <c r="C557" s="6" t="s">
        <v>4682</v>
      </c>
      <c r="D557" s="6" t="s">
        <v>244</v>
      </c>
      <c r="E557" s="6" t="s">
        <v>244</v>
      </c>
      <c r="F557" s="6" t="s">
        <v>245</v>
      </c>
      <c r="G557" s="6" t="s">
        <v>90</v>
      </c>
      <c r="H557" s="6" t="s">
        <v>77</v>
      </c>
      <c r="I557" s="6" t="s">
        <v>4682</v>
      </c>
      <c r="J557" s="6" t="s">
        <v>5412</v>
      </c>
      <c r="K557" s="6" t="s">
        <v>4679</v>
      </c>
      <c r="L557" s="2" t="s">
        <v>5905</v>
      </c>
      <c r="M557" s="2" t="s">
        <v>5906</v>
      </c>
      <c r="N557" s="9" t="s">
        <v>251</v>
      </c>
      <c r="O557" s="6" t="s">
        <v>5506</v>
      </c>
      <c r="P557" s="6" t="s">
        <v>106</v>
      </c>
      <c r="Q557" s="6" t="s">
        <v>5907</v>
      </c>
      <c r="R557" s="6" t="s">
        <v>5357</v>
      </c>
    </row>
    <row r="558" customFormat="false" ht="15" hidden="false" customHeight="false" outlineLevel="0" collapsed="false">
      <c r="A558" s="6" t="s">
        <v>5103</v>
      </c>
      <c r="B558" s="6" t="s">
        <v>127</v>
      </c>
      <c r="C558" s="6" t="s">
        <v>4682</v>
      </c>
      <c r="D558" s="6" t="s">
        <v>2794</v>
      </c>
      <c r="E558" s="6" t="s">
        <v>2794</v>
      </c>
      <c r="F558" s="6" t="s">
        <v>2794</v>
      </c>
      <c r="G558" s="6" t="s">
        <v>1085</v>
      </c>
      <c r="H558" s="6" t="s">
        <v>287</v>
      </c>
      <c r="I558" s="6" t="s">
        <v>4682</v>
      </c>
      <c r="J558" s="6" t="s">
        <v>226</v>
      </c>
      <c r="K558" s="6" t="s">
        <v>4790</v>
      </c>
      <c r="L558" s="2" t="s">
        <v>2796</v>
      </c>
      <c r="M558" s="2"/>
      <c r="N558" s="9" t="s">
        <v>2797</v>
      </c>
      <c r="O558" s="6" t="s">
        <v>226</v>
      </c>
      <c r="P558" s="6" t="s">
        <v>85</v>
      </c>
      <c r="Q558" s="6" t="s">
        <v>5103</v>
      </c>
      <c r="R558" s="6" t="s">
        <v>5377</v>
      </c>
    </row>
    <row r="559" customFormat="false" ht="23.85" hidden="false" customHeight="false" outlineLevel="0" collapsed="false">
      <c r="A559" s="6" t="s">
        <v>5103</v>
      </c>
      <c r="B559" s="6" t="s">
        <v>127</v>
      </c>
      <c r="C559" s="6" t="s">
        <v>4682</v>
      </c>
      <c r="D559" s="6" t="s">
        <v>1385</v>
      </c>
      <c r="E559" s="6" t="s">
        <v>1385</v>
      </c>
      <c r="F559" s="6" t="s">
        <v>1386</v>
      </c>
      <c r="G559" s="6" t="s">
        <v>76</v>
      </c>
      <c r="H559" s="6" t="s">
        <v>287</v>
      </c>
      <c r="I559" s="6" t="s">
        <v>4682</v>
      </c>
      <c r="J559" s="6" t="s">
        <v>504</v>
      </c>
      <c r="K559" s="6" t="s">
        <v>4675</v>
      </c>
      <c r="L559" s="2" t="s">
        <v>1389</v>
      </c>
      <c r="M559" s="2" t="s">
        <v>5908</v>
      </c>
      <c r="N559" s="9" t="s">
        <v>1390</v>
      </c>
      <c r="O559" s="6" t="s">
        <v>504</v>
      </c>
      <c r="P559" s="6" t="s">
        <v>85</v>
      </c>
      <c r="Q559" s="6" t="s">
        <v>5909</v>
      </c>
      <c r="R559" s="6" t="s">
        <v>5368</v>
      </c>
    </row>
    <row r="560" customFormat="false" ht="23.85" hidden="false" customHeight="false" outlineLevel="0" collapsed="false">
      <c r="A560" s="6" t="s">
        <v>5133</v>
      </c>
      <c r="B560" s="6" t="s">
        <v>127</v>
      </c>
      <c r="C560" s="6" t="s">
        <v>4682</v>
      </c>
      <c r="D560" s="6" t="s">
        <v>187</v>
      </c>
      <c r="E560" s="6" t="s">
        <v>187</v>
      </c>
      <c r="F560" s="6" t="s">
        <v>5910</v>
      </c>
      <c r="G560" s="6" t="s">
        <v>153</v>
      </c>
      <c r="H560" s="6" t="s">
        <v>77</v>
      </c>
      <c r="I560" s="6" t="s">
        <v>4682</v>
      </c>
      <c r="J560" s="6" t="s">
        <v>84</v>
      </c>
      <c r="K560" s="6" t="s">
        <v>4790</v>
      </c>
      <c r="L560" s="2" t="s">
        <v>5911</v>
      </c>
      <c r="M560" s="2" t="s">
        <v>5912</v>
      </c>
      <c r="N560" s="9" t="s">
        <v>193</v>
      </c>
      <c r="O560" s="6" t="s">
        <v>84</v>
      </c>
      <c r="P560" s="6" t="s">
        <v>85</v>
      </c>
      <c r="Q560" s="6" t="s">
        <v>5133</v>
      </c>
      <c r="R560" s="6" t="s">
        <v>5377</v>
      </c>
    </row>
    <row r="561" customFormat="false" ht="23.85" hidden="false" customHeight="false" outlineLevel="0" collapsed="false">
      <c r="A561" s="6" t="s">
        <v>5133</v>
      </c>
      <c r="B561" s="6" t="s">
        <v>127</v>
      </c>
      <c r="C561" s="6" t="s">
        <v>4682</v>
      </c>
      <c r="D561" s="6" t="s">
        <v>2798</v>
      </c>
      <c r="E561" s="6" t="s">
        <v>2798</v>
      </c>
      <c r="F561" s="6" t="s">
        <v>2799</v>
      </c>
      <c r="G561" s="6" t="s">
        <v>507</v>
      </c>
      <c r="H561" s="6" t="s">
        <v>287</v>
      </c>
      <c r="I561" s="6" t="s">
        <v>4682</v>
      </c>
      <c r="J561" s="6" t="s">
        <v>256</v>
      </c>
      <c r="K561" s="6" t="s">
        <v>4675</v>
      </c>
      <c r="L561" s="2" t="s">
        <v>2802</v>
      </c>
      <c r="M561" s="2" t="s">
        <v>2801</v>
      </c>
      <c r="N561" s="9" t="s">
        <v>2803</v>
      </c>
      <c r="O561" s="6" t="s">
        <v>256</v>
      </c>
      <c r="P561" s="6" t="s">
        <v>85</v>
      </c>
      <c r="Q561" s="6" t="s">
        <v>5133</v>
      </c>
      <c r="R561" s="6" t="s">
        <v>5357</v>
      </c>
    </row>
    <row r="562" customFormat="false" ht="23.85" hidden="false" customHeight="false" outlineLevel="0" collapsed="false">
      <c r="A562" s="6" t="s">
        <v>4702</v>
      </c>
      <c r="B562" s="6" t="s">
        <v>127</v>
      </c>
      <c r="C562" s="6" t="s">
        <v>5006</v>
      </c>
      <c r="D562" s="6" t="s">
        <v>1990</v>
      </c>
      <c r="E562" s="6" t="s">
        <v>5913</v>
      </c>
      <c r="F562" s="6" t="s">
        <v>1990</v>
      </c>
      <c r="G562" s="6" t="s">
        <v>118</v>
      </c>
      <c r="H562" s="6" t="s">
        <v>287</v>
      </c>
      <c r="I562" s="6" t="s">
        <v>4676</v>
      </c>
      <c r="J562" s="6" t="s">
        <v>160</v>
      </c>
      <c r="K562" s="6" t="s">
        <v>4675</v>
      </c>
      <c r="L562" s="2" t="s">
        <v>1993</v>
      </c>
      <c r="M562" s="2" t="s">
        <v>1992</v>
      </c>
      <c r="N562" s="9" t="s">
        <v>1994</v>
      </c>
      <c r="O562" s="6" t="s">
        <v>160</v>
      </c>
      <c r="P562" s="6" t="s">
        <v>85</v>
      </c>
      <c r="Q562" s="6" t="s">
        <v>5107</v>
      </c>
      <c r="R562" s="6" t="s">
        <v>5433</v>
      </c>
    </row>
    <row r="563" customFormat="false" ht="35.05" hidden="false" customHeight="false" outlineLevel="0" collapsed="false">
      <c r="A563" s="6" t="s">
        <v>4702</v>
      </c>
      <c r="B563" s="6" t="s">
        <v>127</v>
      </c>
      <c r="C563" s="6" t="s">
        <v>5006</v>
      </c>
      <c r="D563" s="6" t="s">
        <v>987</v>
      </c>
      <c r="E563" s="6" t="s">
        <v>987</v>
      </c>
      <c r="F563" s="6" t="s">
        <v>988</v>
      </c>
      <c r="G563" s="6" t="s">
        <v>76</v>
      </c>
      <c r="H563" s="6" t="s">
        <v>287</v>
      </c>
      <c r="I563" s="6" t="s">
        <v>4676</v>
      </c>
      <c r="J563" s="6" t="s">
        <v>178</v>
      </c>
      <c r="K563" s="6" t="s">
        <v>4675</v>
      </c>
      <c r="L563" s="2" t="s">
        <v>5914</v>
      </c>
      <c r="M563" s="2" t="s">
        <v>5915</v>
      </c>
      <c r="N563" s="9" t="s">
        <v>994</v>
      </c>
      <c r="O563" s="6" t="s">
        <v>178</v>
      </c>
      <c r="P563" s="6" t="s">
        <v>85</v>
      </c>
      <c r="Q563" s="6" t="s">
        <v>5107</v>
      </c>
      <c r="R563" s="6" t="s">
        <v>5368</v>
      </c>
    </row>
    <row r="564" customFormat="false" ht="15" hidden="false" customHeight="false" outlineLevel="0" collapsed="false">
      <c r="A564" s="6" t="s">
        <v>4702</v>
      </c>
      <c r="B564" s="6" t="s">
        <v>127</v>
      </c>
      <c r="C564" s="6" t="s">
        <v>5006</v>
      </c>
      <c r="D564" s="6" t="s">
        <v>987</v>
      </c>
      <c r="E564" s="6" t="s">
        <v>5416</v>
      </c>
      <c r="F564" s="6" t="s">
        <v>988</v>
      </c>
      <c r="G564" s="6" t="s">
        <v>76</v>
      </c>
      <c r="H564" s="6" t="s">
        <v>287</v>
      </c>
      <c r="I564" s="6" t="s">
        <v>4715</v>
      </c>
      <c r="J564" s="6" t="s">
        <v>178</v>
      </c>
      <c r="K564" s="6" t="s">
        <v>4675</v>
      </c>
      <c r="L564" s="2" t="s">
        <v>5916</v>
      </c>
      <c r="M564" s="2" t="s">
        <v>5917</v>
      </c>
      <c r="N564" s="9" t="s">
        <v>5918</v>
      </c>
      <c r="O564" s="6" t="s">
        <v>178</v>
      </c>
      <c r="P564" s="6" t="s">
        <v>85</v>
      </c>
      <c r="Q564" s="6" t="s">
        <v>5107</v>
      </c>
      <c r="R564" s="6" t="s">
        <v>5377</v>
      </c>
    </row>
    <row r="565" customFormat="false" ht="23.85" hidden="false" customHeight="false" outlineLevel="0" collapsed="false">
      <c r="A565" s="6" t="s">
        <v>5162</v>
      </c>
      <c r="B565" s="6" t="s">
        <v>127</v>
      </c>
      <c r="C565" s="6" t="s">
        <v>5016</v>
      </c>
      <c r="D565" s="6" t="s">
        <v>2917</v>
      </c>
      <c r="E565" s="6" t="s">
        <v>2917</v>
      </c>
      <c r="F565" s="6" t="s">
        <v>2918</v>
      </c>
      <c r="G565" s="6" t="s">
        <v>507</v>
      </c>
      <c r="H565" s="6" t="s">
        <v>287</v>
      </c>
      <c r="I565" s="6" t="s">
        <v>4684</v>
      </c>
      <c r="J565" s="6" t="s">
        <v>642</v>
      </c>
      <c r="K565" s="6" t="s">
        <v>4790</v>
      </c>
      <c r="L565" s="2" t="s">
        <v>2921</v>
      </c>
      <c r="M565" s="2" t="s">
        <v>2920</v>
      </c>
      <c r="N565" s="9" t="s">
        <v>2922</v>
      </c>
      <c r="O565" s="6" t="s">
        <v>281</v>
      </c>
      <c r="P565" s="6" t="s">
        <v>106</v>
      </c>
      <c r="Q565" s="6" t="s">
        <v>5162</v>
      </c>
      <c r="R565" s="6" t="s">
        <v>5357</v>
      </c>
    </row>
    <row r="566" customFormat="false" ht="23.85" hidden="false" customHeight="false" outlineLevel="0" collapsed="false">
      <c r="A566" s="6" t="s">
        <v>5163</v>
      </c>
      <c r="B566" s="6" t="s">
        <v>127</v>
      </c>
      <c r="C566" s="6" t="s">
        <v>4682</v>
      </c>
      <c r="D566" s="6" t="s">
        <v>2135</v>
      </c>
      <c r="E566" s="6" t="s">
        <v>2135</v>
      </c>
      <c r="F566" s="6" t="s">
        <v>2136</v>
      </c>
      <c r="G566" s="6" t="s">
        <v>239</v>
      </c>
      <c r="H566" s="6" t="s">
        <v>287</v>
      </c>
      <c r="I566" s="6" t="s">
        <v>4682</v>
      </c>
      <c r="J566" s="6" t="s">
        <v>1874</v>
      </c>
      <c r="K566" s="6" t="s">
        <v>4679</v>
      </c>
      <c r="L566" s="2" t="s">
        <v>2139</v>
      </c>
      <c r="M566" s="2" t="s">
        <v>2138</v>
      </c>
      <c r="N566" s="9" t="s">
        <v>2140</v>
      </c>
      <c r="O566" s="6" t="s">
        <v>1874</v>
      </c>
      <c r="P566" s="6" t="s">
        <v>106</v>
      </c>
      <c r="Q566" s="6" t="s">
        <v>5163</v>
      </c>
      <c r="R566" s="6" t="s">
        <v>5377</v>
      </c>
    </row>
    <row r="567" customFormat="false" ht="23.85" hidden="false" customHeight="false" outlineLevel="0" collapsed="false">
      <c r="A567" s="6" t="s">
        <v>5164</v>
      </c>
      <c r="B567" s="6" t="s">
        <v>127</v>
      </c>
      <c r="C567" s="6" t="s">
        <v>5016</v>
      </c>
      <c r="D567" s="6" t="s">
        <v>109</v>
      </c>
      <c r="E567" s="6" t="s">
        <v>5919</v>
      </c>
      <c r="F567" s="6" t="s">
        <v>110</v>
      </c>
      <c r="G567" s="6" t="s">
        <v>90</v>
      </c>
      <c r="H567" s="6" t="s">
        <v>77</v>
      </c>
      <c r="I567" s="6" t="s">
        <v>4684</v>
      </c>
      <c r="J567" s="6" t="s">
        <v>1431</v>
      </c>
      <c r="K567" s="6" t="s">
        <v>4679</v>
      </c>
      <c r="L567" s="2" t="s">
        <v>5920</v>
      </c>
      <c r="M567" s="2" t="s">
        <v>5921</v>
      </c>
      <c r="N567" s="9" t="s">
        <v>116</v>
      </c>
      <c r="O567" s="6" t="s">
        <v>1431</v>
      </c>
      <c r="P567" s="6" t="s">
        <v>106</v>
      </c>
      <c r="Q567" s="6" t="s">
        <v>5164</v>
      </c>
      <c r="R567" s="6" t="s">
        <v>5357</v>
      </c>
    </row>
    <row r="568" customFormat="false" ht="57.45" hidden="false" customHeight="false" outlineLevel="0" collapsed="false">
      <c r="A568" s="6" t="s">
        <v>4703</v>
      </c>
      <c r="B568" s="6" t="s">
        <v>127</v>
      </c>
      <c r="C568" s="6" t="s">
        <v>4682</v>
      </c>
      <c r="D568" s="6" t="s">
        <v>918</v>
      </c>
      <c r="E568" s="6" t="s">
        <v>918</v>
      </c>
      <c r="F568" s="6" t="s">
        <v>918</v>
      </c>
      <c r="G568" s="6" t="s">
        <v>164</v>
      </c>
      <c r="H568" s="6" t="s">
        <v>287</v>
      </c>
      <c r="I568" s="6" t="s">
        <v>4682</v>
      </c>
      <c r="J568" s="6" t="s">
        <v>160</v>
      </c>
      <c r="K568" s="6" t="s">
        <v>4675</v>
      </c>
      <c r="L568" s="2" t="s">
        <v>2582</v>
      </c>
      <c r="M568" s="2" t="s">
        <v>2581</v>
      </c>
      <c r="N568" s="9" t="s">
        <v>2583</v>
      </c>
      <c r="O568" s="6" t="s">
        <v>160</v>
      </c>
      <c r="P568" s="6" t="s">
        <v>85</v>
      </c>
      <c r="Q568" s="6" t="s">
        <v>4703</v>
      </c>
      <c r="R568" s="6" t="s">
        <v>5433</v>
      </c>
    </row>
    <row r="569" customFormat="false" ht="23.85" hidden="false" customHeight="false" outlineLevel="0" collapsed="false">
      <c r="A569" s="6" t="s">
        <v>4703</v>
      </c>
      <c r="B569" s="6" t="s">
        <v>127</v>
      </c>
      <c r="C569" s="6" t="s">
        <v>4682</v>
      </c>
      <c r="D569" s="6" t="s">
        <v>3707</v>
      </c>
      <c r="E569" s="6" t="s">
        <v>3707</v>
      </c>
      <c r="F569" s="6" t="s">
        <v>918</v>
      </c>
      <c r="G569" s="6" t="s">
        <v>164</v>
      </c>
      <c r="H569" s="6" t="s">
        <v>1445</v>
      </c>
      <c r="I569" s="6" t="s">
        <v>4682</v>
      </c>
      <c r="J569" s="6" t="s">
        <v>160</v>
      </c>
      <c r="K569" s="6" t="s">
        <v>4675</v>
      </c>
      <c r="L569" s="2" t="s">
        <v>3709</v>
      </c>
      <c r="M569" s="2" t="s">
        <v>3708</v>
      </c>
      <c r="N569" s="9" t="s">
        <v>2584</v>
      </c>
      <c r="O569" s="6" t="s">
        <v>160</v>
      </c>
      <c r="P569" s="6" t="s">
        <v>85</v>
      </c>
      <c r="Q569" s="6" t="s">
        <v>4703</v>
      </c>
      <c r="R569" s="6" t="s">
        <v>5368</v>
      </c>
    </row>
    <row r="570" customFormat="false" ht="15" hidden="false" customHeight="false" outlineLevel="0" collapsed="false">
      <c r="A570" s="6" t="s">
        <v>4813</v>
      </c>
      <c r="B570" s="6" t="s">
        <v>127</v>
      </c>
      <c r="C570" s="6" t="s">
        <v>5016</v>
      </c>
      <c r="D570" s="6" t="s">
        <v>4294</v>
      </c>
      <c r="E570" s="6" t="s">
        <v>4294</v>
      </c>
      <c r="F570" s="6" t="s">
        <v>3832</v>
      </c>
      <c r="G570" s="6" t="s">
        <v>1598</v>
      </c>
      <c r="H570" s="6" t="s">
        <v>1445</v>
      </c>
      <c r="I570" s="6" t="s">
        <v>4684</v>
      </c>
      <c r="J570" s="6" t="s">
        <v>281</v>
      </c>
      <c r="K570" s="6" t="s">
        <v>4675</v>
      </c>
      <c r="L570" s="2" t="s">
        <v>4297</v>
      </c>
      <c r="M570" s="2" t="s">
        <v>4812</v>
      </c>
      <c r="N570" s="9" t="s">
        <v>4298</v>
      </c>
      <c r="O570" s="6" t="s">
        <v>281</v>
      </c>
      <c r="P570" s="6" t="s">
        <v>85</v>
      </c>
      <c r="Q570" s="6" t="s">
        <v>4813</v>
      </c>
      <c r="R570" s="6" t="s">
        <v>5433</v>
      </c>
    </row>
    <row r="571" customFormat="false" ht="23.85" hidden="false" customHeight="false" outlineLevel="0" collapsed="false">
      <c r="A571" s="6" t="s">
        <v>5081</v>
      </c>
      <c r="B571" s="6" t="s">
        <v>127</v>
      </c>
      <c r="C571" s="6" t="s">
        <v>5016</v>
      </c>
      <c r="D571" s="6" t="s">
        <v>535</v>
      </c>
      <c r="E571" s="6" t="s">
        <v>535</v>
      </c>
      <c r="F571" s="6" t="s">
        <v>536</v>
      </c>
      <c r="G571" s="6" t="s">
        <v>118</v>
      </c>
      <c r="H571" s="6" t="s">
        <v>77</v>
      </c>
      <c r="I571" s="6" t="s">
        <v>4684</v>
      </c>
      <c r="J571" s="6" t="s">
        <v>448</v>
      </c>
      <c r="K571" s="6" t="s">
        <v>4790</v>
      </c>
      <c r="L571" s="2" t="s">
        <v>540</v>
      </c>
      <c r="M571" s="2" t="s">
        <v>539</v>
      </c>
      <c r="N571" s="9" t="s">
        <v>541</v>
      </c>
      <c r="O571" s="6" t="s">
        <v>448</v>
      </c>
      <c r="P571" s="6" t="s">
        <v>85</v>
      </c>
      <c r="Q571" s="6" t="s">
        <v>5081</v>
      </c>
      <c r="R571" s="6" t="s">
        <v>5357</v>
      </c>
    </row>
    <row r="572" customFormat="false" ht="15" hidden="false" customHeight="false" outlineLevel="0" collapsed="false">
      <c r="A572" s="6" t="s">
        <v>5081</v>
      </c>
      <c r="B572" s="6" t="s">
        <v>127</v>
      </c>
      <c r="C572" s="6" t="s">
        <v>5016</v>
      </c>
      <c r="D572" s="6" t="s">
        <v>3316</v>
      </c>
      <c r="E572" s="6" t="s">
        <v>3316</v>
      </c>
      <c r="F572" s="6" t="s">
        <v>3317</v>
      </c>
      <c r="G572" s="6" t="s">
        <v>1583</v>
      </c>
      <c r="H572" s="6" t="s">
        <v>287</v>
      </c>
      <c r="I572" s="6" t="s">
        <v>4684</v>
      </c>
      <c r="J572" s="6" t="s">
        <v>448</v>
      </c>
      <c r="K572" s="6" t="s">
        <v>4790</v>
      </c>
      <c r="L572" s="2" t="s">
        <v>3319</v>
      </c>
      <c r="M572" s="2" t="s">
        <v>3318</v>
      </c>
      <c r="N572" s="9" t="s">
        <v>3320</v>
      </c>
      <c r="O572" s="6" t="s">
        <v>448</v>
      </c>
      <c r="P572" s="6" t="s">
        <v>85</v>
      </c>
      <c r="Q572" s="6" t="s">
        <v>5081</v>
      </c>
      <c r="R572" s="6" t="s">
        <v>5922</v>
      </c>
    </row>
    <row r="573" customFormat="false" ht="23.85" hidden="false" customHeight="false" outlineLevel="0" collapsed="false">
      <c r="A573" s="6" t="s">
        <v>5081</v>
      </c>
      <c r="B573" s="6" t="s">
        <v>127</v>
      </c>
      <c r="C573" s="6" t="s">
        <v>5016</v>
      </c>
      <c r="D573" s="6" t="s">
        <v>2767</v>
      </c>
      <c r="E573" s="6" t="s">
        <v>2767</v>
      </c>
      <c r="F573" s="6" t="s">
        <v>2768</v>
      </c>
      <c r="G573" s="6" t="s">
        <v>2312</v>
      </c>
      <c r="H573" s="6" t="s">
        <v>287</v>
      </c>
      <c r="I573" s="6" t="s">
        <v>4684</v>
      </c>
      <c r="J573" s="6" t="s">
        <v>5365</v>
      </c>
      <c r="K573" s="6" t="s">
        <v>4726</v>
      </c>
      <c r="L573" s="2" t="s">
        <v>2771</v>
      </c>
      <c r="M573" s="2" t="s">
        <v>2770</v>
      </c>
      <c r="N573" s="9" t="s">
        <v>2772</v>
      </c>
      <c r="O573" s="6" t="s">
        <v>655</v>
      </c>
      <c r="P573" s="6" t="s">
        <v>85</v>
      </c>
      <c r="Q573" s="6" t="s">
        <v>5081</v>
      </c>
      <c r="R573" s="6" t="s">
        <v>5922</v>
      </c>
    </row>
    <row r="574" customFormat="false" ht="15" hidden="false" customHeight="false" outlineLevel="0" collapsed="false">
      <c r="A574" s="6" t="s">
        <v>5081</v>
      </c>
      <c r="B574" s="6" t="s">
        <v>127</v>
      </c>
      <c r="C574" s="6" t="s">
        <v>5016</v>
      </c>
      <c r="D574" s="6" t="s">
        <v>3566</v>
      </c>
      <c r="E574" s="6" t="s">
        <v>3566</v>
      </c>
      <c r="F574" s="6" t="s">
        <v>5923</v>
      </c>
      <c r="G574" s="6" t="s">
        <v>1598</v>
      </c>
      <c r="H574" s="6" t="s">
        <v>1445</v>
      </c>
      <c r="I574" s="6" t="s">
        <v>4684</v>
      </c>
      <c r="J574" s="6" t="s">
        <v>2022</v>
      </c>
      <c r="K574" s="6" t="s">
        <v>4679</v>
      </c>
      <c r="L574" s="2" t="s">
        <v>5924</v>
      </c>
      <c r="M574" s="2" t="s">
        <v>5925</v>
      </c>
      <c r="N574" s="9" t="s">
        <v>3572</v>
      </c>
      <c r="O574" s="6" t="s">
        <v>2022</v>
      </c>
      <c r="P574" s="6" t="s">
        <v>106</v>
      </c>
      <c r="Q574" s="6" t="s">
        <v>5081</v>
      </c>
      <c r="R574" s="6" t="s">
        <v>5922</v>
      </c>
    </row>
    <row r="575" customFormat="false" ht="15" hidden="false" customHeight="false" outlineLevel="0" collapsed="false">
      <c r="A575" s="6" t="s">
        <v>5056</v>
      </c>
      <c r="B575" s="6" t="s">
        <v>127</v>
      </c>
      <c r="C575" s="6" t="s">
        <v>5006</v>
      </c>
      <c r="D575" s="6" t="s">
        <v>1272</v>
      </c>
      <c r="E575" s="6" t="s">
        <v>1272</v>
      </c>
      <c r="F575" s="6" t="s">
        <v>988</v>
      </c>
      <c r="G575" s="6" t="s">
        <v>118</v>
      </c>
      <c r="H575" s="6" t="s">
        <v>287</v>
      </c>
      <c r="I575" s="6" t="s">
        <v>4676</v>
      </c>
      <c r="J575" s="6" t="s">
        <v>5365</v>
      </c>
      <c r="K575" s="6" t="s">
        <v>4679</v>
      </c>
      <c r="L575" s="2" t="s">
        <v>1277</v>
      </c>
      <c r="M575" s="2" t="s">
        <v>936</v>
      </c>
      <c r="N575" s="9" t="s">
        <v>1902</v>
      </c>
      <c r="O575" s="6" t="s">
        <v>97</v>
      </c>
      <c r="P575" s="6" t="s">
        <v>106</v>
      </c>
      <c r="Q575" s="6" t="s">
        <v>5056</v>
      </c>
      <c r="R575" s="6" t="s">
        <v>5377</v>
      </c>
    </row>
    <row r="576" customFormat="false" ht="15" hidden="false" customHeight="false" outlineLevel="0" collapsed="false">
      <c r="A576" s="6" t="s">
        <v>5056</v>
      </c>
      <c r="B576" s="6" t="s">
        <v>127</v>
      </c>
      <c r="C576" s="6" t="s">
        <v>5006</v>
      </c>
      <c r="D576" s="6" t="s">
        <v>2466</v>
      </c>
      <c r="E576" s="6" t="s">
        <v>2466</v>
      </c>
      <c r="F576" s="6" t="s">
        <v>2467</v>
      </c>
      <c r="G576" s="6" t="s">
        <v>626</v>
      </c>
      <c r="H576" s="6" t="s">
        <v>287</v>
      </c>
      <c r="I576" s="6" t="s">
        <v>4706</v>
      </c>
      <c r="J576" s="6" t="s">
        <v>97</v>
      </c>
      <c r="K576" s="6" t="s">
        <v>4675</v>
      </c>
      <c r="L576" s="2" t="s">
        <v>2469</v>
      </c>
      <c r="M576" s="2"/>
      <c r="N576" s="9" t="s">
        <v>2470</v>
      </c>
      <c r="O576" s="6" t="s">
        <v>97</v>
      </c>
      <c r="P576" s="6" t="s">
        <v>85</v>
      </c>
      <c r="Q576" s="6" t="s">
        <v>5056</v>
      </c>
      <c r="R576" s="6" t="s">
        <v>5886</v>
      </c>
    </row>
    <row r="577" customFormat="false" ht="15" hidden="false" customHeight="false" outlineLevel="0" collapsed="false">
      <c r="A577" s="6" t="s">
        <v>5056</v>
      </c>
      <c r="B577" s="6" t="s">
        <v>127</v>
      </c>
      <c r="C577" s="6" t="s">
        <v>5006</v>
      </c>
      <c r="D577" s="6" t="s">
        <v>1897</v>
      </c>
      <c r="E577" s="6" t="s">
        <v>1897</v>
      </c>
      <c r="F577" s="6" t="s">
        <v>263</v>
      </c>
      <c r="G577" s="6" t="s">
        <v>182</v>
      </c>
      <c r="H577" s="6" t="s">
        <v>287</v>
      </c>
      <c r="I577" s="6" t="s">
        <v>4676</v>
      </c>
      <c r="J577" s="6" t="s">
        <v>5365</v>
      </c>
      <c r="K577" s="6" t="s">
        <v>4679</v>
      </c>
      <c r="L577" s="2" t="s">
        <v>1900</v>
      </c>
      <c r="M577" s="2" t="s">
        <v>936</v>
      </c>
      <c r="N577" s="9" t="s">
        <v>1902</v>
      </c>
      <c r="O577" s="6" t="s">
        <v>97</v>
      </c>
      <c r="P577" s="6" t="s">
        <v>106</v>
      </c>
      <c r="Q577" s="6" t="s">
        <v>5056</v>
      </c>
      <c r="R577" s="6" t="s">
        <v>5377</v>
      </c>
    </row>
    <row r="578" customFormat="false" ht="15" hidden="false" customHeight="false" outlineLevel="0" collapsed="false">
      <c r="A578" s="6" t="s">
        <v>5056</v>
      </c>
      <c r="B578" s="6" t="s">
        <v>127</v>
      </c>
      <c r="C578" s="6" t="s">
        <v>5006</v>
      </c>
      <c r="D578" s="6" t="s">
        <v>3664</v>
      </c>
      <c r="E578" s="6" t="s">
        <v>3664</v>
      </c>
      <c r="F578" s="6" t="s">
        <v>3665</v>
      </c>
      <c r="G578" s="6" t="s">
        <v>182</v>
      </c>
      <c r="H578" s="6" t="s">
        <v>1445</v>
      </c>
      <c r="I578" s="6" t="s">
        <v>4676</v>
      </c>
      <c r="J578" s="6" t="s">
        <v>5365</v>
      </c>
      <c r="K578" s="6" t="s">
        <v>4790</v>
      </c>
      <c r="L578" s="2" t="s">
        <v>3667</v>
      </c>
      <c r="M578" s="2"/>
      <c r="N578" s="9" t="s">
        <v>3668</v>
      </c>
      <c r="O578" s="6" t="s">
        <v>324</v>
      </c>
      <c r="P578" s="6" t="s">
        <v>106</v>
      </c>
      <c r="Q578" s="6" t="s">
        <v>5056</v>
      </c>
      <c r="R578" s="6" t="s">
        <v>5886</v>
      </c>
    </row>
    <row r="579" customFormat="false" ht="23.85" hidden="false" customHeight="false" outlineLevel="0" collapsed="false">
      <c r="A579" s="6" t="s">
        <v>5056</v>
      </c>
      <c r="B579" s="6" t="s">
        <v>127</v>
      </c>
      <c r="C579" s="6" t="s">
        <v>5006</v>
      </c>
      <c r="D579" s="6" t="s">
        <v>3932</v>
      </c>
      <c r="E579" s="6" t="s">
        <v>3932</v>
      </c>
      <c r="F579" s="6" t="s">
        <v>3932</v>
      </c>
      <c r="G579" s="6" t="s">
        <v>507</v>
      </c>
      <c r="H579" s="6" t="s">
        <v>1445</v>
      </c>
      <c r="I579" s="6" t="s">
        <v>4676</v>
      </c>
      <c r="J579" s="6" t="s">
        <v>236</v>
      </c>
      <c r="K579" s="6" t="s">
        <v>4790</v>
      </c>
      <c r="L579" s="2" t="s">
        <v>3933</v>
      </c>
      <c r="M579" s="2"/>
      <c r="N579" s="9" t="s">
        <v>3934</v>
      </c>
      <c r="O579" s="6" t="s">
        <v>236</v>
      </c>
      <c r="P579" s="6" t="s">
        <v>85</v>
      </c>
      <c r="Q579" s="6" t="s">
        <v>5056</v>
      </c>
      <c r="R579" s="6" t="s">
        <v>5886</v>
      </c>
    </row>
    <row r="580" customFormat="false" ht="15" hidden="false" customHeight="false" outlineLevel="0" collapsed="false">
      <c r="A580" s="6" t="s">
        <v>5056</v>
      </c>
      <c r="B580" s="6" t="s">
        <v>127</v>
      </c>
      <c r="C580" s="6" t="s">
        <v>5006</v>
      </c>
      <c r="D580" s="6" t="s">
        <v>3935</v>
      </c>
      <c r="E580" s="6" t="s">
        <v>3935</v>
      </c>
      <c r="F580" s="6" t="s">
        <v>3935</v>
      </c>
      <c r="G580" s="6" t="s">
        <v>507</v>
      </c>
      <c r="H580" s="6" t="s">
        <v>1445</v>
      </c>
      <c r="I580" s="6" t="s">
        <v>4676</v>
      </c>
      <c r="J580" s="6" t="s">
        <v>256</v>
      </c>
      <c r="K580" s="6" t="s">
        <v>4675</v>
      </c>
      <c r="L580" s="2" t="s">
        <v>3937</v>
      </c>
      <c r="M580" s="2"/>
      <c r="N580" s="9" t="s">
        <v>3938</v>
      </c>
      <c r="O580" s="6" t="s">
        <v>256</v>
      </c>
      <c r="P580" s="6" t="s">
        <v>85</v>
      </c>
      <c r="Q580" s="6" t="s">
        <v>5056</v>
      </c>
      <c r="R580" s="6" t="s">
        <v>5886</v>
      </c>
    </row>
    <row r="581" customFormat="false" ht="15" hidden="false" customHeight="false" outlineLevel="0" collapsed="false">
      <c r="A581" s="6" t="s">
        <v>5056</v>
      </c>
      <c r="B581" s="6" t="s">
        <v>127</v>
      </c>
      <c r="C581" s="6" t="s">
        <v>5006</v>
      </c>
      <c r="D581" s="6" t="s">
        <v>3721</v>
      </c>
      <c r="E581" s="6" t="s">
        <v>3721</v>
      </c>
      <c r="F581" s="6" t="s">
        <v>3722</v>
      </c>
      <c r="G581" s="6" t="s">
        <v>182</v>
      </c>
      <c r="H581" s="6" t="s">
        <v>1445</v>
      </c>
      <c r="I581" s="6" t="s">
        <v>4676</v>
      </c>
      <c r="J581" s="6" t="s">
        <v>324</v>
      </c>
      <c r="K581" s="6" t="s">
        <v>4790</v>
      </c>
      <c r="L581" s="2" t="s">
        <v>3724</v>
      </c>
      <c r="M581" s="2"/>
      <c r="N581" s="9" t="s">
        <v>3725</v>
      </c>
      <c r="O581" s="6" t="s">
        <v>324</v>
      </c>
      <c r="P581" s="6" t="s">
        <v>85</v>
      </c>
      <c r="Q581" s="6" t="s">
        <v>5056</v>
      </c>
      <c r="R581" s="6" t="s">
        <v>5886</v>
      </c>
    </row>
    <row r="582" customFormat="false" ht="15" hidden="false" customHeight="false" outlineLevel="0" collapsed="false">
      <c r="A582" s="6" t="s">
        <v>5056</v>
      </c>
      <c r="B582" s="6" t="s">
        <v>127</v>
      </c>
      <c r="C582" s="6" t="s">
        <v>5006</v>
      </c>
      <c r="D582" s="6" t="s">
        <v>4548</v>
      </c>
      <c r="E582" s="6" t="s">
        <v>4548</v>
      </c>
      <c r="F582" s="6" t="s">
        <v>4549</v>
      </c>
      <c r="G582" s="6" t="s">
        <v>2312</v>
      </c>
      <c r="H582" s="6" t="s">
        <v>1445</v>
      </c>
      <c r="I582" s="6" t="s">
        <v>4706</v>
      </c>
      <c r="J582" s="6" t="s">
        <v>5365</v>
      </c>
      <c r="K582" s="6" t="s">
        <v>4790</v>
      </c>
      <c r="L582" s="2" t="s">
        <v>4551</v>
      </c>
      <c r="M582" s="2"/>
      <c r="N582" s="9" t="s">
        <v>4552</v>
      </c>
      <c r="O582" s="6" t="s">
        <v>1943</v>
      </c>
      <c r="P582" s="6" t="s">
        <v>106</v>
      </c>
      <c r="Q582" s="6" t="s">
        <v>5056</v>
      </c>
      <c r="R582" s="6" t="s">
        <v>5886</v>
      </c>
    </row>
    <row r="583" customFormat="false" ht="23.85" hidden="false" customHeight="false" outlineLevel="0" collapsed="false">
      <c r="A583" s="6" t="s">
        <v>5056</v>
      </c>
      <c r="B583" s="6" t="s">
        <v>127</v>
      </c>
      <c r="C583" s="6" t="s">
        <v>5006</v>
      </c>
      <c r="D583" s="6" t="s">
        <v>2666</v>
      </c>
      <c r="E583" s="6" t="s">
        <v>2666</v>
      </c>
      <c r="F583" s="6" t="s">
        <v>2666</v>
      </c>
      <c r="G583" s="6" t="s">
        <v>507</v>
      </c>
      <c r="H583" s="6" t="s">
        <v>1445</v>
      </c>
      <c r="I583" s="6" t="s">
        <v>4676</v>
      </c>
      <c r="J583" s="6" t="s">
        <v>5490</v>
      </c>
      <c r="K583" s="6" t="s">
        <v>4790</v>
      </c>
      <c r="L583" s="2" t="s">
        <v>2670</v>
      </c>
      <c r="M583" s="2" t="s">
        <v>5926</v>
      </c>
      <c r="N583" s="9" t="s">
        <v>2672</v>
      </c>
      <c r="O583" s="6" t="s">
        <v>517</v>
      </c>
      <c r="P583" s="6" t="s">
        <v>85</v>
      </c>
      <c r="Q583" s="6" t="s">
        <v>5056</v>
      </c>
      <c r="R583" s="6" t="s">
        <v>5886</v>
      </c>
    </row>
    <row r="584" customFormat="false" ht="15" hidden="false" customHeight="false" outlineLevel="0" collapsed="false">
      <c r="A584" s="6" t="s">
        <v>5166</v>
      </c>
      <c r="B584" s="6" t="s">
        <v>127</v>
      </c>
      <c r="C584" s="6" t="s">
        <v>5006</v>
      </c>
      <c r="D584" s="6" t="s">
        <v>1053</v>
      </c>
      <c r="E584" s="6" t="s">
        <v>1053</v>
      </c>
      <c r="F584" s="6" t="s">
        <v>1053</v>
      </c>
      <c r="G584" s="6" t="s">
        <v>239</v>
      </c>
      <c r="H584" s="6" t="s">
        <v>77</v>
      </c>
      <c r="I584" s="6" t="s">
        <v>4706</v>
      </c>
      <c r="J584" s="6" t="s">
        <v>2281</v>
      </c>
      <c r="K584" s="6" t="s">
        <v>4679</v>
      </c>
      <c r="L584" s="2" t="s">
        <v>5927</v>
      </c>
      <c r="M584" s="2" t="s">
        <v>5928</v>
      </c>
      <c r="N584" s="9" t="s">
        <v>1057</v>
      </c>
      <c r="O584" s="6" t="s">
        <v>2281</v>
      </c>
      <c r="P584" s="6" t="s">
        <v>106</v>
      </c>
      <c r="Q584" s="6" t="s">
        <v>5166</v>
      </c>
      <c r="R584" s="6" t="s">
        <v>5368</v>
      </c>
    </row>
    <row r="585" customFormat="false" ht="15" hidden="false" customHeight="false" outlineLevel="0" collapsed="false">
      <c r="A585" s="6" t="s">
        <v>5168</v>
      </c>
      <c r="B585" s="6" t="s">
        <v>127</v>
      </c>
      <c r="C585" s="6" t="s">
        <v>5016</v>
      </c>
      <c r="D585" s="6" t="s">
        <v>897</v>
      </c>
      <c r="E585" s="6" t="s">
        <v>897</v>
      </c>
      <c r="F585" s="6" t="s">
        <v>898</v>
      </c>
      <c r="G585" s="6" t="s">
        <v>164</v>
      </c>
      <c r="H585" s="6" t="s">
        <v>77</v>
      </c>
      <c r="I585" s="6" t="s">
        <v>4680</v>
      </c>
      <c r="J585" s="6" t="s">
        <v>383</v>
      </c>
      <c r="K585" s="6" t="s">
        <v>4790</v>
      </c>
      <c r="L585" s="2" t="s">
        <v>901</v>
      </c>
      <c r="M585" s="2" t="s">
        <v>900</v>
      </c>
      <c r="N585" s="9" t="s">
        <v>902</v>
      </c>
      <c r="O585" s="6" t="s">
        <v>383</v>
      </c>
      <c r="P585" s="6" t="s">
        <v>85</v>
      </c>
      <c r="Q585" s="6" t="s">
        <v>5168</v>
      </c>
      <c r="R585" s="6" t="s">
        <v>5368</v>
      </c>
    </row>
    <row r="586" customFormat="false" ht="35.05" hidden="false" customHeight="false" outlineLevel="0" collapsed="false">
      <c r="A586" s="6" t="s">
        <v>5135</v>
      </c>
      <c r="B586" s="6" t="s">
        <v>127</v>
      </c>
      <c r="C586" s="6" t="s">
        <v>5006</v>
      </c>
      <c r="D586" s="6" t="s">
        <v>771</v>
      </c>
      <c r="E586" s="6" t="s">
        <v>771</v>
      </c>
      <c r="F586" s="6" t="s">
        <v>772</v>
      </c>
      <c r="G586" s="6" t="s">
        <v>90</v>
      </c>
      <c r="H586" s="6" t="s">
        <v>287</v>
      </c>
      <c r="I586" s="6" t="s">
        <v>4684</v>
      </c>
      <c r="J586" s="6" t="s">
        <v>5365</v>
      </c>
      <c r="K586" s="6" t="s">
        <v>4679</v>
      </c>
      <c r="L586" s="2" t="s">
        <v>5929</v>
      </c>
      <c r="M586" s="2" t="s">
        <v>3086</v>
      </c>
      <c r="N586" s="9" t="s">
        <v>777</v>
      </c>
      <c r="O586" s="6" t="s">
        <v>1401</v>
      </c>
      <c r="P586" s="6" t="s">
        <v>106</v>
      </c>
      <c r="Q586" s="6" t="s">
        <v>5135</v>
      </c>
      <c r="R586" s="6" t="s">
        <v>5886</v>
      </c>
    </row>
    <row r="587" customFormat="false" ht="35.05" hidden="false" customHeight="false" outlineLevel="0" collapsed="false">
      <c r="A587" s="6" t="s">
        <v>5135</v>
      </c>
      <c r="B587" s="6" t="s">
        <v>127</v>
      </c>
      <c r="C587" s="6" t="s">
        <v>5006</v>
      </c>
      <c r="D587" s="6" t="s">
        <v>3083</v>
      </c>
      <c r="E587" s="6" t="s">
        <v>3083</v>
      </c>
      <c r="F587" s="6" t="s">
        <v>3084</v>
      </c>
      <c r="G587" s="6" t="s">
        <v>507</v>
      </c>
      <c r="H587" s="6" t="s">
        <v>1445</v>
      </c>
      <c r="I587" s="6" t="s">
        <v>4676</v>
      </c>
      <c r="J587" s="6" t="s">
        <v>834</v>
      </c>
      <c r="K587" s="6" t="s">
        <v>4679</v>
      </c>
      <c r="L587" s="2" t="s">
        <v>3087</v>
      </c>
      <c r="M587" s="2" t="s">
        <v>3086</v>
      </c>
      <c r="N587" s="9" t="s">
        <v>3088</v>
      </c>
      <c r="O587" s="6" t="s">
        <v>834</v>
      </c>
      <c r="P587" s="6" t="s">
        <v>106</v>
      </c>
      <c r="Q587" s="6" t="s">
        <v>5135</v>
      </c>
      <c r="R587" s="6" t="s">
        <v>5886</v>
      </c>
    </row>
    <row r="588" customFormat="false" ht="23.85" hidden="false" customHeight="false" outlineLevel="0" collapsed="false">
      <c r="A588" s="6" t="s">
        <v>5170</v>
      </c>
      <c r="B588" s="6" t="s">
        <v>127</v>
      </c>
      <c r="C588" s="6" t="s">
        <v>5006</v>
      </c>
      <c r="D588" s="6" t="s">
        <v>1564</v>
      </c>
      <c r="E588" s="6" t="s">
        <v>1564</v>
      </c>
      <c r="F588" s="6" t="s">
        <v>5930</v>
      </c>
      <c r="G588" s="6" t="s">
        <v>153</v>
      </c>
      <c r="H588" s="6" t="s">
        <v>77</v>
      </c>
      <c r="I588" s="6" t="s">
        <v>4706</v>
      </c>
      <c r="J588" s="6" t="s">
        <v>5931</v>
      </c>
      <c r="K588" s="6" t="s">
        <v>4679</v>
      </c>
      <c r="L588" s="2" t="s">
        <v>5932</v>
      </c>
      <c r="M588" s="2" t="s">
        <v>5933</v>
      </c>
      <c r="N588" s="9" t="s">
        <v>1570</v>
      </c>
      <c r="O588" s="6" t="s">
        <v>5931</v>
      </c>
      <c r="P588" s="6" t="s">
        <v>98</v>
      </c>
      <c r="Q588" s="6" t="s">
        <v>5170</v>
      </c>
      <c r="R588" s="6" t="s">
        <v>5377</v>
      </c>
    </row>
    <row r="589" customFormat="false" ht="23.85" hidden="false" customHeight="false" outlineLevel="0" collapsed="false">
      <c r="A589" s="6" t="s">
        <v>4681</v>
      </c>
      <c r="B589" s="6" t="s">
        <v>127</v>
      </c>
      <c r="C589" s="6" t="s">
        <v>4682</v>
      </c>
      <c r="D589" s="6" t="s">
        <v>2606</v>
      </c>
      <c r="E589" s="6" t="s">
        <v>2606</v>
      </c>
      <c r="F589" s="6" t="s">
        <v>1610</v>
      </c>
      <c r="G589" s="6" t="s">
        <v>153</v>
      </c>
      <c r="H589" s="6" t="s">
        <v>287</v>
      </c>
      <c r="I589" s="6" t="s">
        <v>4682</v>
      </c>
      <c r="J589" s="6" t="s">
        <v>97</v>
      </c>
      <c r="K589" s="6" t="s">
        <v>4675</v>
      </c>
      <c r="L589" s="2" t="s">
        <v>2609</v>
      </c>
      <c r="M589" s="2" t="s">
        <v>2608</v>
      </c>
      <c r="N589" s="9" t="s">
        <v>2610</v>
      </c>
      <c r="O589" s="6" t="s">
        <v>97</v>
      </c>
      <c r="P589" s="6" t="s">
        <v>85</v>
      </c>
      <c r="Q589" s="6" t="s">
        <v>4681</v>
      </c>
      <c r="R589" s="6" t="s">
        <v>5433</v>
      </c>
    </row>
    <row r="590" customFormat="false" ht="15" hidden="false" customHeight="false" outlineLevel="0" collapsed="false">
      <c r="A590" s="6" t="s">
        <v>5108</v>
      </c>
      <c r="B590" s="6" t="s">
        <v>127</v>
      </c>
      <c r="C590" s="6" t="s">
        <v>5016</v>
      </c>
      <c r="D590" s="6" t="s">
        <v>420</v>
      </c>
      <c r="E590" s="6" t="s">
        <v>420</v>
      </c>
      <c r="F590" s="6" t="s">
        <v>421</v>
      </c>
      <c r="G590" s="6" t="s">
        <v>239</v>
      </c>
      <c r="H590" s="6" t="s">
        <v>287</v>
      </c>
      <c r="I590" s="6" t="s">
        <v>4684</v>
      </c>
      <c r="J590" s="6" t="s">
        <v>5365</v>
      </c>
      <c r="K590" s="6" t="s">
        <v>4790</v>
      </c>
      <c r="L590" s="2" t="s">
        <v>5934</v>
      </c>
      <c r="M590" s="2" t="s">
        <v>5935</v>
      </c>
      <c r="N590" s="9" t="s">
        <v>2778</v>
      </c>
      <c r="O590" s="6" t="s">
        <v>504</v>
      </c>
      <c r="P590" s="6" t="s">
        <v>85</v>
      </c>
      <c r="Q590" s="6" t="s">
        <v>5108</v>
      </c>
      <c r="R590" s="6" t="s">
        <v>5922</v>
      </c>
    </row>
    <row r="591" customFormat="false" ht="15" hidden="false" customHeight="false" outlineLevel="0" collapsed="false">
      <c r="A591" s="6" t="s">
        <v>5108</v>
      </c>
      <c r="B591" s="6" t="s">
        <v>127</v>
      </c>
      <c r="C591" s="6" t="s">
        <v>5016</v>
      </c>
      <c r="D591" s="6" t="s">
        <v>2595</v>
      </c>
      <c r="E591" s="6" t="s">
        <v>2595</v>
      </c>
      <c r="F591" s="6" t="s">
        <v>708</v>
      </c>
      <c r="G591" s="6" t="s">
        <v>182</v>
      </c>
      <c r="H591" s="6" t="s">
        <v>287</v>
      </c>
      <c r="I591" s="6" t="s">
        <v>4684</v>
      </c>
      <c r="J591" s="6" t="s">
        <v>5365</v>
      </c>
      <c r="K591" s="6" t="s">
        <v>4790</v>
      </c>
      <c r="L591" s="2" t="s">
        <v>2598</v>
      </c>
      <c r="M591" s="2" t="s">
        <v>2597</v>
      </c>
      <c r="N591" s="9" t="s">
        <v>2599</v>
      </c>
      <c r="O591" s="6" t="s">
        <v>123</v>
      </c>
      <c r="P591" s="6" t="s">
        <v>85</v>
      </c>
      <c r="Q591" s="6" t="s">
        <v>5108</v>
      </c>
      <c r="R591" s="6" t="s">
        <v>5922</v>
      </c>
    </row>
    <row r="592" customFormat="false" ht="15" hidden="false" customHeight="false" outlineLevel="0" collapsed="false">
      <c r="A592" s="6" t="s">
        <v>5108</v>
      </c>
      <c r="B592" s="6" t="s">
        <v>127</v>
      </c>
      <c r="C592" s="6" t="s">
        <v>5016</v>
      </c>
      <c r="D592" s="6" t="s">
        <v>4009</v>
      </c>
      <c r="E592" s="6" t="s">
        <v>4009</v>
      </c>
      <c r="F592" s="6" t="s">
        <v>2999</v>
      </c>
      <c r="G592" s="6" t="s">
        <v>507</v>
      </c>
      <c r="H592" s="6" t="s">
        <v>1445</v>
      </c>
      <c r="I592" s="6" t="s">
        <v>4684</v>
      </c>
      <c r="J592" s="6" t="s">
        <v>5365</v>
      </c>
      <c r="K592" s="6" t="s">
        <v>4790</v>
      </c>
      <c r="L592" s="2" t="s">
        <v>4010</v>
      </c>
      <c r="M592" s="2"/>
      <c r="N592" s="9" t="s">
        <v>2778</v>
      </c>
      <c r="O592" s="6" t="s">
        <v>504</v>
      </c>
      <c r="P592" s="6" t="s">
        <v>85</v>
      </c>
      <c r="Q592" s="6" t="s">
        <v>5108</v>
      </c>
      <c r="R592" s="6" t="s">
        <v>5922</v>
      </c>
    </row>
    <row r="593" customFormat="false" ht="23.85" hidden="false" customHeight="false" outlineLevel="0" collapsed="false">
      <c r="A593" s="6" t="s">
        <v>5136</v>
      </c>
      <c r="B593" s="6" t="s">
        <v>127</v>
      </c>
      <c r="C593" s="6" t="s">
        <v>5006</v>
      </c>
      <c r="D593" s="6" t="s">
        <v>2013</v>
      </c>
      <c r="E593" s="6" t="s">
        <v>2013</v>
      </c>
      <c r="F593" s="6" t="s">
        <v>824</v>
      </c>
      <c r="G593" s="6" t="s">
        <v>90</v>
      </c>
      <c r="H593" s="6" t="s">
        <v>287</v>
      </c>
      <c r="I593" s="6" t="s">
        <v>4706</v>
      </c>
      <c r="J593" s="6" t="s">
        <v>2017</v>
      </c>
      <c r="K593" s="6" t="s">
        <v>4679</v>
      </c>
      <c r="L593" s="2" t="s">
        <v>2016</v>
      </c>
      <c r="M593" s="2" t="s">
        <v>2015</v>
      </c>
      <c r="N593" s="9" t="s">
        <v>2018</v>
      </c>
      <c r="O593" s="6" t="s">
        <v>2017</v>
      </c>
      <c r="P593" s="6" t="s">
        <v>98</v>
      </c>
      <c r="Q593" s="6" t="s">
        <v>5136</v>
      </c>
      <c r="R593" s="6" t="s">
        <v>5377</v>
      </c>
    </row>
    <row r="594" customFormat="false" ht="15" hidden="false" customHeight="false" outlineLevel="0" collapsed="false">
      <c r="A594" s="6" t="s">
        <v>5136</v>
      </c>
      <c r="B594" s="6" t="s">
        <v>127</v>
      </c>
      <c r="C594" s="6" t="s">
        <v>5006</v>
      </c>
      <c r="D594" s="6" t="s">
        <v>2182</v>
      </c>
      <c r="E594" s="6" t="s">
        <v>2182</v>
      </c>
      <c r="F594" s="6" t="s">
        <v>2183</v>
      </c>
      <c r="G594" s="6" t="s">
        <v>90</v>
      </c>
      <c r="H594" s="6" t="s">
        <v>287</v>
      </c>
      <c r="I594" s="6" t="s">
        <v>4676</v>
      </c>
      <c r="J594" s="6" t="s">
        <v>5365</v>
      </c>
      <c r="K594" s="6" t="s">
        <v>4679</v>
      </c>
      <c r="L594" s="2" t="s">
        <v>2185</v>
      </c>
      <c r="M594" s="2" t="s">
        <v>936</v>
      </c>
      <c r="N594" s="9" t="s">
        <v>2186</v>
      </c>
      <c r="O594" s="6" t="s">
        <v>97</v>
      </c>
      <c r="P594" s="6" t="s">
        <v>106</v>
      </c>
      <c r="Q594" s="6" t="s">
        <v>5136</v>
      </c>
      <c r="R594" s="6" t="s">
        <v>5377</v>
      </c>
    </row>
    <row r="595" customFormat="false" ht="23.85" hidden="false" customHeight="false" outlineLevel="0" collapsed="false">
      <c r="A595" s="6" t="s">
        <v>5172</v>
      </c>
      <c r="B595" s="6" t="s">
        <v>127</v>
      </c>
      <c r="C595" s="6" t="s">
        <v>5016</v>
      </c>
      <c r="D595" s="6" t="s">
        <v>1120</v>
      </c>
      <c r="E595" s="6" t="s">
        <v>1120</v>
      </c>
      <c r="F595" s="6" t="s">
        <v>1120</v>
      </c>
      <c r="G595" s="6" t="s">
        <v>507</v>
      </c>
      <c r="H595" s="6" t="s">
        <v>287</v>
      </c>
      <c r="I595" s="6" t="s">
        <v>4684</v>
      </c>
      <c r="J595" s="6" t="s">
        <v>5365</v>
      </c>
      <c r="K595" s="6" t="s">
        <v>4679</v>
      </c>
      <c r="L595" s="2" t="s">
        <v>5936</v>
      </c>
      <c r="M595" s="2" t="s">
        <v>5937</v>
      </c>
      <c r="N595" s="9" t="s">
        <v>5938</v>
      </c>
      <c r="O595" s="6" t="s">
        <v>5939</v>
      </c>
      <c r="P595" s="6" t="s">
        <v>98</v>
      </c>
      <c r="Q595" s="6" t="s">
        <v>5172</v>
      </c>
      <c r="R595" s="6" t="s">
        <v>5922</v>
      </c>
    </row>
    <row r="596" customFormat="false" ht="15" hidden="false" customHeight="false" outlineLevel="0" collapsed="false">
      <c r="A596" s="6" t="s">
        <v>5173</v>
      </c>
      <c r="B596" s="6" t="s">
        <v>127</v>
      </c>
      <c r="C596" s="6" t="s">
        <v>5006</v>
      </c>
      <c r="D596" s="6" t="s">
        <v>3585</v>
      </c>
      <c r="E596" s="6" t="s">
        <v>3585</v>
      </c>
      <c r="F596" s="6" t="s">
        <v>3585</v>
      </c>
      <c r="G596" s="6" t="s">
        <v>1644</v>
      </c>
      <c r="H596" s="6" t="s">
        <v>1445</v>
      </c>
      <c r="I596" s="6" t="s">
        <v>4706</v>
      </c>
      <c r="J596" s="6" t="s">
        <v>5365</v>
      </c>
      <c r="K596" s="6" t="s">
        <v>4679</v>
      </c>
      <c r="L596" s="2" t="s">
        <v>5940</v>
      </c>
      <c r="M596" s="2" t="s">
        <v>5941</v>
      </c>
      <c r="N596" s="9" t="s">
        <v>3591</v>
      </c>
      <c r="O596" s="6" t="s">
        <v>999</v>
      </c>
      <c r="P596" s="6" t="s">
        <v>98</v>
      </c>
      <c r="Q596" s="6" t="s">
        <v>5173</v>
      </c>
      <c r="R596" s="6" t="s">
        <v>5886</v>
      </c>
    </row>
    <row r="597" customFormat="false" ht="15" hidden="false" customHeight="false" outlineLevel="0" collapsed="false">
      <c r="A597" s="6" t="s">
        <v>5138</v>
      </c>
      <c r="B597" s="6" t="s">
        <v>127</v>
      </c>
      <c r="C597" s="6" t="s">
        <v>4682</v>
      </c>
      <c r="D597" s="6" t="s">
        <v>3330</v>
      </c>
      <c r="E597" s="6" t="s">
        <v>3330</v>
      </c>
      <c r="F597" s="6" t="s">
        <v>2850</v>
      </c>
      <c r="G597" s="6" t="s">
        <v>1598</v>
      </c>
      <c r="H597" s="6" t="s">
        <v>287</v>
      </c>
      <c r="I597" s="6" t="s">
        <v>4682</v>
      </c>
      <c r="J597" s="6" t="s">
        <v>5365</v>
      </c>
      <c r="K597" s="6" t="s">
        <v>4679</v>
      </c>
      <c r="L597" s="2" t="s">
        <v>3331</v>
      </c>
      <c r="M597" s="2"/>
      <c r="N597" s="9" t="s">
        <v>2145</v>
      </c>
      <c r="O597" s="6" t="s">
        <v>97</v>
      </c>
      <c r="P597" s="6" t="s">
        <v>106</v>
      </c>
      <c r="Q597" s="6" t="s">
        <v>5138</v>
      </c>
      <c r="R597" s="6" t="s">
        <v>5886</v>
      </c>
    </row>
    <row r="598" customFormat="false" ht="15" hidden="false" customHeight="false" outlineLevel="0" collapsed="false">
      <c r="A598" s="6" t="s">
        <v>5138</v>
      </c>
      <c r="B598" s="6" t="s">
        <v>127</v>
      </c>
      <c r="C598" s="6" t="s">
        <v>4682</v>
      </c>
      <c r="D598" s="6" t="s">
        <v>2141</v>
      </c>
      <c r="E598" s="6" t="s">
        <v>2141</v>
      </c>
      <c r="F598" s="6" t="s">
        <v>2142</v>
      </c>
      <c r="G598" s="6" t="s">
        <v>118</v>
      </c>
      <c r="H598" s="6" t="s">
        <v>287</v>
      </c>
      <c r="I598" s="6" t="s">
        <v>4682</v>
      </c>
      <c r="J598" s="6" t="s">
        <v>5365</v>
      </c>
      <c r="K598" s="6" t="s">
        <v>4679</v>
      </c>
      <c r="L598" s="2" t="s">
        <v>2144</v>
      </c>
      <c r="M598" s="2"/>
      <c r="N598" s="9" t="s">
        <v>2145</v>
      </c>
      <c r="O598" s="6" t="s">
        <v>97</v>
      </c>
      <c r="P598" s="6" t="s">
        <v>106</v>
      </c>
      <c r="Q598" s="6" t="s">
        <v>5138</v>
      </c>
      <c r="R598" s="6" t="s">
        <v>5886</v>
      </c>
    </row>
    <row r="599" customFormat="false" ht="15" hidden="false" customHeight="false" outlineLevel="0" collapsed="false">
      <c r="A599" s="6" t="s">
        <v>4807</v>
      </c>
      <c r="B599" s="6" t="s">
        <v>127</v>
      </c>
      <c r="C599" s="6" t="s">
        <v>4682</v>
      </c>
      <c r="D599" s="6" t="s">
        <v>2157</v>
      </c>
      <c r="E599" s="6" t="s">
        <v>2157</v>
      </c>
      <c r="F599" s="6" t="s">
        <v>2157</v>
      </c>
      <c r="G599" s="6" t="s">
        <v>239</v>
      </c>
      <c r="H599" s="6" t="s">
        <v>287</v>
      </c>
      <c r="I599" s="6" t="s">
        <v>4682</v>
      </c>
      <c r="J599" s="6" t="s">
        <v>281</v>
      </c>
      <c r="K599" s="6" t="s">
        <v>4675</v>
      </c>
      <c r="L599" s="2" t="s">
        <v>2160</v>
      </c>
      <c r="M599" s="2" t="s">
        <v>2159</v>
      </c>
      <c r="N599" s="9" t="s">
        <v>2161</v>
      </c>
      <c r="O599" s="6" t="s">
        <v>281</v>
      </c>
      <c r="P599" s="6" t="s">
        <v>85</v>
      </c>
      <c r="Q599" s="6" t="s">
        <v>4807</v>
      </c>
      <c r="R599" s="6" t="s">
        <v>5433</v>
      </c>
    </row>
    <row r="600" customFormat="false" ht="35.05" hidden="false" customHeight="false" outlineLevel="0" collapsed="false">
      <c r="A600" s="6" t="s">
        <v>4826</v>
      </c>
      <c r="B600" s="6" t="s">
        <v>127</v>
      </c>
      <c r="C600" s="6" t="s">
        <v>4682</v>
      </c>
      <c r="D600" s="6" t="s">
        <v>1040</v>
      </c>
      <c r="E600" s="6" t="s">
        <v>5942</v>
      </c>
      <c r="F600" s="6" t="s">
        <v>1041</v>
      </c>
      <c r="G600" s="6" t="s">
        <v>118</v>
      </c>
      <c r="H600" s="6" t="s">
        <v>77</v>
      </c>
      <c r="I600" s="6" t="s">
        <v>4682</v>
      </c>
      <c r="J600" s="6" t="s">
        <v>130</v>
      </c>
      <c r="K600" s="6" t="s">
        <v>4675</v>
      </c>
      <c r="L600" s="2" t="s">
        <v>1045</v>
      </c>
      <c r="M600" s="2" t="s">
        <v>5943</v>
      </c>
      <c r="N600" s="9" t="s">
        <v>1047</v>
      </c>
      <c r="O600" s="6" t="s">
        <v>130</v>
      </c>
      <c r="P600" s="6" t="s">
        <v>85</v>
      </c>
      <c r="Q600" s="6" t="s">
        <v>5944</v>
      </c>
      <c r="R600" s="6" t="s">
        <v>5357</v>
      </c>
    </row>
    <row r="601" customFormat="false" ht="23.85" hidden="false" customHeight="false" outlineLevel="0" collapsed="false">
      <c r="A601" s="6" t="s">
        <v>4826</v>
      </c>
      <c r="B601" s="6" t="s">
        <v>127</v>
      </c>
      <c r="C601" s="6" t="s">
        <v>5016</v>
      </c>
      <c r="D601" s="6" t="s">
        <v>3875</v>
      </c>
      <c r="E601" s="6" t="s">
        <v>3875</v>
      </c>
      <c r="F601" s="6" t="s">
        <v>3876</v>
      </c>
      <c r="G601" s="6" t="s">
        <v>507</v>
      </c>
      <c r="H601" s="6" t="s">
        <v>1445</v>
      </c>
      <c r="I601" s="6" t="s">
        <v>4684</v>
      </c>
      <c r="J601" s="6" t="s">
        <v>123</v>
      </c>
      <c r="K601" s="6" t="s">
        <v>4675</v>
      </c>
      <c r="L601" s="2" t="s">
        <v>4827</v>
      </c>
      <c r="M601" s="2" t="s">
        <v>4825</v>
      </c>
      <c r="N601" s="9" t="s">
        <v>3881</v>
      </c>
      <c r="O601" s="6" t="s">
        <v>123</v>
      </c>
      <c r="P601" s="6" t="s">
        <v>85</v>
      </c>
      <c r="Q601" s="6" t="s">
        <v>5945</v>
      </c>
      <c r="R601" s="6" t="s">
        <v>5433</v>
      </c>
    </row>
    <row r="602" customFormat="false" ht="15" hidden="false" customHeight="false" outlineLevel="0" collapsed="false">
      <c r="A602" s="6" t="s">
        <v>5083</v>
      </c>
      <c r="B602" s="6" t="s">
        <v>127</v>
      </c>
      <c r="C602" s="6" t="s">
        <v>4682</v>
      </c>
      <c r="D602" s="6" t="s">
        <v>1549</v>
      </c>
      <c r="E602" s="6" t="s">
        <v>1549</v>
      </c>
      <c r="F602" s="6" t="s">
        <v>1550</v>
      </c>
      <c r="G602" s="6" t="s">
        <v>626</v>
      </c>
      <c r="H602" s="6" t="s">
        <v>77</v>
      </c>
      <c r="I602" s="6" t="s">
        <v>4682</v>
      </c>
      <c r="J602" s="6" t="s">
        <v>517</v>
      </c>
      <c r="K602" s="6" t="s">
        <v>4790</v>
      </c>
      <c r="L602" s="2" t="s">
        <v>1553</v>
      </c>
      <c r="M602" s="2" t="s">
        <v>1552</v>
      </c>
      <c r="N602" s="9" t="s">
        <v>1554</v>
      </c>
      <c r="O602" s="6" t="s">
        <v>517</v>
      </c>
      <c r="P602" s="6" t="s">
        <v>85</v>
      </c>
      <c r="Q602" s="6" t="s">
        <v>5083</v>
      </c>
      <c r="R602" s="6" t="s">
        <v>5922</v>
      </c>
    </row>
    <row r="603" customFormat="false" ht="15" hidden="false" customHeight="false" outlineLevel="0" collapsed="false">
      <c r="A603" s="6" t="s">
        <v>5083</v>
      </c>
      <c r="B603" s="6" t="s">
        <v>127</v>
      </c>
      <c r="C603" s="6" t="s">
        <v>4682</v>
      </c>
      <c r="D603" s="6" t="s">
        <v>2874</v>
      </c>
      <c r="E603" s="6" t="s">
        <v>2874</v>
      </c>
      <c r="F603" s="6" t="s">
        <v>2875</v>
      </c>
      <c r="G603" s="6" t="s">
        <v>1127</v>
      </c>
      <c r="H603" s="6" t="s">
        <v>287</v>
      </c>
      <c r="I603" s="6" t="s">
        <v>4682</v>
      </c>
      <c r="J603" s="6" t="s">
        <v>308</v>
      </c>
      <c r="K603" s="6" t="s">
        <v>4675</v>
      </c>
      <c r="L603" s="2" t="s">
        <v>2876</v>
      </c>
      <c r="M603" s="2"/>
      <c r="N603" s="9" t="s">
        <v>2877</v>
      </c>
      <c r="O603" s="6" t="s">
        <v>308</v>
      </c>
      <c r="P603" s="6" t="s">
        <v>85</v>
      </c>
      <c r="Q603" s="6" t="s">
        <v>5083</v>
      </c>
      <c r="R603" s="6" t="s">
        <v>5377</v>
      </c>
    </row>
    <row r="604" customFormat="false" ht="15" hidden="false" customHeight="false" outlineLevel="0" collapsed="false">
      <c r="A604" s="6" t="s">
        <v>5083</v>
      </c>
      <c r="B604" s="6" t="s">
        <v>127</v>
      </c>
      <c r="C604" s="6" t="s">
        <v>4682</v>
      </c>
      <c r="D604" s="6" t="s">
        <v>2178</v>
      </c>
      <c r="E604" s="6" t="s">
        <v>2178</v>
      </c>
      <c r="F604" s="6" t="s">
        <v>2178</v>
      </c>
      <c r="G604" s="6" t="s">
        <v>239</v>
      </c>
      <c r="H604" s="6" t="s">
        <v>287</v>
      </c>
      <c r="I604" s="6" t="s">
        <v>4682</v>
      </c>
      <c r="J604" s="6" t="s">
        <v>256</v>
      </c>
      <c r="K604" s="6" t="s">
        <v>4675</v>
      </c>
      <c r="L604" s="2" t="s">
        <v>2180</v>
      </c>
      <c r="M604" s="2"/>
      <c r="N604" s="9" t="s">
        <v>2181</v>
      </c>
      <c r="O604" s="6" t="s">
        <v>256</v>
      </c>
      <c r="P604" s="6" t="s">
        <v>85</v>
      </c>
      <c r="Q604" s="6" t="s">
        <v>5083</v>
      </c>
      <c r="R604" s="6" t="s">
        <v>5377</v>
      </c>
    </row>
    <row r="605" customFormat="false" ht="15" hidden="false" customHeight="false" outlineLevel="0" collapsed="false">
      <c r="A605" s="6" t="s">
        <v>5083</v>
      </c>
      <c r="B605" s="6" t="s">
        <v>127</v>
      </c>
      <c r="C605" s="6" t="s">
        <v>4682</v>
      </c>
      <c r="D605" s="6" t="s">
        <v>1421</v>
      </c>
      <c r="E605" s="6" t="s">
        <v>1421</v>
      </c>
      <c r="F605" s="6" t="s">
        <v>1422</v>
      </c>
      <c r="G605" s="6" t="s">
        <v>90</v>
      </c>
      <c r="H605" s="6" t="s">
        <v>287</v>
      </c>
      <c r="I605" s="6" t="s">
        <v>4682</v>
      </c>
      <c r="J605" s="6" t="s">
        <v>5365</v>
      </c>
      <c r="K605" s="6" t="s">
        <v>4790</v>
      </c>
      <c r="L605" s="2" t="s">
        <v>1425</v>
      </c>
      <c r="M605" s="2" t="s">
        <v>1424</v>
      </c>
      <c r="N605" s="9" t="s">
        <v>1426</v>
      </c>
      <c r="O605" s="6" t="s">
        <v>461</v>
      </c>
      <c r="P605" s="6" t="s">
        <v>85</v>
      </c>
      <c r="Q605" s="6" t="s">
        <v>5083</v>
      </c>
      <c r="R605" s="6" t="s">
        <v>5922</v>
      </c>
    </row>
    <row r="606" customFormat="false" ht="15" hidden="false" customHeight="false" outlineLevel="0" collapsed="false">
      <c r="A606" s="6" t="s">
        <v>5110</v>
      </c>
      <c r="B606" s="6" t="s">
        <v>127</v>
      </c>
      <c r="C606" s="6" t="s">
        <v>5006</v>
      </c>
      <c r="D606" s="6" t="s">
        <v>3507</v>
      </c>
      <c r="E606" s="6" t="s">
        <v>3507</v>
      </c>
      <c r="F606" s="6" t="s">
        <v>3507</v>
      </c>
      <c r="G606" s="6" t="s">
        <v>1598</v>
      </c>
      <c r="H606" s="6" t="s">
        <v>1445</v>
      </c>
      <c r="I606" s="6" t="s">
        <v>4706</v>
      </c>
      <c r="J606" s="6" t="s">
        <v>123</v>
      </c>
      <c r="K606" s="6" t="s">
        <v>4675</v>
      </c>
      <c r="L606" s="2" t="s">
        <v>3511</v>
      </c>
      <c r="M606" s="2"/>
      <c r="N606" s="9" t="s">
        <v>3513</v>
      </c>
      <c r="O606" s="6" t="s">
        <v>123</v>
      </c>
      <c r="P606" s="6" t="s">
        <v>85</v>
      </c>
      <c r="Q606" s="6" t="s">
        <v>5110</v>
      </c>
      <c r="R606" s="6" t="s">
        <v>5886</v>
      </c>
    </row>
    <row r="607" customFormat="false" ht="15" hidden="false" customHeight="false" outlineLevel="0" collapsed="false">
      <c r="A607" s="6" t="s">
        <v>5110</v>
      </c>
      <c r="B607" s="6" t="s">
        <v>127</v>
      </c>
      <c r="C607" s="6" t="s">
        <v>5006</v>
      </c>
      <c r="D607" s="6" t="s">
        <v>4246</v>
      </c>
      <c r="E607" s="6" t="s">
        <v>4246</v>
      </c>
      <c r="F607" s="6" t="s">
        <v>4247</v>
      </c>
      <c r="G607" s="6" t="s">
        <v>1644</v>
      </c>
      <c r="H607" s="6" t="s">
        <v>1445</v>
      </c>
      <c r="I607" s="6" t="s">
        <v>5617</v>
      </c>
      <c r="J607" s="6" t="s">
        <v>5365</v>
      </c>
      <c r="K607" s="6" t="s">
        <v>4790</v>
      </c>
      <c r="L607" s="2" t="s">
        <v>4249</v>
      </c>
      <c r="M607" s="2"/>
      <c r="N607" s="9" t="s">
        <v>4250</v>
      </c>
      <c r="O607" s="6" t="s">
        <v>123</v>
      </c>
      <c r="P607" s="6" t="s">
        <v>106</v>
      </c>
      <c r="Q607" s="6" t="s">
        <v>5110</v>
      </c>
      <c r="R607" s="6" t="s">
        <v>5886</v>
      </c>
    </row>
    <row r="608" customFormat="false" ht="15" hidden="false" customHeight="false" outlineLevel="0" collapsed="false">
      <c r="A608" s="6" t="s">
        <v>5110</v>
      </c>
      <c r="B608" s="6" t="s">
        <v>127</v>
      </c>
      <c r="C608" s="6" t="s">
        <v>5006</v>
      </c>
      <c r="D608" s="6" t="s">
        <v>4433</v>
      </c>
      <c r="E608" s="6" t="s">
        <v>4433</v>
      </c>
      <c r="F608" s="6" t="s">
        <v>4434</v>
      </c>
      <c r="G608" s="6" t="s">
        <v>1598</v>
      </c>
      <c r="H608" s="6" t="s">
        <v>1445</v>
      </c>
      <c r="I608" s="6" t="s">
        <v>4706</v>
      </c>
      <c r="J608" s="6" t="s">
        <v>461</v>
      </c>
      <c r="K608" s="6" t="s">
        <v>4675</v>
      </c>
      <c r="L608" s="2" t="s">
        <v>4436</v>
      </c>
      <c r="M608" s="2"/>
      <c r="N608" s="9" t="s">
        <v>4437</v>
      </c>
      <c r="O608" s="6" t="s">
        <v>461</v>
      </c>
      <c r="P608" s="6" t="s">
        <v>85</v>
      </c>
      <c r="Q608" s="6" t="s">
        <v>5110</v>
      </c>
      <c r="R608" s="6" t="s">
        <v>5922</v>
      </c>
    </row>
    <row r="609" customFormat="false" ht="23.85" hidden="false" customHeight="false" outlineLevel="0" collapsed="false">
      <c r="A609" s="6" t="s">
        <v>4754</v>
      </c>
      <c r="B609" s="6" t="s">
        <v>127</v>
      </c>
      <c r="C609" s="6" t="s">
        <v>5016</v>
      </c>
      <c r="D609" s="6" t="s">
        <v>3266</v>
      </c>
      <c r="E609" s="6" t="s">
        <v>3266</v>
      </c>
      <c r="F609" s="6" t="s">
        <v>3267</v>
      </c>
      <c r="G609" s="6" t="s">
        <v>1598</v>
      </c>
      <c r="H609" s="6" t="s">
        <v>287</v>
      </c>
      <c r="I609" s="6" t="s">
        <v>4680</v>
      </c>
      <c r="J609" s="6" t="s">
        <v>130</v>
      </c>
      <c r="K609" s="6" t="s">
        <v>4675</v>
      </c>
      <c r="L609" s="2" t="s">
        <v>3270</v>
      </c>
      <c r="M609" s="2" t="s">
        <v>3269</v>
      </c>
      <c r="N609" s="9" t="s">
        <v>3271</v>
      </c>
      <c r="O609" s="6" t="s">
        <v>130</v>
      </c>
      <c r="P609" s="6" t="s">
        <v>85</v>
      </c>
      <c r="Q609" s="6" t="s">
        <v>4754</v>
      </c>
      <c r="R609" s="6" t="s">
        <v>5433</v>
      </c>
    </row>
    <row r="610" customFormat="false" ht="15" hidden="false" customHeight="false" outlineLevel="0" collapsed="false">
      <c r="A610" s="6" t="s">
        <v>4754</v>
      </c>
      <c r="B610" s="6" t="s">
        <v>127</v>
      </c>
      <c r="C610" s="6" t="s">
        <v>5016</v>
      </c>
      <c r="D610" s="6" t="s">
        <v>2471</v>
      </c>
      <c r="E610" s="6" t="s">
        <v>2471</v>
      </c>
      <c r="F610" s="6" t="s">
        <v>1824</v>
      </c>
      <c r="G610" s="6" t="s">
        <v>153</v>
      </c>
      <c r="H610" s="6" t="s">
        <v>287</v>
      </c>
      <c r="I610" s="6" t="s">
        <v>4684</v>
      </c>
      <c r="J610" s="6" t="s">
        <v>5365</v>
      </c>
      <c r="K610" s="6" t="s">
        <v>4790</v>
      </c>
      <c r="L610" s="2" t="s">
        <v>2472</v>
      </c>
      <c r="M610" s="2"/>
      <c r="N610" s="9" t="s">
        <v>2473</v>
      </c>
      <c r="O610" s="6" t="s">
        <v>308</v>
      </c>
      <c r="P610" s="6" t="s">
        <v>85</v>
      </c>
      <c r="Q610" s="6" t="s">
        <v>4754</v>
      </c>
      <c r="R610" s="6" t="s">
        <v>5922</v>
      </c>
    </row>
    <row r="611" customFormat="false" ht="35.05" hidden="false" customHeight="false" outlineLevel="0" collapsed="false">
      <c r="A611" s="6" t="s">
        <v>4754</v>
      </c>
      <c r="B611" s="6" t="s">
        <v>127</v>
      </c>
      <c r="C611" s="6" t="s">
        <v>5016</v>
      </c>
      <c r="D611" s="6" t="s">
        <v>1120</v>
      </c>
      <c r="E611" s="6" t="s">
        <v>5946</v>
      </c>
      <c r="F611" s="6" t="s">
        <v>1120</v>
      </c>
      <c r="G611" s="6" t="s">
        <v>507</v>
      </c>
      <c r="H611" s="6" t="s">
        <v>287</v>
      </c>
      <c r="I611" s="6" t="s">
        <v>4684</v>
      </c>
      <c r="J611" s="6" t="s">
        <v>5365</v>
      </c>
      <c r="K611" s="6" t="s">
        <v>4790</v>
      </c>
      <c r="L611" s="2" t="s">
        <v>1123</v>
      </c>
      <c r="M611" s="2" t="s">
        <v>5947</v>
      </c>
      <c r="N611" s="9" t="s">
        <v>5948</v>
      </c>
      <c r="O611" s="6" t="s">
        <v>178</v>
      </c>
      <c r="P611" s="6" t="s">
        <v>106</v>
      </c>
      <c r="Q611" s="6" t="s">
        <v>4754</v>
      </c>
      <c r="R611" s="6" t="s">
        <v>5357</v>
      </c>
    </row>
    <row r="612" customFormat="false" ht="15" hidden="false" customHeight="false" outlineLevel="0" collapsed="false">
      <c r="A612" s="6" t="s">
        <v>4754</v>
      </c>
      <c r="B612" s="6" t="s">
        <v>127</v>
      </c>
      <c r="C612" s="6" t="s">
        <v>5016</v>
      </c>
      <c r="D612" s="6" t="s">
        <v>1120</v>
      </c>
      <c r="E612" s="6" t="s">
        <v>1120</v>
      </c>
      <c r="F612" s="6" t="s">
        <v>1120</v>
      </c>
      <c r="G612" s="6" t="s">
        <v>507</v>
      </c>
      <c r="H612" s="6" t="s">
        <v>287</v>
      </c>
      <c r="I612" s="6" t="s">
        <v>5617</v>
      </c>
      <c r="J612" s="6" t="s">
        <v>5365</v>
      </c>
      <c r="K612" s="6" t="s">
        <v>4790</v>
      </c>
      <c r="L612" s="2" t="s">
        <v>5949</v>
      </c>
      <c r="M612" s="2" t="s">
        <v>5950</v>
      </c>
      <c r="N612" s="9" t="s">
        <v>1125</v>
      </c>
      <c r="O612" s="6" t="s">
        <v>332</v>
      </c>
      <c r="P612" s="6" t="s">
        <v>106</v>
      </c>
      <c r="Q612" s="6" t="s">
        <v>4754</v>
      </c>
      <c r="R612" s="6" t="s">
        <v>5922</v>
      </c>
    </row>
    <row r="613" customFormat="false" ht="23.85" hidden="false" customHeight="false" outlineLevel="0" collapsed="false">
      <c r="A613" s="6" t="s">
        <v>4754</v>
      </c>
      <c r="B613" s="6" t="s">
        <v>127</v>
      </c>
      <c r="C613" s="6" t="s">
        <v>5016</v>
      </c>
      <c r="D613" s="6" t="s">
        <v>2199</v>
      </c>
      <c r="E613" s="6" t="s">
        <v>2199</v>
      </c>
      <c r="F613" s="6" t="s">
        <v>2200</v>
      </c>
      <c r="G613" s="6" t="s">
        <v>239</v>
      </c>
      <c r="H613" s="6" t="s">
        <v>287</v>
      </c>
      <c r="I613" s="6" t="s">
        <v>4684</v>
      </c>
      <c r="J613" s="6" t="s">
        <v>5365</v>
      </c>
      <c r="K613" s="6" t="s">
        <v>4790</v>
      </c>
      <c r="L613" s="2" t="s">
        <v>2203</v>
      </c>
      <c r="M613" s="2" t="s">
        <v>2202</v>
      </c>
      <c r="N613" s="9" t="s">
        <v>2204</v>
      </c>
      <c r="O613" s="6" t="s">
        <v>308</v>
      </c>
      <c r="P613" s="6" t="s">
        <v>106</v>
      </c>
      <c r="Q613" s="6" t="s">
        <v>4754</v>
      </c>
      <c r="R613" s="6" t="s">
        <v>5368</v>
      </c>
    </row>
    <row r="614" customFormat="false" ht="23.85" hidden="false" customHeight="false" outlineLevel="0" collapsed="false">
      <c r="A614" s="6" t="s">
        <v>4754</v>
      </c>
      <c r="B614" s="6" t="s">
        <v>127</v>
      </c>
      <c r="C614" s="6" t="s">
        <v>5016</v>
      </c>
      <c r="D614" s="6" t="s">
        <v>3960</v>
      </c>
      <c r="E614" s="6" t="s">
        <v>3960</v>
      </c>
      <c r="F614" s="6" t="s">
        <v>2647</v>
      </c>
      <c r="G614" s="6" t="s">
        <v>1127</v>
      </c>
      <c r="H614" s="6" t="s">
        <v>1445</v>
      </c>
      <c r="I614" s="6" t="s">
        <v>4684</v>
      </c>
      <c r="J614" s="6" t="s">
        <v>5365</v>
      </c>
      <c r="K614" s="6" t="s">
        <v>4679</v>
      </c>
      <c r="L614" s="2" t="s">
        <v>3962</v>
      </c>
      <c r="M614" s="2"/>
      <c r="N614" s="9" t="s">
        <v>3963</v>
      </c>
      <c r="O614" s="6" t="s">
        <v>1401</v>
      </c>
      <c r="P614" s="6" t="s">
        <v>106</v>
      </c>
      <c r="Q614" s="6" t="s">
        <v>4754</v>
      </c>
      <c r="R614" s="6" t="s">
        <v>5922</v>
      </c>
    </row>
    <row r="615" customFormat="false" ht="15" hidden="false" customHeight="false" outlineLevel="0" collapsed="false">
      <c r="A615" s="6" t="s">
        <v>4754</v>
      </c>
      <c r="B615" s="6" t="s">
        <v>127</v>
      </c>
      <c r="C615" s="6" t="s">
        <v>5016</v>
      </c>
      <c r="D615" s="6" t="s">
        <v>4459</v>
      </c>
      <c r="E615" s="6" t="s">
        <v>4460</v>
      </c>
      <c r="F615" s="6" t="s">
        <v>4460</v>
      </c>
      <c r="G615" s="6" t="s">
        <v>1583</v>
      </c>
      <c r="H615" s="6" t="s">
        <v>1445</v>
      </c>
      <c r="I615" s="6" t="s">
        <v>4706</v>
      </c>
      <c r="J615" s="6" t="s">
        <v>308</v>
      </c>
      <c r="K615" s="6" t="s">
        <v>4675</v>
      </c>
      <c r="L615" s="2" t="s">
        <v>4463</v>
      </c>
      <c r="M615" s="2" t="s">
        <v>4462</v>
      </c>
      <c r="N615" s="9" t="s">
        <v>4464</v>
      </c>
      <c r="O615" s="6" t="s">
        <v>308</v>
      </c>
      <c r="P615" s="6" t="s">
        <v>85</v>
      </c>
      <c r="Q615" s="6" t="s">
        <v>4754</v>
      </c>
      <c r="R615" s="6" t="s">
        <v>5433</v>
      </c>
    </row>
    <row r="616" customFormat="false" ht="23.85" hidden="false" customHeight="false" outlineLevel="0" collapsed="false">
      <c r="A616" s="6" t="s">
        <v>5019</v>
      </c>
      <c r="B616" s="6" t="s">
        <v>127</v>
      </c>
      <c r="C616" s="6" t="s">
        <v>5020</v>
      </c>
      <c r="D616" s="6" t="s">
        <v>1488</v>
      </c>
      <c r="E616" s="6" t="s">
        <v>1488</v>
      </c>
      <c r="F616" s="6" t="s">
        <v>1488</v>
      </c>
      <c r="G616" s="6" t="s">
        <v>153</v>
      </c>
      <c r="H616" s="6" t="s">
        <v>77</v>
      </c>
      <c r="I616" s="6" t="s">
        <v>4732</v>
      </c>
      <c r="J616" s="6" t="s">
        <v>3698</v>
      </c>
      <c r="K616" s="6" t="s">
        <v>4679</v>
      </c>
      <c r="L616" s="2" t="s">
        <v>1491</v>
      </c>
      <c r="M616" s="2" t="s">
        <v>1490</v>
      </c>
      <c r="N616" s="9" t="s">
        <v>562</v>
      </c>
      <c r="O616" s="6" t="s">
        <v>97</v>
      </c>
      <c r="P616" s="6" t="s">
        <v>106</v>
      </c>
      <c r="Q616" s="6" t="s">
        <v>5019</v>
      </c>
      <c r="R616" s="6" t="s">
        <v>5377</v>
      </c>
    </row>
    <row r="617" customFormat="false" ht="15" hidden="false" customHeight="false" outlineLevel="0" collapsed="false">
      <c r="A617" s="6" t="s">
        <v>5019</v>
      </c>
      <c r="B617" s="6" t="s">
        <v>127</v>
      </c>
      <c r="C617" s="6" t="s">
        <v>5020</v>
      </c>
      <c r="D617" s="6" t="s">
        <v>969</v>
      </c>
      <c r="E617" s="6" t="s">
        <v>969</v>
      </c>
      <c r="F617" s="6" t="s">
        <v>928</v>
      </c>
      <c r="G617" s="6" t="s">
        <v>90</v>
      </c>
      <c r="H617" s="6" t="s">
        <v>77</v>
      </c>
      <c r="I617" s="6" t="s">
        <v>4682</v>
      </c>
      <c r="J617" s="6" t="s">
        <v>5365</v>
      </c>
      <c r="K617" s="6" t="s">
        <v>4679</v>
      </c>
      <c r="L617" s="2" t="s">
        <v>972</v>
      </c>
      <c r="M617" s="2" t="s">
        <v>971</v>
      </c>
      <c r="N617" s="9" t="s">
        <v>973</v>
      </c>
      <c r="O617" s="6" t="s">
        <v>97</v>
      </c>
      <c r="P617" s="6" t="s">
        <v>106</v>
      </c>
      <c r="Q617" s="6" t="s">
        <v>5019</v>
      </c>
      <c r="R617" s="6" t="s">
        <v>5377</v>
      </c>
    </row>
    <row r="618" customFormat="false" ht="15" hidden="false" customHeight="false" outlineLevel="0" collapsed="false">
      <c r="A618" s="6" t="s">
        <v>5019</v>
      </c>
      <c r="B618" s="6" t="s">
        <v>127</v>
      </c>
      <c r="C618" s="6" t="s">
        <v>5020</v>
      </c>
      <c r="D618" s="6" t="s">
        <v>974</v>
      </c>
      <c r="E618" s="6" t="s">
        <v>974</v>
      </c>
      <c r="F618" s="6" t="s">
        <v>975</v>
      </c>
      <c r="G618" s="6" t="s">
        <v>76</v>
      </c>
      <c r="H618" s="6" t="s">
        <v>77</v>
      </c>
      <c r="I618" s="6" t="s">
        <v>4682</v>
      </c>
      <c r="J618" s="6" t="s">
        <v>5365</v>
      </c>
      <c r="K618" s="6" t="s">
        <v>4679</v>
      </c>
      <c r="L618" s="2" t="s">
        <v>976</v>
      </c>
      <c r="M618" s="2" t="s">
        <v>971</v>
      </c>
      <c r="N618" s="9" t="s">
        <v>973</v>
      </c>
      <c r="O618" s="6" t="s">
        <v>97</v>
      </c>
      <c r="P618" s="6" t="s">
        <v>106</v>
      </c>
      <c r="Q618" s="6" t="s">
        <v>5019</v>
      </c>
      <c r="R618" s="6" t="s">
        <v>5377</v>
      </c>
    </row>
    <row r="619" customFormat="false" ht="15" hidden="false" customHeight="false" outlineLevel="0" collapsed="false">
      <c r="A619" s="6" t="s">
        <v>5019</v>
      </c>
      <c r="B619" s="6" t="s">
        <v>127</v>
      </c>
      <c r="C619" s="6" t="s">
        <v>5020</v>
      </c>
      <c r="D619" s="6" t="s">
        <v>977</v>
      </c>
      <c r="E619" s="6" t="s">
        <v>977</v>
      </c>
      <c r="F619" s="6" t="s">
        <v>978</v>
      </c>
      <c r="G619" s="6" t="s">
        <v>76</v>
      </c>
      <c r="H619" s="6" t="s">
        <v>77</v>
      </c>
      <c r="I619" s="6" t="s">
        <v>4682</v>
      </c>
      <c r="J619" s="6" t="s">
        <v>5365</v>
      </c>
      <c r="K619" s="6" t="s">
        <v>4679</v>
      </c>
      <c r="L619" s="2" t="s">
        <v>980</v>
      </c>
      <c r="M619" s="2" t="s">
        <v>971</v>
      </c>
      <c r="N619" s="9" t="s">
        <v>973</v>
      </c>
      <c r="O619" s="6" t="s">
        <v>97</v>
      </c>
      <c r="P619" s="6" t="s">
        <v>106</v>
      </c>
      <c r="Q619" s="6" t="s">
        <v>5019</v>
      </c>
      <c r="R619" s="6" t="s">
        <v>5377</v>
      </c>
    </row>
    <row r="620" customFormat="false" ht="23.85" hidden="false" customHeight="false" outlineLevel="0" collapsed="false">
      <c r="A620" s="6" t="s">
        <v>5019</v>
      </c>
      <c r="B620" s="6" t="s">
        <v>127</v>
      </c>
      <c r="C620" s="6" t="s">
        <v>5020</v>
      </c>
      <c r="D620" s="6" t="s">
        <v>557</v>
      </c>
      <c r="E620" s="6" t="s">
        <v>557</v>
      </c>
      <c r="F620" s="6" t="s">
        <v>558</v>
      </c>
      <c r="G620" s="6" t="s">
        <v>239</v>
      </c>
      <c r="H620" s="6" t="s">
        <v>77</v>
      </c>
      <c r="I620" s="6" t="s">
        <v>4682</v>
      </c>
      <c r="J620" s="6" t="s">
        <v>5778</v>
      </c>
      <c r="K620" s="6" t="s">
        <v>4790</v>
      </c>
      <c r="L620" s="2" t="s">
        <v>561</v>
      </c>
      <c r="M620" s="2" t="s">
        <v>560</v>
      </c>
      <c r="N620" s="9" t="s">
        <v>562</v>
      </c>
      <c r="O620" s="6" t="s">
        <v>97</v>
      </c>
      <c r="P620" s="6" t="s">
        <v>106</v>
      </c>
      <c r="Q620" s="6" t="s">
        <v>5019</v>
      </c>
      <c r="R620" s="6" t="s">
        <v>5377</v>
      </c>
    </row>
    <row r="621" customFormat="false" ht="15" hidden="false" customHeight="false" outlineLevel="0" collapsed="false">
      <c r="A621" s="6" t="s">
        <v>5019</v>
      </c>
      <c r="B621" s="6" t="s">
        <v>127</v>
      </c>
      <c r="C621" s="6" t="s">
        <v>5020</v>
      </c>
      <c r="D621" s="6" t="s">
        <v>995</v>
      </c>
      <c r="E621" s="6" t="s">
        <v>995</v>
      </c>
      <c r="F621" s="6" t="s">
        <v>995</v>
      </c>
      <c r="G621" s="6" t="s">
        <v>76</v>
      </c>
      <c r="H621" s="6" t="s">
        <v>77</v>
      </c>
      <c r="I621" s="6" t="s">
        <v>4682</v>
      </c>
      <c r="J621" s="6" t="s">
        <v>999</v>
      </c>
      <c r="K621" s="6" t="s">
        <v>4679</v>
      </c>
      <c r="L621" s="2" t="s">
        <v>998</v>
      </c>
      <c r="M621" s="2" t="s">
        <v>997</v>
      </c>
      <c r="N621" s="9" t="s">
        <v>1000</v>
      </c>
      <c r="O621" s="6" t="s">
        <v>999</v>
      </c>
      <c r="P621" s="6" t="s">
        <v>106</v>
      </c>
      <c r="Q621" s="6" t="s">
        <v>5019</v>
      </c>
      <c r="R621" s="6" t="s">
        <v>5377</v>
      </c>
    </row>
    <row r="622" customFormat="false" ht="23.85" hidden="false" customHeight="false" outlineLevel="0" collapsed="false">
      <c r="A622" s="6" t="s">
        <v>5019</v>
      </c>
      <c r="B622" s="6" t="s">
        <v>127</v>
      </c>
      <c r="C622" s="6" t="s">
        <v>5020</v>
      </c>
      <c r="D622" s="6" t="s">
        <v>4649</v>
      </c>
      <c r="E622" s="6" t="s">
        <v>4649</v>
      </c>
      <c r="F622" s="6" t="s">
        <v>4650</v>
      </c>
      <c r="G622" s="6" t="s">
        <v>182</v>
      </c>
      <c r="H622" s="6" t="s">
        <v>77</v>
      </c>
      <c r="I622" s="6" t="s">
        <v>4682</v>
      </c>
      <c r="J622" s="6" t="s">
        <v>5365</v>
      </c>
      <c r="K622" s="6" t="s">
        <v>4790</v>
      </c>
      <c r="L622" s="2" t="s">
        <v>4652</v>
      </c>
      <c r="M622" s="2" t="s">
        <v>4651</v>
      </c>
      <c r="N622" s="9" t="s">
        <v>562</v>
      </c>
      <c r="O622" s="6" t="s">
        <v>97</v>
      </c>
      <c r="P622" s="6" t="s">
        <v>106</v>
      </c>
      <c r="Q622" s="6" t="s">
        <v>5019</v>
      </c>
      <c r="R622" s="6" t="s">
        <v>5377</v>
      </c>
    </row>
    <row r="623" customFormat="false" ht="15" hidden="false" customHeight="false" outlineLevel="0" collapsed="false">
      <c r="A623" s="6" t="s">
        <v>5019</v>
      </c>
      <c r="B623" s="6" t="s">
        <v>127</v>
      </c>
      <c r="C623" s="6" t="s">
        <v>4682</v>
      </c>
      <c r="D623" s="6" t="s">
        <v>903</v>
      </c>
      <c r="E623" s="6" t="s">
        <v>903</v>
      </c>
      <c r="F623" s="6" t="s">
        <v>904</v>
      </c>
      <c r="G623" s="6" t="s">
        <v>182</v>
      </c>
      <c r="H623" s="6" t="s">
        <v>77</v>
      </c>
      <c r="I623" s="6" t="s">
        <v>4682</v>
      </c>
      <c r="J623" s="6" t="s">
        <v>655</v>
      </c>
      <c r="K623" s="6" t="s">
        <v>4790</v>
      </c>
      <c r="L623" s="2" t="s">
        <v>907</v>
      </c>
      <c r="M623" s="2" t="s">
        <v>906</v>
      </c>
      <c r="N623" s="9" t="s">
        <v>908</v>
      </c>
      <c r="O623" s="6" t="s">
        <v>655</v>
      </c>
      <c r="P623" s="6" t="s">
        <v>85</v>
      </c>
      <c r="Q623" s="6" t="s">
        <v>5019</v>
      </c>
      <c r="R623" s="6" t="s">
        <v>5368</v>
      </c>
    </row>
    <row r="624" customFormat="false" ht="15" hidden="false" customHeight="false" outlineLevel="0" collapsed="false">
      <c r="A624" s="6" t="s">
        <v>5019</v>
      </c>
      <c r="B624" s="6" t="s">
        <v>127</v>
      </c>
      <c r="C624" s="6" t="s">
        <v>5020</v>
      </c>
      <c r="D624" s="6" t="s">
        <v>1006</v>
      </c>
      <c r="E624" s="6" t="s">
        <v>1006</v>
      </c>
      <c r="F624" s="6" t="s">
        <v>928</v>
      </c>
      <c r="G624" s="6" t="s">
        <v>90</v>
      </c>
      <c r="H624" s="6" t="s">
        <v>77</v>
      </c>
      <c r="I624" s="6" t="s">
        <v>4682</v>
      </c>
      <c r="J624" s="6" t="s">
        <v>642</v>
      </c>
      <c r="K624" s="6" t="s">
        <v>4790</v>
      </c>
      <c r="L624" s="2" t="s">
        <v>1008</v>
      </c>
      <c r="M624" s="2" t="s">
        <v>1007</v>
      </c>
      <c r="N624" s="9" t="s">
        <v>1009</v>
      </c>
      <c r="O624" s="6" t="s">
        <v>642</v>
      </c>
      <c r="P624" s="6" t="s">
        <v>85</v>
      </c>
      <c r="Q624" s="6" t="s">
        <v>5019</v>
      </c>
      <c r="R624" s="6" t="s">
        <v>5377</v>
      </c>
    </row>
    <row r="625" customFormat="false" ht="15" hidden="false" customHeight="false" outlineLevel="0" collapsed="false">
      <c r="A625" s="6" t="s">
        <v>5019</v>
      </c>
      <c r="B625" s="6" t="s">
        <v>127</v>
      </c>
      <c r="C625" s="6" t="s">
        <v>5020</v>
      </c>
      <c r="D625" s="6" t="s">
        <v>2272</v>
      </c>
      <c r="E625" s="6" t="s">
        <v>2272</v>
      </c>
      <c r="F625" s="6" t="s">
        <v>2273</v>
      </c>
      <c r="G625" s="6" t="s">
        <v>1215</v>
      </c>
      <c r="H625" s="6" t="s">
        <v>77</v>
      </c>
      <c r="I625" s="6" t="s">
        <v>4682</v>
      </c>
      <c r="J625" s="6" t="s">
        <v>5365</v>
      </c>
      <c r="K625" s="6" t="s">
        <v>4790</v>
      </c>
      <c r="L625" s="2" t="s">
        <v>2275</v>
      </c>
      <c r="M625" s="2" t="s">
        <v>2274</v>
      </c>
      <c r="N625" s="9" t="s">
        <v>562</v>
      </c>
      <c r="O625" s="6" t="s">
        <v>97</v>
      </c>
      <c r="P625" s="6" t="s">
        <v>106</v>
      </c>
      <c r="Q625" s="6" t="s">
        <v>5019</v>
      </c>
      <c r="R625" s="6" t="s">
        <v>5377</v>
      </c>
    </row>
    <row r="626" customFormat="false" ht="15" hidden="false" customHeight="false" outlineLevel="0" collapsed="false">
      <c r="A626" s="6" t="s">
        <v>5019</v>
      </c>
      <c r="B626" s="6" t="s">
        <v>127</v>
      </c>
      <c r="C626" s="6" t="s">
        <v>5020</v>
      </c>
      <c r="D626" s="6" t="s">
        <v>1030</v>
      </c>
      <c r="E626" s="6" t="s">
        <v>1030</v>
      </c>
      <c r="F626" s="6" t="s">
        <v>928</v>
      </c>
      <c r="G626" s="6" t="s">
        <v>90</v>
      </c>
      <c r="H626" s="6" t="s">
        <v>77</v>
      </c>
      <c r="I626" s="6" t="s">
        <v>4682</v>
      </c>
      <c r="J626" s="6" t="s">
        <v>5365</v>
      </c>
      <c r="K626" s="6" t="s">
        <v>4790</v>
      </c>
      <c r="L626" s="2" t="s">
        <v>1033</v>
      </c>
      <c r="M626" s="2" t="s">
        <v>1032</v>
      </c>
      <c r="N626" s="9" t="s">
        <v>562</v>
      </c>
      <c r="O626" s="6" t="s">
        <v>97</v>
      </c>
      <c r="P626" s="6" t="s">
        <v>106</v>
      </c>
      <c r="Q626" s="6" t="s">
        <v>5019</v>
      </c>
      <c r="R626" s="6" t="s">
        <v>5377</v>
      </c>
    </row>
    <row r="627" customFormat="false" ht="15" hidden="false" customHeight="false" outlineLevel="0" collapsed="false">
      <c r="A627" s="6" t="s">
        <v>5019</v>
      </c>
      <c r="B627" s="6" t="s">
        <v>127</v>
      </c>
      <c r="C627" s="6" t="s">
        <v>5020</v>
      </c>
      <c r="D627" s="6" t="s">
        <v>1034</v>
      </c>
      <c r="E627" s="6" t="s">
        <v>1034</v>
      </c>
      <c r="F627" s="6" t="s">
        <v>1035</v>
      </c>
      <c r="G627" s="6" t="s">
        <v>239</v>
      </c>
      <c r="H627" s="6" t="s">
        <v>77</v>
      </c>
      <c r="I627" s="6" t="s">
        <v>4682</v>
      </c>
      <c r="J627" s="6" t="s">
        <v>332</v>
      </c>
      <c r="K627" s="6" t="s">
        <v>4790</v>
      </c>
      <c r="L627" s="2" t="s">
        <v>1038</v>
      </c>
      <c r="M627" s="2" t="s">
        <v>1037</v>
      </c>
      <c r="N627" s="9" t="s">
        <v>1039</v>
      </c>
      <c r="O627" s="6" t="s">
        <v>332</v>
      </c>
      <c r="P627" s="6" t="s">
        <v>85</v>
      </c>
      <c r="Q627" s="6" t="s">
        <v>5019</v>
      </c>
      <c r="R627" s="6" t="s">
        <v>5377</v>
      </c>
    </row>
    <row r="628" customFormat="false" ht="15" hidden="false" customHeight="false" outlineLevel="0" collapsed="false">
      <c r="A628" s="6" t="s">
        <v>5019</v>
      </c>
      <c r="B628" s="6" t="s">
        <v>127</v>
      </c>
      <c r="C628" s="6" t="s">
        <v>5020</v>
      </c>
      <c r="D628" s="6" t="s">
        <v>597</v>
      </c>
      <c r="E628" s="6" t="s">
        <v>5951</v>
      </c>
      <c r="F628" s="6" t="s">
        <v>5952</v>
      </c>
      <c r="G628" s="6" t="s">
        <v>90</v>
      </c>
      <c r="H628" s="6" t="s">
        <v>77</v>
      </c>
      <c r="I628" s="6" t="s">
        <v>4682</v>
      </c>
      <c r="J628" s="6" t="s">
        <v>5365</v>
      </c>
      <c r="K628" s="6" t="s">
        <v>4679</v>
      </c>
      <c r="L628" s="2" t="s">
        <v>603</v>
      </c>
      <c r="M628" s="2" t="s">
        <v>971</v>
      </c>
      <c r="N628" s="9" t="s">
        <v>973</v>
      </c>
      <c r="O628" s="6" t="s">
        <v>97</v>
      </c>
      <c r="P628" s="6" t="s">
        <v>106</v>
      </c>
      <c r="Q628" s="6" t="s">
        <v>5019</v>
      </c>
      <c r="R628" s="6" t="s">
        <v>5377</v>
      </c>
    </row>
    <row r="629" customFormat="false" ht="15" hidden="false" customHeight="false" outlineLevel="0" collapsed="false">
      <c r="A629" s="6" t="s">
        <v>5019</v>
      </c>
      <c r="B629" s="6" t="s">
        <v>127</v>
      </c>
      <c r="C629" s="6" t="s">
        <v>5020</v>
      </c>
      <c r="D629" s="6" t="s">
        <v>1053</v>
      </c>
      <c r="E629" s="6" t="s">
        <v>1053</v>
      </c>
      <c r="F629" s="6" t="s">
        <v>5953</v>
      </c>
      <c r="G629" s="6" t="s">
        <v>239</v>
      </c>
      <c r="H629" s="6" t="s">
        <v>77</v>
      </c>
      <c r="I629" s="6" t="s">
        <v>4682</v>
      </c>
      <c r="J629" s="6" t="s">
        <v>5365</v>
      </c>
      <c r="K629" s="6" t="s">
        <v>4679</v>
      </c>
      <c r="L629" s="2" t="s">
        <v>1056</v>
      </c>
      <c r="M629" s="2" t="s">
        <v>971</v>
      </c>
      <c r="N629" s="9" t="s">
        <v>973</v>
      </c>
      <c r="O629" s="6" t="s">
        <v>97</v>
      </c>
      <c r="P629" s="6" t="s">
        <v>106</v>
      </c>
      <c r="Q629" s="6" t="s">
        <v>5019</v>
      </c>
      <c r="R629" s="6" t="s">
        <v>5377</v>
      </c>
    </row>
    <row r="630" customFormat="false" ht="15" hidden="false" customHeight="false" outlineLevel="0" collapsed="false">
      <c r="A630" s="6" t="s">
        <v>5019</v>
      </c>
      <c r="B630" s="6" t="s">
        <v>127</v>
      </c>
      <c r="C630" s="6" t="s">
        <v>5020</v>
      </c>
      <c r="D630" s="6" t="s">
        <v>1068</v>
      </c>
      <c r="E630" s="6" t="s">
        <v>1068</v>
      </c>
      <c r="F630" s="6" t="s">
        <v>1068</v>
      </c>
      <c r="G630" s="6" t="s">
        <v>239</v>
      </c>
      <c r="H630" s="6" t="s">
        <v>77</v>
      </c>
      <c r="I630" s="6" t="s">
        <v>4682</v>
      </c>
      <c r="J630" s="6" t="s">
        <v>411</v>
      </c>
      <c r="K630" s="6" t="s">
        <v>4790</v>
      </c>
      <c r="L630" s="2" t="s">
        <v>1069</v>
      </c>
      <c r="M630" s="2"/>
      <c r="N630" s="9" t="s">
        <v>1070</v>
      </c>
      <c r="O630" s="6" t="s">
        <v>411</v>
      </c>
      <c r="P630" s="6" t="s">
        <v>85</v>
      </c>
      <c r="Q630" s="6" t="s">
        <v>5019</v>
      </c>
      <c r="R630" s="6" t="s">
        <v>5377</v>
      </c>
    </row>
    <row r="631" customFormat="false" ht="23.85" hidden="false" customHeight="false" outlineLevel="0" collapsed="false">
      <c r="A631" s="6" t="s">
        <v>5019</v>
      </c>
      <c r="B631" s="6" t="s">
        <v>127</v>
      </c>
      <c r="C631" s="6" t="s">
        <v>5020</v>
      </c>
      <c r="D631" s="6" t="s">
        <v>927</v>
      </c>
      <c r="E631" s="6" t="s">
        <v>5954</v>
      </c>
      <c r="F631" s="6" t="s">
        <v>928</v>
      </c>
      <c r="G631" s="6" t="s">
        <v>90</v>
      </c>
      <c r="H631" s="6" t="s">
        <v>287</v>
      </c>
      <c r="I631" s="6" t="s">
        <v>4682</v>
      </c>
      <c r="J631" s="6" t="s">
        <v>1874</v>
      </c>
      <c r="K631" s="6" t="s">
        <v>4790</v>
      </c>
      <c r="L631" s="2" t="s">
        <v>931</v>
      </c>
      <c r="M631" s="2" t="s">
        <v>5955</v>
      </c>
      <c r="N631" s="9" t="s">
        <v>932</v>
      </c>
      <c r="O631" s="6" t="s">
        <v>1874</v>
      </c>
      <c r="P631" s="6" t="s">
        <v>106</v>
      </c>
      <c r="Q631" s="6" t="s">
        <v>5019</v>
      </c>
      <c r="R631" s="6" t="s">
        <v>5377</v>
      </c>
    </row>
    <row r="632" customFormat="false" ht="23.85" hidden="false" customHeight="false" outlineLevel="0" collapsed="false">
      <c r="A632" s="6" t="s">
        <v>5019</v>
      </c>
      <c r="B632" s="6" t="s">
        <v>127</v>
      </c>
      <c r="C632" s="6" t="s">
        <v>5020</v>
      </c>
      <c r="D632" s="6" t="s">
        <v>1792</v>
      </c>
      <c r="E632" s="6" t="s">
        <v>1792</v>
      </c>
      <c r="F632" s="6" t="s">
        <v>1792</v>
      </c>
      <c r="G632" s="6" t="s">
        <v>164</v>
      </c>
      <c r="H632" s="6" t="s">
        <v>287</v>
      </c>
      <c r="I632" s="6" t="s">
        <v>4682</v>
      </c>
      <c r="J632" s="6" t="s">
        <v>5365</v>
      </c>
      <c r="K632" s="6" t="s">
        <v>4790</v>
      </c>
      <c r="L632" s="2" t="s">
        <v>1794</v>
      </c>
      <c r="M632" s="2" t="s">
        <v>1793</v>
      </c>
      <c r="N632" s="9" t="s">
        <v>562</v>
      </c>
      <c r="O632" s="6" t="s">
        <v>97</v>
      </c>
      <c r="P632" s="6" t="s">
        <v>106</v>
      </c>
      <c r="Q632" s="6" t="s">
        <v>5019</v>
      </c>
      <c r="R632" s="6" t="s">
        <v>5377</v>
      </c>
    </row>
    <row r="633" customFormat="false" ht="15" hidden="false" customHeight="false" outlineLevel="0" collapsed="false">
      <c r="A633" s="6" t="s">
        <v>5019</v>
      </c>
      <c r="B633" s="6" t="s">
        <v>127</v>
      </c>
      <c r="C633" s="6" t="s">
        <v>5020</v>
      </c>
      <c r="D633" s="6" t="s">
        <v>2884</v>
      </c>
      <c r="E633" s="6" t="s">
        <v>2884</v>
      </c>
      <c r="F633" s="6" t="s">
        <v>2885</v>
      </c>
      <c r="G633" s="6" t="s">
        <v>1127</v>
      </c>
      <c r="H633" s="6" t="s">
        <v>287</v>
      </c>
      <c r="I633" s="6" t="s">
        <v>4682</v>
      </c>
      <c r="J633" s="6" t="s">
        <v>5365</v>
      </c>
      <c r="K633" s="6" t="s">
        <v>4790</v>
      </c>
      <c r="L633" s="2" t="s">
        <v>2886</v>
      </c>
      <c r="M633" s="2"/>
      <c r="N633" s="9" t="s">
        <v>562</v>
      </c>
      <c r="O633" s="6" t="s">
        <v>97</v>
      </c>
      <c r="P633" s="6" t="s">
        <v>106</v>
      </c>
      <c r="Q633" s="6" t="s">
        <v>5019</v>
      </c>
      <c r="R633" s="6" t="s">
        <v>5377</v>
      </c>
    </row>
    <row r="634" customFormat="false" ht="15" hidden="false" customHeight="false" outlineLevel="0" collapsed="false">
      <c r="A634" s="6" t="s">
        <v>5019</v>
      </c>
      <c r="B634" s="6" t="s">
        <v>127</v>
      </c>
      <c r="C634" s="6" t="s">
        <v>5020</v>
      </c>
      <c r="D634" s="6" t="s">
        <v>2518</v>
      </c>
      <c r="E634" s="6" t="s">
        <v>2518</v>
      </c>
      <c r="F634" s="6" t="s">
        <v>2518</v>
      </c>
      <c r="G634" s="6" t="s">
        <v>182</v>
      </c>
      <c r="H634" s="6" t="s">
        <v>287</v>
      </c>
      <c r="I634" s="6" t="s">
        <v>4682</v>
      </c>
      <c r="J634" s="6" t="s">
        <v>5365</v>
      </c>
      <c r="K634" s="6" t="s">
        <v>4679</v>
      </c>
      <c r="L634" s="2" t="s">
        <v>2519</v>
      </c>
      <c r="M634" s="2" t="s">
        <v>971</v>
      </c>
      <c r="N634" s="9" t="s">
        <v>973</v>
      </c>
      <c r="O634" s="6" t="s">
        <v>97</v>
      </c>
      <c r="P634" s="6" t="s">
        <v>106</v>
      </c>
      <c r="Q634" s="6" t="s">
        <v>5019</v>
      </c>
      <c r="R634" s="6" t="s">
        <v>5377</v>
      </c>
    </row>
    <row r="635" customFormat="false" ht="15" hidden="false" customHeight="false" outlineLevel="0" collapsed="false">
      <c r="A635" s="6" t="s">
        <v>5019</v>
      </c>
      <c r="B635" s="6" t="s">
        <v>127</v>
      </c>
      <c r="C635" s="6" t="s">
        <v>5020</v>
      </c>
      <c r="D635" s="6" t="s">
        <v>1359</v>
      </c>
      <c r="E635" s="6" t="s">
        <v>5956</v>
      </c>
      <c r="F635" s="6" t="s">
        <v>1360</v>
      </c>
      <c r="G635" s="6" t="s">
        <v>76</v>
      </c>
      <c r="H635" s="6" t="s">
        <v>287</v>
      </c>
      <c r="I635" s="6" t="s">
        <v>4682</v>
      </c>
      <c r="J635" s="6" t="s">
        <v>5365</v>
      </c>
      <c r="K635" s="6" t="s">
        <v>4679</v>
      </c>
      <c r="L635" s="2" t="s">
        <v>1364</v>
      </c>
      <c r="M635" s="2" t="s">
        <v>971</v>
      </c>
      <c r="N635" s="9" t="s">
        <v>973</v>
      </c>
      <c r="O635" s="6" t="s">
        <v>97</v>
      </c>
      <c r="P635" s="6" t="s">
        <v>106</v>
      </c>
      <c r="Q635" s="6" t="s">
        <v>5019</v>
      </c>
      <c r="R635" s="6" t="s">
        <v>5377</v>
      </c>
    </row>
    <row r="636" customFormat="false" ht="23.85" hidden="false" customHeight="false" outlineLevel="0" collapsed="false">
      <c r="A636" s="6" t="s">
        <v>5085</v>
      </c>
      <c r="B636" s="6" t="s">
        <v>127</v>
      </c>
      <c r="C636" s="6" t="s">
        <v>5016</v>
      </c>
      <c r="D636" s="6" t="s">
        <v>1090</v>
      </c>
      <c r="E636" s="6" t="s">
        <v>1090</v>
      </c>
      <c r="F636" s="6" t="s">
        <v>1091</v>
      </c>
      <c r="G636" s="6" t="s">
        <v>507</v>
      </c>
      <c r="H636" s="6" t="s">
        <v>287</v>
      </c>
      <c r="I636" s="6" t="s">
        <v>4684</v>
      </c>
      <c r="J636" s="6" t="s">
        <v>281</v>
      </c>
      <c r="K636" s="6" t="s">
        <v>4790</v>
      </c>
      <c r="L636" s="2" t="s">
        <v>5957</v>
      </c>
      <c r="M636" s="2" t="s">
        <v>5958</v>
      </c>
      <c r="N636" s="9" t="s">
        <v>5959</v>
      </c>
      <c r="O636" s="6" t="s">
        <v>97</v>
      </c>
      <c r="P636" s="6" t="s">
        <v>106</v>
      </c>
      <c r="Q636" s="6" t="s">
        <v>5085</v>
      </c>
      <c r="R636" s="6" t="s">
        <v>5357</v>
      </c>
    </row>
    <row r="637" customFormat="false" ht="23.85" hidden="false" customHeight="false" outlineLevel="0" collapsed="false">
      <c r="A637" s="6" t="s">
        <v>5085</v>
      </c>
      <c r="B637" s="6" t="s">
        <v>127</v>
      </c>
      <c r="C637" s="6" t="s">
        <v>5016</v>
      </c>
      <c r="D637" s="6" t="s">
        <v>2222</v>
      </c>
      <c r="E637" s="6" t="s">
        <v>5960</v>
      </c>
      <c r="F637" s="6" t="s">
        <v>2223</v>
      </c>
      <c r="G637" s="6" t="s">
        <v>153</v>
      </c>
      <c r="H637" s="6" t="s">
        <v>1445</v>
      </c>
      <c r="I637" s="6" t="s">
        <v>4684</v>
      </c>
      <c r="J637" s="6" t="s">
        <v>308</v>
      </c>
      <c r="K637" s="6" t="s">
        <v>4790</v>
      </c>
      <c r="L637" s="2" t="s">
        <v>2226</v>
      </c>
      <c r="M637" s="2" t="s">
        <v>5961</v>
      </c>
      <c r="N637" s="9" t="s">
        <v>2228</v>
      </c>
      <c r="O637" s="6" t="s">
        <v>97</v>
      </c>
      <c r="P637" s="6" t="s">
        <v>85</v>
      </c>
      <c r="Q637" s="6" t="s">
        <v>5085</v>
      </c>
      <c r="R637" s="6" t="s">
        <v>5922</v>
      </c>
    </row>
    <row r="638" customFormat="false" ht="15" hidden="false" customHeight="false" outlineLevel="0" collapsed="false">
      <c r="A638" s="6" t="s">
        <v>5085</v>
      </c>
      <c r="B638" s="6" t="s">
        <v>127</v>
      </c>
      <c r="C638" s="6" t="s">
        <v>5016</v>
      </c>
      <c r="D638" s="6" t="s">
        <v>4559</v>
      </c>
      <c r="E638" s="6" t="s">
        <v>4559</v>
      </c>
      <c r="F638" s="6" t="s">
        <v>4560</v>
      </c>
      <c r="G638" s="6" t="s">
        <v>1598</v>
      </c>
      <c r="H638" s="6" t="s">
        <v>1445</v>
      </c>
      <c r="I638" s="6" t="s">
        <v>4684</v>
      </c>
      <c r="J638" s="6" t="s">
        <v>5365</v>
      </c>
      <c r="K638" s="6" t="s">
        <v>4679</v>
      </c>
      <c r="L638" s="2" t="s">
        <v>4562</v>
      </c>
      <c r="M638" s="2"/>
      <c r="N638" s="9" t="s">
        <v>4563</v>
      </c>
      <c r="O638" s="6" t="s">
        <v>683</v>
      </c>
      <c r="P638" s="6" t="s">
        <v>106</v>
      </c>
      <c r="Q638" s="6" t="s">
        <v>5085</v>
      </c>
      <c r="R638" s="6" t="s">
        <v>5922</v>
      </c>
    </row>
    <row r="639" customFormat="false" ht="15" hidden="false" customHeight="false" outlineLevel="0" collapsed="false">
      <c r="A639" s="6" t="s">
        <v>5085</v>
      </c>
      <c r="B639" s="6" t="s">
        <v>127</v>
      </c>
      <c r="C639" s="6" t="s">
        <v>5016</v>
      </c>
      <c r="D639" s="6" t="s">
        <v>4573</v>
      </c>
      <c r="E639" s="6" t="s">
        <v>4573</v>
      </c>
      <c r="F639" s="6" t="s">
        <v>4574</v>
      </c>
      <c r="G639" s="6" t="s">
        <v>1583</v>
      </c>
      <c r="H639" s="6" t="s">
        <v>1445</v>
      </c>
      <c r="I639" s="6" t="s">
        <v>4684</v>
      </c>
      <c r="J639" s="6" t="s">
        <v>1401</v>
      </c>
      <c r="K639" s="6" t="s">
        <v>4679</v>
      </c>
      <c r="L639" s="2" t="s">
        <v>4576</v>
      </c>
      <c r="M639" s="2"/>
      <c r="N639" s="9" t="s">
        <v>4577</v>
      </c>
      <c r="O639" s="6" t="s">
        <v>1401</v>
      </c>
      <c r="P639" s="6" t="s">
        <v>85</v>
      </c>
      <c r="Q639" s="6" t="s">
        <v>5085</v>
      </c>
      <c r="R639" s="6" t="s">
        <v>5922</v>
      </c>
    </row>
    <row r="640" customFormat="false" ht="23.85" hidden="false" customHeight="false" outlineLevel="0" collapsed="false">
      <c r="A640" s="6" t="s">
        <v>5142</v>
      </c>
      <c r="B640" s="6" t="s">
        <v>127</v>
      </c>
      <c r="C640" s="6" t="s">
        <v>5016</v>
      </c>
      <c r="D640" s="6" t="s">
        <v>2082</v>
      </c>
      <c r="E640" s="6" t="s">
        <v>2082</v>
      </c>
      <c r="F640" s="6" t="s">
        <v>2082</v>
      </c>
      <c r="G640" s="6" t="s">
        <v>76</v>
      </c>
      <c r="H640" s="6" t="s">
        <v>287</v>
      </c>
      <c r="I640" s="6" t="s">
        <v>4680</v>
      </c>
      <c r="J640" s="6" t="s">
        <v>97</v>
      </c>
      <c r="K640" s="6" t="s">
        <v>4675</v>
      </c>
      <c r="L640" s="2" t="s">
        <v>2084</v>
      </c>
      <c r="M640" s="2"/>
      <c r="N640" s="9" t="s">
        <v>2085</v>
      </c>
      <c r="O640" s="6" t="s">
        <v>97</v>
      </c>
      <c r="P640" s="6" t="s">
        <v>85</v>
      </c>
      <c r="Q640" s="6" t="s">
        <v>5142</v>
      </c>
      <c r="R640" s="6" t="s">
        <v>5377</v>
      </c>
    </row>
    <row r="641" customFormat="false" ht="23.85" hidden="false" customHeight="false" outlineLevel="0" collapsed="false">
      <c r="A641" s="6" t="s">
        <v>5142</v>
      </c>
      <c r="B641" s="6" t="s">
        <v>127</v>
      </c>
      <c r="C641" s="6" t="s">
        <v>5016</v>
      </c>
      <c r="D641" s="6" t="s">
        <v>2100</v>
      </c>
      <c r="E641" s="6" t="s">
        <v>2100</v>
      </c>
      <c r="F641" s="6" t="s">
        <v>2100</v>
      </c>
      <c r="G641" s="6" t="s">
        <v>76</v>
      </c>
      <c r="H641" s="6" t="s">
        <v>287</v>
      </c>
      <c r="I641" s="6" t="s">
        <v>4680</v>
      </c>
      <c r="J641" s="6" t="s">
        <v>97</v>
      </c>
      <c r="K641" s="6" t="s">
        <v>4675</v>
      </c>
      <c r="L641" s="2" t="s">
        <v>2101</v>
      </c>
      <c r="M641" s="2"/>
      <c r="N641" s="9" t="s">
        <v>2085</v>
      </c>
      <c r="O641" s="6" t="s">
        <v>97</v>
      </c>
      <c r="P641" s="6" t="s">
        <v>85</v>
      </c>
      <c r="Q641" s="6" t="s">
        <v>5142</v>
      </c>
      <c r="R641" s="6" t="s">
        <v>5377</v>
      </c>
    </row>
    <row r="642" customFormat="false" ht="15" hidden="false" customHeight="false" outlineLevel="0" collapsed="false">
      <c r="A642" s="6" t="s">
        <v>5174</v>
      </c>
      <c r="B642" s="6" t="s">
        <v>127</v>
      </c>
      <c r="C642" s="6" t="s">
        <v>5016</v>
      </c>
      <c r="D642" s="6" t="s">
        <v>4289</v>
      </c>
      <c r="E642" s="6" t="s">
        <v>4289</v>
      </c>
      <c r="F642" s="6" t="s">
        <v>4290</v>
      </c>
      <c r="G642" s="6" t="s">
        <v>1598</v>
      </c>
      <c r="H642" s="6" t="s">
        <v>1445</v>
      </c>
      <c r="I642" s="6" t="s">
        <v>4684</v>
      </c>
      <c r="J642" s="6" t="s">
        <v>5365</v>
      </c>
      <c r="K642" s="6" t="s">
        <v>4679</v>
      </c>
      <c r="L642" s="2" t="s">
        <v>4292</v>
      </c>
      <c r="M642" s="2"/>
      <c r="N642" s="9" t="s">
        <v>4293</v>
      </c>
      <c r="O642" s="6" t="s">
        <v>999</v>
      </c>
      <c r="P642" s="6" t="s">
        <v>106</v>
      </c>
      <c r="Q642" s="6" t="s">
        <v>5174</v>
      </c>
      <c r="R642" s="6" t="s">
        <v>5886</v>
      </c>
    </row>
    <row r="643" customFormat="false" ht="23.85" hidden="false" customHeight="false" outlineLevel="0" collapsed="false">
      <c r="A643" s="6" t="s">
        <v>5087</v>
      </c>
      <c r="B643" s="6" t="s">
        <v>127</v>
      </c>
      <c r="C643" s="6" t="s">
        <v>5006</v>
      </c>
      <c r="D643" s="6" t="s">
        <v>414</v>
      </c>
      <c r="E643" s="6" t="s">
        <v>414</v>
      </c>
      <c r="F643" s="6" t="s">
        <v>134</v>
      </c>
      <c r="G643" s="6" t="s">
        <v>76</v>
      </c>
      <c r="H643" s="6" t="s">
        <v>287</v>
      </c>
      <c r="I643" s="6" t="s">
        <v>4676</v>
      </c>
      <c r="J643" s="6" t="s">
        <v>5506</v>
      </c>
      <c r="K643" s="6" t="s">
        <v>4679</v>
      </c>
      <c r="L643" s="2" t="s">
        <v>5962</v>
      </c>
      <c r="M643" s="2" t="s">
        <v>5963</v>
      </c>
      <c r="N643" s="9" t="s">
        <v>419</v>
      </c>
      <c r="O643" s="6" t="s">
        <v>5506</v>
      </c>
      <c r="P643" s="6" t="s">
        <v>106</v>
      </c>
      <c r="Q643" s="6" t="s">
        <v>5087</v>
      </c>
      <c r="R643" s="6" t="s">
        <v>5886</v>
      </c>
    </row>
    <row r="644" customFormat="false" ht="15" hidden="false" customHeight="false" outlineLevel="0" collapsed="false">
      <c r="A644" s="6" t="s">
        <v>5087</v>
      </c>
      <c r="B644" s="6" t="s">
        <v>127</v>
      </c>
      <c r="C644" s="6" t="s">
        <v>5006</v>
      </c>
      <c r="D644" s="6" t="s">
        <v>4194</v>
      </c>
      <c r="E644" s="6" t="s">
        <v>4194</v>
      </c>
      <c r="F644" s="6" t="s">
        <v>4194</v>
      </c>
      <c r="G644" s="6" t="s">
        <v>1598</v>
      </c>
      <c r="H644" s="6" t="s">
        <v>1445</v>
      </c>
      <c r="I644" s="6" t="s">
        <v>4676</v>
      </c>
      <c r="J644" s="6" t="s">
        <v>883</v>
      </c>
      <c r="K644" s="6" t="s">
        <v>4679</v>
      </c>
      <c r="L644" s="2" t="s">
        <v>4196</v>
      </c>
      <c r="M644" s="2"/>
      <c r="N644" s="9" t="s">
        <v>4197</v>
      </c>
      <c r="O644" s="6" t="s">
        <v>883</v>
      </c>
      <c r="P644" s="6" t="s">
        <v>106</v>
      </c>
      <c r="Q644" s="6" t="s">
        <v>5087</v>
      </c>
      <c r="R644" s="6" t="s">
        <v>5886</v>
      </c>
    </row>
    <row r="645" customFormat="false" ht="23.85" hidden="false" customHeight="false" outlineLevel="0" collapsed="false">
      <c r="A645" s="6" t="s">
        <v>5087</v>
      </c>
      <c r="B645" s="6" t="s">
        <v>127</v>
      </c>
      <c r="C645" s="6" t="s">
        <v>5006</v>
      </c>
      <c r="D645" s="6" t="s">
        <v>3927</v>
      </c>
      <c r="E645" s="6" t="s">
        <v>3927</v>
      </c>
      <c r="F645" s="6" t="s">
        <v>3928</v>
      </c>
      <c r="G645" s="6" t="s">
        <v>507</v>
      </c>
      <c r="H645" s="6" t="s">
        <v>1445</v>
      </c>
      <c r="I645" s="6" t="s">
        <v>4706</v>
      </c>
      <c r="J645" s="6" t="s">
        <v>5365</v>
      </c>
      <c r="K645" s="6" t="s">
        <v>4679</v>
      </c>
      <c r="L645" s="2" t="s">
        <v>3930</v>
      </c>
      <c r="M645" s="2"/>
      <c r="N645" s="9" t="s">
        <v>3931</v>
      </c>
      <c r="O645" s="6" t="s">
        <v>1401</v>
      </c>
      <c r="P645" s="6" t="s">
        <v>106</v>
      </c>
      <c r="Q645" s="6" t="s">
        <v>5087</v>
      </c>
      <c r="R645" s="6" t="s">
        <v>5886</v>
      </c>
    </row>
    <row r="646" customFormat="false" ht="15" hidden="false" customHeight="false" outlineLevel="0" collapsed="false">
      <c r="A646" s="6" t="s">
        <v>5087</v>
      </c>
      <c r="B646" s="6" t="s">
        <v>127</v>
      </c>
      <c r="C646" s="6" t="s">
        <v>5006</v>
      </c>
      <c r="D646" s="6" t="s">
        <v>4395</v>
      </c>
      <c r="E646" s="6" t="s">
        <v>4395</v>
      </c>
      <c r="F646" s="6" t="s">
        <v>4396</v>
      </c>
      <c r="G646" s="6" t="s">
        <v>1598</v>
      </c>
      <c r="H646" s="6" t="s">
        <v>1445</v>
      </c>
      <c r="I646" s="6" t="s">
        <v>4676</v>
      </c>
      <c r="J646" s="6" t="s">
        <v>1774</v>
      </c>
      <c r="K646" s="6" t="s">
        <v>4679</v>
      </c>
      <c r="L646" s="2" t="s">
        <v>4397</v>
      </c>
      <c r="M646" s="2"/>
      <c r="N646" s="9" t="s">
        <v>4398</v>
      </c>
      <c r="O646" s="6" t="s">
        <v>1774</v>
      </c>
      <c r="P646" s="6" t="s">
        <v>106</v>
      </c>
      <c r="Q646" s="6" t="s">
        <v>5087</v>
      </c>
      <c r="R646" s="6" t="s">
        <v>5886</v>
      </c>
    </row>
    <row r="647" customFormat="false" ht="15" hidden="false" customHeight="false" outlineLevel="0" collapsed="false">
      <c r="A647" s="6" t="s">
        <v>5144</v>
      </c>
      <c r="B647" s="6" t="s">
        <v>127</v>
      </c>
      <c r="C647" s="6" t="s">
        <v>4732</v>
      </c>
      <c r="D647" s="6" t="s">
        <v>1350</v>
      </c>
      <c r="E647" s="6" t="s">
        <v>1350</v>
      </c>
      <c r="F647" s="6" t="s">
        <v>1350</v>
      </c>
      <c r="G647" s="6" t="s">
        <v>76</v>
      </c>
      <c r="H647" s="6" t="s">
        <v>287</v>
      </c>
      <c r="I647" s="6" t="s">
        <v>4732</v>
      </c>
      <c r="J647" s="6" t="s">
        <v>5477</v>
      </c>
      <c r="K647" s="6" t="s">
        <v>4679</v>
      </c>
      <c r="L647" s="2" t="s">
        <v>1353</v>
      </c>
      <c r="M647" s="2" t="s">
        <v>1352</v>
      </c>
      <c r="N647" s="9" t="s">
        <v>1354</v>
      </c>
      <c r="O647" s="6" t="s">
        <v>97</v>
      </c>
      <c r="P647" s="6" t="s">
        <v>106</v>
      </c>
      <c r="Q647" s="6" t="s">
        <v>5144</v>
      </c>
      <c r="R647" s="6" t="s">
        <v>5377</v>
      </c>
    </row>
    <row r="648" customFormat="false" ht="15" hidden="false" customHeight="false" outlineLevel="0" collapsed="false">
      <c r="A648" s="6" t="s">
        <v>5144</v>
      </c>
      <c r="B648" s="6" t="s">
        <v>127</v>
      </c>
      <c r="C648" s="6" t="s">
        <v>4732</v>
      </c>
      <c r="D648" s="6" t="s">
        <v>2700</v>
      </c>
      <c r="E648" s="6" t="s">
        <v>5964</v>
      </c>
      <c r="F648" s="6" t="s">
        <v>1821</v>
      </c>
      <c r="G648" s="6" t="s">
        <v>164</v>
      </c>
      <c r="H648" s="6" t="s">
        <v>1445</v>
      </c>
      <c r="I648" s="6" t="s">
        <v>4732</v>
      </c>
      <c r="J648" s="6" t="s">
        <v>5521</v>
      </c>
      <c r="K648" s="6" t="s">
        <v>4790</v>
      </c>
      <c r="L648" s="2" t="s">
        <v>2703</v>
      </c>
      <c r="M648" s="2" t="s">
        <v>5965</v>
      </c>
      <c r="N648" s="9" t="s">
        <v>2704</v>
      </c>
      <c r="O648" s="6" t="s">
        <v>97</v>
      </c>
      <c r="P648" s="6" t="s">
        <v>106</v>
      </c>
      <c r="Q648" s="6" t="s">
        <v>5144</v>
      </c>
      <c r="R648" s="6" t="s">
        <v>5377</v>
      </c>
    </row>
    <row r="649" customFormat="false" ht="23.85" hidden="false" customHeight="false" outlineLevel="0" collapsed="false">
      <c r="A649" s="6" t="s">
        <v>5175</v>
      </c>
      <c r="B649" s="6" t="s">
        <v>127</v>
      </c>
      <c r="C649" s="6" t="s">
        <v>5006</v>
      </c>
      <c r="D649" s="6" t="s">
        <v>2940</v>
      </c>
      <c r="E649" s="6" t="s">
        <v>2940</v>
      </c>
      <c r="F649" s="6" t="s">
        <v>2941</v>
      </c>
      <c r="G649" s="6" t="s">
        <v>1127</v>
      </c>
      <c r="H649" s="6" t="s">
        <v>287</v>
      </c>
      <c r="I649" s="6" t="s">
        <v>4676</v>
      </c>
      <c r="J649" s="6" t="s">
        <v>1302</v>
      </c>
      <c r="K649" s="6" t="s">
        <v>4679</v>
      </c>
      <c r="L649" s="2" t="s">
        <v>2944</v>
      </c>
      <c r="M649" s="2" t="s">
        <v>2943</v>
      </c>
      <c r="N649" s="9" t="s">
        <v>2945</v>
      </c>
      <c r="O649" s="6" t="s">
        <v>1302</v>
      </c>
      <c r="P649" s="6" t="s">
        <v>98</v>
      </c>
      <c r="Q649" s="6" t="s">
        <v>5175</v>
      </c>
      <c r="R649" s="6" t="s">
        <v>5368</v>
      </c>
    </row>
    <row r="650" customFormat="false" ht="15" hidden="false" customHeight="false" outlineLevel="0" collapsed="false">
      <c r="A650" s="6" t="s">
        <v>5176</v>
      </c>
      <c r="B650" s="6" t="s">
        <v>127</v>
      </c>
      <c r="C650" s="6" t="s">
        <v>5006</v>
      </c>
      <c r="D650" s="6" t="s">
        <v>788</v>
      </c>
      <c r="E650" s="6" t="s">
        <v>788</v>
      </c>
      <c r="F650" s="6" t="s">
        <v>789</v>
      </c>
      <c r="G650" s="6" t="s">
        <v>239</v>
      </c>
      <c r="H650" s="6" t="s">
        <v>287</v>
      </c>
      <c r="I650" s="6" t="s">
        <v>4676</v>
      </c>
      <c r="J650" s="6" t="s">
        <v>84</v>
      </c>
      <c r="K650" s="6" t="s">
        <v>4790</v>
      </c>
      <c r="L650" s="2" t="s">
        <v>792</v>
      </c>
      <c r="M650" s="2" t="s">
        <v>791</v>
      </c>
      <c r="N650" s="9" t="s">
        <v>793</v>
      </c>
      <c r="O650" s="6" t="s">
        <v>84</v>
      </c>
      <c r="P650" s="6" t="s">
        <v>85</v>
      </c>
      <c r="Q650" s="6" t="s">
        <v>5176</v>
      </c>
      <c r="R650" s="6" t="s">
        <v>5377</v>
      </c>
    </row>
    <row r="651" customFormat="false" ht="15" hidden="false" customHeight="false" outlineLevel="0" collapsed="false">
      <c r="A651" s="6" t="s">
        <v>4816</v>
      </c>
      <c r="B651" s="6" t="s">
        <v>127</v>
      </c>
      <c r="C651" s="6" t="s">
        <v>5016</v>
      </c>
      <c r="D651" s="6" t="s">
        <v>2421</v>
      </c>
      <c r="E651" s="6" t="s">
        <v>2421</v>
      </c>
      <c r="F651" s="6" t="s">
        <v>2421</v>
      </c>
      <c r="G651" s="6" t="s">
        <v>182</v>
      </c>
      <c r="H651" s="6" t="s">
        <v>287</v>
      </c>
      <c r="I651" s="6" t="s">
        <v>4684</v>
      </c>
      <c r="J651" s="6" t="s">
        <v>461</v>
      </c>
      <c r="K651" s="6" t="s">
        <v>4675</v>
      </c>
      <c r="L651" s="2" t="s">
        <v>2424</v>
      </c>
      <c r="M651" s="2" t="s">
        <v>2423</v>
      </c>
      <c r="N651" s="9" t="s">
        <v>2425</v>
      </c>
      <c r="O651" s="6" t="s">
        <v>461</v>
      </c>
      <c r="P651" s="6" t="s">
        <v>85</v>
      </c>
      <c r="Q651" s="6" t="s">
        <v>5046</v>
      </c>
      <c r="R651" s="6" t="s">
        <v>5433</v>
      </c>
    </row>
    <row r="652" customFormat="false" ht="23.85" hidden="false" customHeight="false" outlineLevel="0" collapsed="false">
      <c r="A652" s="6" t="s">
        <v>4816</v>
      </c>
      <c r="B652" s="6" t="s">
        <v>127</v>
      </c>
      <c r="C652" s="6" t="s">
        <v>5016</v>
      </c>
      <c r="D652" s="6" t="s">
        <v>2421</v>
      </c>
      <c r="E652" s="6" t="s">
        <v>2421</v>
      </c>
      <c r="F652" s="6" t="s">
        <v>2421</v>
      </c>
      <c r="G652" s="6" t="s">
        <v>182</v>
      </c>
      <c r="H652" s="6" t="s">
        <v>287</v>
      </c>
      <c r="I652" s="6" t="s">
        <v>4680</v>
      </c>
      <c r="J652" s="6" t="s">
        <v>461</v>
      </c>
      <c r="K652" s="6" t="s">
        <v>4675</v>
      </c>
      <c r="L652" s="2" t="s">
        <v>5966</v>
      </c>
      <c r="M652" s="2"/>
      <c r="N652" s="9" t="s">
        <v>2425</v>
      </c>
      <c r="O652" s="6" t="s">
        <v>461</v>
      </c>
      <c r="P652" s="6" t="s">
        <v>85</v>
      </c>
      <c r="Q652" s="6" t="s">
        <v>4816</v>
      </c>
      <c r="R652" s="6" t="s">
        <v>5922</v>
      </c>
    </row>
    <row r="653" customFormat="false" ht="15" hidden="false" customHeight="false" outlineLevel="0" collapsed="false">
      <c r="A653" s="6" t="s">
        <v>4816</v>
      </c>
      <c r="B653" s="6" t="s">
        <v>127</v>
      </c>
      <c r="C653" s="6" t="s">
        <v>5016</v>
      </c>
      <c r="D653" s="6" t="s">
        <v>3283</v>
      </c>
      <c r="E653" s="6" t="s">
        <v>3283</v>
      </c>
      <c r="F653" s="6" t="s">
        <v>3284</v>
      </c>
      <c r="G653" s="6" t="s">
        <v>1583</v>
      </c>
      <c r="H653" s="6" t="s">
        <v>287</v>
      </c>
      <c r="I653" s="6" t="s">
        <v>4680</v>
      </c>
      <c r="J653" s="6" t="s">
        <v>504</v>
      </c>
      <c r="K653" s="6" t="s">
        <v>4790</v>
      </c>
      <c r="L653" s="2" t="s">
        <v>3286</v>
      </c>
      <c r="M653" s="2"/>
      <c r="N653" s="9" t="s">
        <v>3287</v>
      </c>
      <c r="O653" s="6" t="s">
        <v>504</v>
      </c>
      <c r="P653" s="6" t="s">
        <v>85</v>
      </c>
      <c r="Q653" s="6" t="s">
        <v>4816</v>
      </c>
      <c r="R653" s="6" t="s">
        <v>5922</v>
      </c>
    </row>
    <row r="654" customFormat="false" ht="15" hidden="false" customHeight="false" outlineLevel="0" collapsed="false">
      <c r="A654" s="6" t="s">
        <v>4816</v>
      </c>
      <c r="B654" s="6" t="s">
        <v>127</v>
      </c>
      <c r="C654" s="6" t="s">
        <v>5016</v>
      </c>
      <c r="D654" s="6" t="s">
        <v>3349</v>
      </c>
      <c r="E654" s="6" t="s">
        <v>3349</v>
      </c>
      <c r="F654" s="6" t="s">
        <v>3350</v>
      </c>
      <c r="G654" s="6" t="s">
        <v>1215</v>
      </c>
      <c r="H654" s="6" t="s">
        <v>287</v>
      </c>
      <c r="I654" s="6" t="s">
        <v>4684</v>
      </c>
      <c r="J654" s="6" t="s">
        <v>5365</v>
      </c>
      <c r="K654" s="6" t="s">
        <v>4790</v>
      </c>
      <c r="L654" s="2" t="s">
        <v>3352</v>
      </c>
      <c r="M654" s="2"/>
      <c r="N654" s="9" t="s">
        <v>3353</v>
      </c>
      <c r="O654" s="6" t="s">
        <v>123</v>
      </c>
      <c r="P654" s="6" t="s">
        <v>85</v>
      </c>
      <c r="Q654" s="6" t="s">
        <v>4816</v>
      </c>
      <c r="R654" s="6" t="s">
        <v>5922</v>
      </c>
    </row>
    <row r="655" customFormat="false" ht="15" hidden="false" customHeight="false" outlineLevel="0" collapsed="false">
      <c r="A655" s="6" t="s">
        <v>4816</v>
      </c>
      <c r="B655" s="6" t="s">
        <v>127</v>
      </c>
      <c r="C655" s="6" t="s">
        <v>5016</v>
      </c>
      <c r="D655" s="6" t="s">
        <v>2525</v>
      </c>
      <c r="E655" s="6" t="s">
        <v>2525</v>
      </c>
      <c r="F655" s="6" t="s">
        <v>2526</v>
      </c>
      <c r="G655" s="6" t="s">
        <v>182</v>
      </c>
      <c r="H655" s="6" t="s">
        <v>287</v>
      </c>
      <c r="I655" s="6" t="s">
        <v>4684</v>
      </c>
      <c r="J655" s="6" t="s">
        <v>5560</v>
      </c>
      <c r="K655" s="6" t="s">
        <v>4790</v>
      </c>
      <c r="L655" s="2" t="s">
        <v>2528</v>
      </c>
      <c r="M655" s="2"/>
      <c r="N655" s="9" t="s">
        <v>2529</v>
      </c>
      <c r="O655" s="6" t="s">
        <v>178</v>
      </c>
      <c r="P655" s="6" t="s">
        <v>85</v>
      </c>
      <c r="Q655" s="6" t="s">
        <v>4816</v>
      </c>
      <c r="R655" s="6" t="s">
        <v>5922</v>
      </c>
    </row>
    <row r="656" customFormat="false" ht="15" hidden="false" customHeight="false" outlineLevel="0" collapsed="false">
      <c r="A656" s="6" t="s">
        <v>4816</v>
      </c>
      <c r="B656" s="6" t="s">
        <v>127</v>
      </c>
      <c r="C656" s="6" t="s">
        <v>5016</v>
      </c>
      <c r="D656" s="6" t="s">
        <v>4129</v>
      </c>
      <c r="E656" s="6" t="s">
        <v>4129</v>
      </c>
      <c r="F656" s="6" t="s">
        <v>4130</v>
      </c>
      <c r="G656" s="6" t="s">
        <v>1644</v>
      </c>
      <c r="H656" s="6" t="s">
        <v>1445</v>
      </c>
      <c r="I656" s="6" t="s">
        <v>4684</v>
      </c>
      <c r="J656" s="6" t="s">
        <v>5365</v>
      </c>
      <c r="K656" s="6" t="s">
        <v>4790</v>
      </c>
      <c r="L656" s="2" t="s">
        <v>4132</v>
      </c>
      <c r="M656" s="2" t="s">
        <v>4131</v>
      </c>
      <c r="N656" s="9" t="s">
        <v>4133</v>
      </c>
      <c r="O656" s="6" t="s">
        <v>308</v>
      </c>
      <c r="P656" s="6" t="s">
        <v>106</v>
      </c>
      <c r="Q656" s="6" t="s">
        <v>4816</v>
      </c>
      <c r="R656" s="6" t="s">
        <v>5922</v>
      </c>
    </row>
    <row r="657" customFormat="false" ht="15" hidden="false" customHeight="false" outlineLevel="0" collapsed="false">
      <c r="A657" s="6" t="s">
        <v>4816</v>
      </c>
      <c r="B657" s="6" t="s">
        <v>127</v>
      </c>
      <c r="C657" s="6" t="s">
        <v>5016</v>
      </c>
      <c r="D657" s="6" t="s">
        <v>3925</v>
      </c>
      <c r="E657" s="6" t="s">
        <v>3925</v>
      </c>
      <c r="F657" s="6" t="s">
        <v>3925</v>
      </c>
      <c r="G657" s="6" t="s">
        <v>507</v>
      </c>
      <c r="H657" s="6" t="s">
        <v>1445</v>
      </c>
      <c r="I657" s="6" t="s">
        <v>4684</v>
      </c>
      <c r="J657" s="6" t="s">
        <v>5490</v>
      </c>
      <c r="K657" s="6" t="s">
        <v>4790</v>
      </c>
      <c r="L657" s="2" t="s">
        <v>3926</v>
      </c>
      <c r="M657" s="2"/>
      <c r="N657" s="9" t="s">
        <v>3353</v>
      </c>
      <c r="O657" s="6" t="s">
        <v>123</v>
      </c>
      <c r="P657" s="6" t="s">
        <v>85</v>
      </c>
      <c r="Q657" s="6" t="s">
        <v>4816</v>
      </c>
      <c r="R657" s="6" t="s">
        <v>5922</v>
      </c>
    </row>
    <row r="658" customFormat="false" ht="15" hidden="false" customHeight="false" outlineLevel="0" collapsed="false">
      <c r="A658" s="6" t="s">
        <v>4816</v>
      </c>
      <c r="B658" s="6" t="s">
        <v>127</v>
      </c>
      <c r="C658" s="6" t="s">
        <v>5016</v>
      </c>
      <c r="D658" s="6" t="s">
        <v>4277</v>
      </c>
      <c r="E658" s="6" t="s">
        <v>4277</v>
      </c>
      <c r="F658" s="6" t="s">
        <v>4278</v>
      </c>
      <c r="G658" s="6" t="s">
        <v>1598</v>
      </c>
      <c r="H658" s="6" t="s">
        <v>1445</v>
      </c>
      <c r="I658" s="6" t="s">
        <v>4684</v>
      </c>
      <c r="J658" s="6" t="s">
        <v>5365</v>
      </c>
      <c r="K658" s="6" t="s">
        <v>4790</v>
      </c>
      <c r="L658" s="2" t="s">
        <v>4279</v>
      </c>
      <c r="M658" s="2"/>
      <c r="N658" s="9" t="s">
        <v>4280</v>
      </c>
      <c r="O658" s="6" t="s">
        <v>123</v>
      </c>
      <c r="P658" s="6" t="s">
        <v>85</v>
      </c>
      <c r="Q658" s="6" t="s">
        <v>4816</v>
      </c>
      <c r="R658" s="6" t="s">
        <v>5922</v>
      </c>
    </row>
    <row r="659" customFormat="false" ht="15" hidden="false" customHeight="false" outlineLevel="0" collapsed="false">
      <c r="A659" s="6" t="s">
        <v>4816</v>
      </c>
      <c r="B659" s="6" t="s">
        <v>127</v>
      </c>
      <c r="C659" s="6" t="s">
        <v>5016</v>
      </c>
      <c r="D659" s="6" t="s">
        <v>4626</v>
      </c>
      <c r="E659" s="6" t="s">
        <v>4626</v>
      </c>
      <c r="F659" s="6" t="s">
        <v>4627</v>
      </c>
      <c r="G659" s="6" t="s">
        <v>2284</v>
      </c>
      <c r="H659" s="6" t="s">
        <v>1445</v>
      </c>
      <c r="I659" s="6" t="s">
        <v>4684</v>
      </c>
      <c r="J659" s="6" t="s">
        <v>5490</v>
      </c>
      <c r="K659" s="6" t="s">
        <v>4790</v>
      </c>
      <c r="L659" s="2" t="s">
        <v>4628</v>
      </c>
      <c r="M659" s="2"/>
      <c r="N659" s="9" t="s">
        <v>3353</v>
      </c>
      <c r="O659" s="6" t="s">
        <v>123</v>
      </c>
      <c r="P659" s="6" t="s">
        <v>85</v>
      </c>
      <c r="Q659" s="6" t="s">
        <v>4816</v>
      </c>
      <c r="R659" s="6" t="s">
        <v>5922</v>
      </c>
    </row>
    <row r="660" customFormat="false" ht="15" hidden="false" customHeight="false" outlineLevel="0" collapsed="false">
      <c r="A660" s="6" t="s">
        <v>4816</v>
      </c>
      <c r="B660" s="6" t="s">
        <v>127</v>
      </c>
      <c r="C660" s="6" t="s">
        <v>5016</v>
      </c>
      <c r="D660" s="6" t="s">
        <v>3746</v>
      </c>
      <c r="E660" s="6" t="s">
        <v>3746</v>
      </c>
      <c r="F660" s="6" t="s">
        <v>3747</v>
      </c>
      <c r="G660" s="6" t="s">
        <v>153</v>
      </c>
      <c r="H660" s="6" t="s">
        <v>1445</v>
      </c>
      <c r="I660" s="6" t="s">
        <v>4684</v>
      </c>
      <c r="J660" s="6" t="s">
        <v>5365</v>
      </c>
      <c r="K660" s="6" t="s">
        <v>4790</v>
      </c>
      <c r="L660" s="2" t="s">
        <v>3748</v>
      </c>
      <c r="M660" s="2"/>
      <c r="N660" s="9" t="s">
        <v>3749</v>
      </c>
      <c r="O660" s="6" t="s">
        <v>178</v>
      </c>
      <c r="P660" s="6" t="s">
        <v>85</v>
      </c>
      <c r="Q660" s="6" t="s">
        <v>4816</v>
      </c>
      <c r="R660" s="6" t="s">
        <v>5922</v>
      </c>
    </row>
    <row r="661" customFormat="false" ht="15" hidden="false" customHeight="false" outlineLevel="0" collapsed="false">
      <c r="A661" s="6" t="s">
        <v>4816</v>
      </c>
      <c r="B661" s="6" t="s">
        <v>127</v>
      </c>
      <c r="C661" s="6" t="s">
        <v>5016</v>
      </c>
      <c r="D661" s="6" t="s">
        <v>3863</v>
      </c>
      <c r="E661" s="6" t="s">
        <v>3863</v>
      </c>
      <c r="F661" s="6" t="s">
        <v>3864</v>
      </c>
      <c r="G661" s="6" t="s">
        <v>1598</v>
      </c>
      <c r="H661" s="6" t="s">
        <v>1445</v>
      </c>
      <c r="I661" s="6" t="s">
        <v>4684</v>
      </c>
      <c r="J661" s="6" t="s">
        <v>5490</v>
      </c>
      <c r="K661" s="6" t="s">
        <v>4790</v>
      </c>
      <c r="L661" s="2" t="s">
        <v>3867</v>
      </c>
      <c r="M661" s="2" t="s">
        <v>3866</v>
      </c>
      <c r="N661" s="9" t="s">
        <v>3353</v>
      </c>
      <c r="O661" s="6" t="s">
        <v>123</v>
      </c>
      <c r="P661" s="6" t="s">
        <v>85</v>
      </c>
      <c r="Q661" s="6" t="s">
        <v>4816</v>
      </c>
      <c r="R661" s="6" t="s">
        <v>5922</v>
      </c>
    </row>
    <row r="662" customFormat="false" ht="15" hidden="false" customHeight="false" outlineLevel="0" collapsed="false">
      <c r="A662" s="6" t="s">
        <v>4816</v>
      </c>
      <c r="B662" s="6" t="s">
        <v>127</v>
      </c>
      <c r="C662" s="6" t="s">
        <v>5016</v>
      </c>
      <c r="D662" s="6" t="s">
        <v>4581</v>
      </c>
      <c r="E662" s="6" t="s">
        <v>4581</v>
      </c>
      <c r="F662" s="6" t="s">
        <v>4582</v>
      </c>
      <c r="G662" s="6" t="s">
        <v>1598</v>
      </c>
      <c r="H662" s="6" t="s">
        <v>1445</v>
      </c>
      <c r="I662" s="6" t="s">
        <v>4684</v>
      </c>
      <c r="J662" s="6" t="s">
        <v>5490</v>
      </c>
      <c r="K662" s="6" t="s">
        <v>4790</v>
      </c>
      <c r="L662" s="2" t="s">
        <v>4583</v>
      </c>
      <c r="M662" s="2"/>
      <c r="N662" s="9" t="s">
        <v>3353</v>
      </c>
      <c r="O662" s="6" t="s">
        <v>123</v>
      </c>
      <c r="P662" s="6" t="s">
        <v>85</v>
      </c>
      <c r="Q662" s="6" t="s">
        <v>4816</v>
      </c>
      <c r="R662" s="6" t="s">
        <v>5922</v>
      </c>
    </row>
    <row r="663" customFormat="false" ht="15" hidden="false" customHeight="false" outlineLevel="0" collapsed="false">
      <c r="A663" s="6" t="s">
        <v>5177</v>
      </c>
      <c r="B663" s="6" t="s">
        <v>127</v>
      </c>
      <c r="C663" s="6" t="s">
        <v>5006</v>
      </c>
      <c r="D663" s="6" t="s">
        <v>1433</v>
      </c>
      <c r="E663" s="6" t="s">
        <v>1433</v>
      </c>
      <c r="F663" s="6" t="s">
        <v>1434</v>
      </c>
      <c r="G663" s="6" t="s">
        <v>239</v>
      </c>
      <c r="H663" s="6" t="s">
        <v>287</v>
      </c>
      <c r="I663" s="6" t="s">
        <v>4676</v>
      </c>
      <c r="J663" s="6" t="s">
        <v>5365</v>
      </c>
      <c r="K663" s="6" t="s">
        <v>4679</v>
      </c>
      <c r="L663" s="2" t="s">
        <v>5967</v>
      </c>
      <c r="M663" s="2"/>
      <c r="N663" s="9" t="s">
        <v>1439</v>
      </c>
      <c r="O663" s="6" t="s">
        <v>97</v>
      </c>
      <c r="P663" s="6" t="s">
        <v>98</v>
      </c>
      <c r="Q663" s="6" t="s">
        <v>5177</v>
      </c>
      <c r="R663" s="6" t="s">
        <v>5886</v>
      </c>
    </row>
    <row r="664" customFormat="false" ht="23.85" hidden="false" customHeight="false" outlineLevel="0" collapsed="false">
      <c r="A664" s="6" t="s">
        <v>5178</v>
      </c>
      <c r="B664" s="6" t="s">
        <v>127</v>
      </c>
      <c r="C664" s="6" t="s">
        <v>5016</v>
      </c>
      <c r="D664" s="6" t="s">
        <v>955</v>
      </c>
      <c r="E664" s="6" t="s">
        <v>5968</v>
      </c>
      <c r="F664" s="6" t="s">
        <v>956</v>
      </c>
      <c r="G664" s="6" t="s">
        <v>239</v>
      </c>
      <c r="H664" s="6" t="s">
        <v>77</v>
      </c>
      <c r="I664" s="6" t="s">
        <v>4684</v>
      </c>
      <c r="J664" s="6" t="s">
        <v>5365</v>
      </c>
      <c r="K664" s="6" t="s">
        <v>4679</v>
      </c>
      <c r="L664" s="2" t="s">
        <v>959</v>
      </c>
      <c r="M664" s="2" t="s">
        <v>958</v>
      </c>
      <c r="N664" s="9" t="s">
        <v>961</v>
      </c>
      <c r="O664" s="6" t="s">
        <v>960</v>
      </c>
      <c r="P664" s="6" t="s">
        <v>98</v>
      </c>
      <c r="Q664" s="6" t="s">
        <v>5178</v>
      </c>
      <c r="R664" s="6" t="s">
        <v>5922</v>
      </c>
    </row>
    <row r="665" customFormat="false" ht="15" hidden="false" customHeight="false" outlineLevel="0" collapsed="false">
      <c r="A665" s="6" t="s">
        <v>5038</v>
      </c>
      <c r="B665" s="6" t="s">
        <v>127</v>
      </c>
      <c r="C665" s="6" t="s">
        <v>5016</v>
      </c>
      <c r="D665" s="6" t="s">
        <v>576</v>
      </c>
      <c r="E665" s="6" t="s">
        <v>576</v>
      </c>
      <c r="F665" s="6" t="s">
        <v>576</v>
      </c>
      <c r="G665" s="6" t="s">
        <v>76</v>
      </c>
      <c r="H665" s="6" t="s">
        <v>77</v>
      </c>
      <c r="I665" s="6" t="s">
        <v>4684</v>
      </c>
      <c r="J665" s="6" t="s">
        <v>5365</v>
      </c>
      <c r="K665" s="6" t="s">
        <v>4790</v>
      </c>
      <c r="L665" s="2" t="s">
        <v>579</v>
      </c>
      <c r="M665" s="2" t="s">
        <v>578</v>
      </c>
      <c r="N665" s="9" t="s">
        <v>309</v>
      </c>
      <c r="O665" s="6" t="s">
        <v>308</v>
      </c>
      <c r="P665" s="6" t="s">
        <v>85</v>
      </c>
      <c r="Q665" s="6" t="s">
        <v>5038</v>
      </c>
      <c r="R665" s="6" t="s">
        <v>5922</v>
      </c>
    </row>
    <row r="666" customFormat="false" ht="23.85" hidden="false" customHeight="false" outlineLevel="0" collapsed="false">
      <c r="A666" s="6" t="s">
        <v>5038</v>
      </c>
      <c r="B666" s="6" t="s">
        <v>127</v>
      </c>
      <c r="C666" s="6" t="s">
        <v>5016</v>
      </c>
      <c r="D666" s="6" t="s">
        <v>1048</v>
      </c>
      <c r="E666" s="6" t="s">
        <v>1048</v>
      </c>
      <c r="F666" s="6" t="s">
        <v>134</v>
      </c>
      <c r="G666" s="6" t="s">
        <v>239</v>
      </c>
      <c r="H666" s="6" t="s">
        <v>77</v>
      </c>
      <c r="I666" s="6" t="s">
        <v>4680</v>
      </c>
      <c r="J666" s="6" t="s">
        <v>5521</v>
      </c>
      <c r="K666" s="6" t="s">
        <v>4675</v>
      </c>
      <c r="L666" s="2" t="s">
        <v>1052</v>
      </c>
      <c r="M666" s="2" t="s">
        <v>1051</v>
      </c>
      <c r="N666" s="9" t="s">
        <v>309</v>
      </c>
      <c r="O666" s="6" t="s">
        <v>308</v>
      </c>
      <c r="P666" s="6" t="s">
        <v>85</v>
      </c>
      <c r="Q666" s="6" t="s">
        <v>5038</v>
      </c>
      <c r="R666" s="6" t="s">
        <v>5922</v>
      </c>
    </row>
    <row r="667" customFormat="false" ht="15" hidden="false" customHeight="false" outlineLevel="0" collapsed="false">
      <c r="A667" s="6" t="s">
        <v>5038</v>
      </c>
      <c r="B667" s="6" t="s">
        <v>127</v>
      </c>
      <c r="C667" s="6" t="s">
        <v>5016</v>
      </c>
      <c r="D667" s="6" t="s">
        <v>625</v>
      </c>
      <c r="E667" s="6" t="s">
        <v>625</v>
      </c>
      <c r="F667" s="6" t="s">
        <v>627</v>
      </c>
      <c r="G667" s="6" t="s">
        <v>626</v>
      </c>
      <c r="H667" s="6" t="s">
        <v>287</v>
      </c>
      <c r="I667" s="6" t="s">
        <v>4684</v>
      </c>
      <c r="J667" s="6" t="s">
        <v>5365</v>
      </c>
      <c r="K667" s="6" t="s">
        <v>4790</v>
      </c>
      <c r="L667" s="2" t="s">
        <v>629</v>
      </c>
      <c r="M667" s="2"/>
      <c r="N667" s="9" t="s">
        <v>309</v>
      </c>
      <c r="O667" s="6" t="s">
        <v>308</v>
      </c>
      <c r="P667" s="6" t="s">
        <v>85</v>
      </c>
      <c r="Q667" s="6" t="s">
        <v>5038</v>
      </c>
      <c r="R667" s="6" t="s">
        <v>5922</v>
      </c>
    </row>
    <row r="668" customFormat="false" ht="15" hidden="false" customHeight="false" outlineLevel="0" collapsed="false">
      <c r="A668" s="6" t="s">
        <v>5038</v>
      </c>
      <c r="B668" s="6" t="s">
        <v>127</v>
      </c>
      <c r="C668" s="6" t="s">
        <v>5016</v>
      </c>
      <c r="D668" s="6" t="s">
        <v>301</v>
      </c>
      <c r="E668" s="6" t="s">
        <v>5969</v>
      </c>
      <c r="F668" s="6" t="s">
        <v>302</v>
      </c>
      <c r="G668" s="6" t="s">
        <v>239</v>
      </c>
      <c r="H668" s="6" t="s">
        <v>287</v>
      </c>
      <c r="I668" s="6" t="s">
        <v>4684</v>
      </c>
      <c r="J668" s="6" t="s">
        <v>5365</v>
      </c>
      <c r="K668" s="6" t="s">
        <v>4790</v>
      </c>
      <c r="L668" s="2" t="s">
        <v>307</v>
      </c>
      <c r="M668" s="2"/>
      <c r="N668" s="9" t="s">
        <v>309</v>
      </c>
      <c r="O668" s="6" t="s">
        <v>308</v>
      </c>
      <c r="P668" s="6" t="s">
        <v>85</v>
      </c>
      <c r="Q668" s="6" t="s">
        <v>5038</v>
      </c>
      <c r="R668" s="6" t="s">
        <v>5922</v>
      </c>
    </row>
    <row r="669" customFormat="false" ht="23.85" hidden="false" customHeight="false" outlineLevel="0" collapsed="false">
      <c r="A669" s="6" t="s">
        <v>5038</v>
      </c>
      <c r="B669" s="6" t="s">
        <v>127</v>
      </c>
      <c r="C669" s="6" t="s">
        <v>5016</v>
      </c>
      <c r="D669" s="6" t="s">
        <v>414</v>
      </c>
      <c r="E669" s="6" t="s">
        <v>414</v>
      </c>
      <c r="F669" s="6" t="s">
        <v>467</v>
      </c>
      <c r="G669" s="6" t="s">
        <v>76</v>
      </c>
      <c r="H669" s="6" t="s">
        <v>287</v>
      </c>
      <c r="I669" s="6" t="s">
        <v>4684</v>
      </c>
      <c r="J669" s="6" t="s">
        <v>5365</v>
      </c>
      <c r="K669" s="6" t="s">
        <v>4679</v>
      </c>
      <c r="L669" s="2" t="s">
        <v>5970</v>
      </c>
      <c r="M669" s="2" t="s">
        <v>5971</v>
      </c>
      <c r="N669" s="9" t="s">
        <v>5972</v>
      </c>
      <c r="O669" s="6" t="s">
        <v>1774</v>
      </c>
      <c r="P669" s="6" t="s">
        <v>106</v>
      </c>
      <c r="Q669" s="6" t="s">
        <v>5038</v>
      </c>
      <c r="R669" s="6" t="s">
        <v>5368</v>
      </c>
    </row>
    <row r="670" customFormat="false" ht="23.85" hidden="false" customHeight="false" outlineLevel="0" collapsed="false">
      <c r="A670" s="6" t="s">
        <v>5038</v>
      </c>
      <c r="B670" s="6" t="s">
        <v>127</v>
      </c>
      <c r="C670" s="6" t="s">
        <v>5016</v>
      </c>
      <c r="D670" s="6" t="s">
        <v>1876</v>
      </c>
      <c r="E670" s="6" t="s">
        <v>1876</v>
      </c>
      <c r="F670" s="6" t="s">
        <v>1877</v>
      </c>
      <c r="G670" s="6" t="s">
        <v>182</v>
      </c>
      <c r="H670" s="6" t="s">
        <v>287</v>
      </c>
      <c r="I670" s="6" t="s">
        <v>4676</v>
      </c>
      <c r="J670" s="6" t="s">
        <v>5365</v>
      </c>
      <c r="K670" s="6" t="s">
        <v>4790</v>
      </c>
      <c r="L670" s="2" t="s">
        <v>5973</v>
      </c>
      <c r="M670" s="2" t="s">
        <v>5974</v>
      </c>
      <c r="N670" s="9" t="s">
        <v>1882</v>
      </c>
      <c r="O670" s="6" t="s">
        <v>256</v>
      </c>
      <c r="P670" s="6" t="s">
        <v>85</v>
      </c>
      <c r="Q670" s="6" t="s">
        <v>5038</v>
      </c>
      <c r="R670" s="6" t="s">
        <v>5922</v>
      </c>
    </row>
    <row r="671" customFormat="false" ht="15" hidden="false" customHeight="false" outlineLevel="0" collapsed="false">
      <c r="A671" s="6" t="s">
        <v>5038</v>
      </c>
      <c r="B671" s="6" t="s">
        <v>127</v>
      </c>
      <c r="C671" s="6" t="s">
        <v>5016</v>
      </c>
      <c r="D671" s="6" t="s">
        <v>2618</v>
      </c>
      <c r="E671" s="6" t="s">
        <v>2618</v>
      </c>
      <c r="F671" s="6" t="s">
        <v>2618</v>
      </c>
      <c r="G671" s="6" t="s">
        <v>626</v>
      </c>
      <c r="H671" s="6" t="s">
        <v>287</v>
      </c>
      <c r="I671" s="6" t="s">
        <v>4680</v>
      </c>
      <c r="J671" s="6" t="s">
        <v>517</v>
      </c>
      <c r="K671" s="6" t="s">
        <v>4790</v>
      </c>
      <c r="L671" s="2" t="s">
        <v>2620</v>
      </c>
      <c r="M671" s="2"/>
      <c r="N671" s="9" t="s">
        <v>2621</v>
      </c>
      <c r="O671" s="6" t="s">
        <v>517</v>
      </c>
      <c r="P671" s="6" t="s">
        <v>85</v>
      </c>
      <c r="Q671" s="6" t="s">
        <v>5038</v>
      </c>
      <c r="R671" s="6" t="s">
        <v>5922</v>
      </c>
    </row>
    <row r="672" customFormat="false" ht="23.85" hidden="false" customHeight="false" outlineLevel="0" collapsed="false">
      <c r="A672" s="6" t="s">
        <v>5038</v>
      </c>
      <c r="B672" s="6" t="s">
        <v>127</v>
      </c>
      <c r="C672" s="6" t="s">
        <v>5016</v>
      </c>
      <c r="D672" s="6" t="s">
        <v>4030</v>
      </c>
      <c r="E672" s="6" t="s">
        <v>4030</v>
      </c>
      <c r="F672" s="6" t="s">
        <v>4031</v>
      </c>
      <c r="G672" s="6" t="s">
        <v>1644</v>
      </c>
      <c r="H672" s="6" t="s">
        <v>1445</v>
      </c>
      <c r="I672" s="6" t="s">
        <v>4680</v>
      </c>
      <c r="J672" s="6" t="s">
        <v>5521</v>
      </c>
      <c r="K672" s="6" t="s">
        <v>4675</v>
      </c>
      <c r="L672" s="2" t="s">
        <v>4033</v>
      </c>
      <c r="M672" s="2" t="s">
        <v>4032</v>
      </c>
      <c r="N672" s="9" t="s">
        <v>309</v>
      </c>
      <c r="O672" s="6" t="s">
        <v>308</v>
      </c>
      <c r="P672" s="6" t="s">
        <v>85</v>
      </c>
      <c r="Q672" s="6" t="s">
        <v>5038</v>
      </c>
      <c r="R672" s="6" t="s">
        <v>5922</v>
      </c>
    </row>
    <row r="673" customFormat="false" ht="15" hidden="false" customHeight="false" outlineLevel="0" collapsed="false">
      <c r="A673" s="6" t="s">
        <v>5038</v>
      </c>
      <c r="B673" s="6" t="s">
        <v>127</v>
      </c>
      <c r="C673" s="6" t="s">
        <v>5016</v>
      </c>
      <c r="D673" s="6" t="s">
        <v>4043</v>
      </c>
      <c r="E673" s="6" t="s">
        <v>4043</v>
      </c>
      <c r="F673" s="6" t="s">
        <v>4044</v>
      </c>
      <c r="G673" s="6" t="s">
        <v>1598</v>
      </c>
      <c r="H673" s="6" t="s">
        <v>1445</v>
      </c>
      <c r="I673" s="6" t="s">
        <v>4684</v>
      </c>
      <c r="J673" s="6" t="s">
        <v>5521</v>
      </c>
      <c r="K673" s="6" t="s">
        <v>4675</v>
      </c>
      <c r="L673" s="2" t="s">
        <v>4047</v>
      </c>
      <c r="M673" s="2" t="s">
        <v>4046</v>
      </c>
      <c r="N673" s="9" t="s">
        <v>309</v>
      </c>
      <c r="O673" s="6" t="s">
        <v>308</v>
      </c>
      <c r="P673" s="6" t="s">
        <v>85</v>
      </c>
      <c r="Q673" s="6" t="s">
        <v>5038</v>
      </c>
      <c r="R673" s="6" t="s">
        <v>5922</v>
      </c>
    </row>
    <row r="674" customFormat="false" ht="15" hidden="false" customHeight="false" outlineLevel="0" collapsed="false">
      <c r="A674" s="6" t="s">
        <v>5038</v>
      </c>
      <c r="B674" s="6" t="s">
        <v>127</v>
      </c>
      <c r="C674" s="6" t="s">
        <v>5016</v>
      </c>
      <c r="D674" s="6" t="s">
        <v>3019</v>
      </c>
      <c r="E674" s="6" t="s">
        <v>3019</v>
      </c>
      <c r="F674" s="6" t="s">
        <v>5975</v>
      </c>
      <c r="G674" s="6" t="s">
        <v>1583</v>
      </c>
      <c r="H674" s="6" t="s">
        <v>1445</v>
      </c>
      <c r="I674" s="6" t="s">
        <v>4684</v>
      </c>
      <c r="J674" s="6" t="s">
        <v>5365</v>
      </c>
      <c r="K674" s="6" t="s">
        <v>4790</v>
      </c>
      <c r="L674" s="2" t="s">
        <v>5976</v>
      </c>
      <c r="M674" s="2"/>
      <c r="N674" s="9" t="s">
        <v>309</v>
      </c>
      <c r="O674" s="6" t="s">
        <v>308</v>
      </c>
      <c r="P674" s="6" t="s">
        <v>85</v>
      </c>
      <c r="Q674" s="6" t="s">
        <v>5038</v>
      </c>
      <c r="R674" s="6" t="s">
        <v>5922</v>
      </c>
    </row>
    <row r="675" customFormat="false" ht="23.85" hidden="false" customHeight="false" outlineLevel="0" collapsed="false">
      <c r="A675" s="6" t="s">
        <v>5038</v>
      </c>
      <c r="B675" s="6" t="s">
        <v>127</v>
      </c>
      <c r="C675" s="6" t="s">
        <v>5016</v>
      </c>
      <c r="D675" s="6" t="s">
        <v>3158</v>
      </c>
      <c r="E675" s="6" t="s">
        <v>3158</v>
      </c>
      <c r="F675" s="6" t="s">
        <v>3138</v>
      </c>
      <c r="G675" s="6" t="s">
        <v>239</v>
      </c>
      <c r="H675" s="6" t="s">
        <v>1445</v>
      </c>
      <c r="I675" s="6" t="s">
        <v>4680</v>
      </c>
      <c r="J675" s="6" t="s">
        <v>5521</v>
      </c>
      <c r="K675" s="6" t="s">
        <v>4675</v>
      </c>
      <c r="L675" s="2" t="s">
        <v>3161</v>
      </c>
      <c r="M675" s="2"/>
      <c r="N675" s="9" t="s">
        <v>309</v>
      </c>
      <c r="O675" s="6" t="s">
        <v>308</v>
      </c>
      <c r="P675" s="6" t="s">
        <v>85</v>
      </c>
      <c r="Q675" s="6" t="s">
        <v>5038</v>
      </c>
      <c r="R675" s="6" t="s">
        <v>5922</v>
      </c>
    </row>
    <row r="676" customFormat="false" ht="15" hidden="false" customHeight="false" outlineLevel="0" collapsed="false">
      <c r="A676" s="6" t="s">
        <v>5038</v>
      </c>
      <c r="B676" s="6" t="s">
        <v>127</v>
      </c>
      <c r="C676" s="6" t="s">
        <v>5016</v>
      </c>
      <c r="D676" s="6" t="s">
        <v>3848</v>
      </c>
      <c r="E676" s="6" t="s">
        <v>3848</v>
      </c>
      <c r="F676" s="6" t="s">
        <v>3849</v>
      </c>
      <c r="G676" s="6" t="s">
        <v>1583</v>
      </c>
      <c r="H676" s="6" t="s">
        <v>1445</v>
      </c>
      <c r="I676" s="6" t="s">
        <v>4684</v>
      </c>
      <c r="J676" s="6" t="s">
        <v>517</v>
      </c>
      <c r="K676" s="6" t="s">
        <v>4790</v>
      </c>
      <c r="L676" s="2" t="s">
        <v>3852</v>
      </c>
      <c r="M676" s="2" t="s">
        <v>3851</v>
      </c>
      <c r="N676" s="9" t="s">
        <v>3853</v>
      </c>
      <c r="O676" s="6" t="s">
        <v>517</v>
      </c>
      <c r="P676" s="6" t="s">
        <v>85</v>
      </c>
      <c r="Q676" s="6" t="s">
        <v>5038</v>
      </c>
      <c r="R676" s="6" t="s">
        <v>5922</v>
      </c>
    </row>
    <row r="677" customFormat="false" ht="23.85" hidden="false" customHeight="false" outlineLevel="0" collapsed="false">
      <c r="A677" s="6" t="s">
        <v>5038</v>
      </c>
      <c r="B677" s="6" t="s">
        <v>127</v>
      </c>
      <c r="C677" s="6" t="s">
        <v>5016</v>
      </c>
      <c r="D677" s="6" t="s">
        <v>4399</v>
      </c>
      <c r="E677" s="6" t="s">
        <v>4399</v>
      </c>
      <c r="F677" s="6" t="s">
        <v>4400</v>
      </c>
      <c r="G677" s="6" t="s">
        <v>1583</v>
      </c>
      <c r="H677" s="6" t="s">
        <v>1445</v>
      </c>
      <c r="I677" s="6" t="s">
        <v>4684</v>
      </c>
      <c r="J677" s="6" t="s">
        <v>5365</v>
      </c>
      <c r="K677" s="6" t="s">
        <v>4679</v>
      </c>
      <c r="L677" s="2" t="s">
        <v>5977</v>
      </c>
      <c r="M677" s="2" t="s">
        <v>4402</v>
      </c>
      <c r="N677" s="9" t="s">
        <v>4405</v>
      </c>
      <c r="O677" s="6" t="s">
        <v>150</v>
      </c>
      <c r="P677" s="6" t="s">
        <v>98</v>
      </c>
      <c r="Q677" s="6" t="s">
        <v>5038</v>
      </c>
      <c r="R677" s="6" t="s">
        <v>5922</v>
      </c>
    </row>
    <row r="678" customFormat="false" ht="15" hidden="false" customHeight="false" outlineLevel="0" collapsed="false">
      <c r="A678" s="6" t="s">
        <v>5180</v>
      </c>
      <c r="B678" s="6" t="s">
        <v>127</v>
      </c>
      <c r="C678" s="6" t="s">
        <v>5006</v>
      </c>
      <c r="D678" s="6" t="s">
        <v>2497</v>
      </c>
      <c r="E678" s="6" t="s">
        <v>2497</v>
      </c>
      <c r="F678" s="6" t="s">
        <v>2498</v>
      </c>
      <c r="G678" s="6" t="s">
        <v>182</v>
      </c>
      <c r="H678" s="6" t="s">
        <v>287</v>
      </c>
      <c r="I678" s="6" t="s">
        <v>4676</v>
      </c>
      <c r="J678" s="6" t="s">
        <v>84</v>
      </c>
      <c r="K678" s="6" t="s">
        <v>4790</v>
      </c>
      <c r="L678" s="2" t="s">
        <v>2501</v>
      </c>
      <c r="M678" s="2" t="s">
        <v>2500</v>
      </c>
      <c r="N678" s="9" t="s">
        <v>2502</v>
      </c>
      <c r="O678" s="6" t="s">
        <v>84</v>
      </c>
      <c r="P678" s="6" t="s">
        <v>85</v>
      </c>
      <c r="Q678" s="6" t="s">
        <v>5180</v>
      </c>
      <c r="R678" s="6" t="s">
        <v>5377</v>
      </c>
    </row>
    <row r="679" customFormat="false" ht="15" hidden="false" customHeight="false" outlineLevel="0" collapsed="false">
      <c r="A679" s="6" t="s">
        <v>5181</v>
      </c>
      <c r="B679" s="6" t="s">
        <v>127</v>
      </c>
      <c r="C679" s="6" t="s">
        <v>5006</v>
      </c>
      <c r="D679" s="6" t="s">
        <v>2276</v>
      </c>
      <c r="E679" s="6" t="s">
        <v>2276</v>
      </c>
      <c r="F679" s="6" t="s">
        <v>2277</v>
      </c>
      <c r="G679" s="6" t="s">
        <v>1127</v>
      </c>
      <c r="H679" s="6" t="s">
        <v>77</v>
      </c>
      <c r="I679" s="6" t="s">
        <v>4676</v>
      </c>
      <c r="J679" s="6" t="s">
        <v>2281</v>
      </c>
      <c r="K679" s="6" t="s">
        <v>4679</v>
      </c>
      <c r="L679" s="2" t="s">
        <v>2280</v>
      </c>
      <c r="M679" s="2" t="s">
        <v>2279</v>
      </c>
      <c r="N679" s="9" t="s">
        <v>2282</v>
      </c>
      <c r="O679" s="6" t="s">
        <v>2281</v>
      </c>
      <c r="P679" s="6" t="s">
        <v>106</v>
      </c>
      <c r="Q679" s="6" t="s">
        <v>5181</v>
      </c>
      <c r="R679" s="6" t="s">
        <v>5368</v>
      </c>
    </row>
    <row r="680" customFormat="false" ht="15" hidden="false" customHeight="false" outlineLevel="0" collapsed="false">
      <c r="A680" s="6" t="s">
        <v>5183</v>
      </c>
      <c r="B680" s="6" t="s">
        <v>127</v>
      </c>
      <c r="C680" s="6" t="s">
        <v>5016</v>
      </c>
      <c r="D680" s="6" t="s">
        <v>1385</v>
      </c>
      <c r="E680" s="6" t="s">
        <v>1385</v>
      </c>
      <c r="F680" s="6" t="s">
        <v>1386</v>
      </c>
      <c r="G680" s="6" t="s">
        <v>76</v>
      </c>
      <c r="H680" s="6" t="s">
        <v>287</v>
      </c>
      <c r="I680" s="6" t="s">
        <v>4684</v>
      </c>
      <c r="J680" s="6" t="s">
        <v>5365</v>
      </c>
      <c r="K680" s="6" t="s">
        <v>4790</v>
      </c>
      <c r="L680" s="2" t="s">
        <v>5978</v>
      </c>
      <c r="M680" s="2" t="s">
        <v>5979</v>
      </c>
      <c r="N680" s="9" t="s">
        <v>1391</v>
      </c>
      <c r="O680" s="6" t="s">
        <v>84</v>
      </c>
      <c r="P680" s="6" t="s">
        <v>106</v>
      </c>
      <c r="Q680" s="6" t="s">
        <v>5183</v>
      </c>
      <c r="R680" s="6" t="s">
        <v>5368</v>
      </c>
    </row>
    <row r="681" customFormat="false" ht="15" hidden="false" customHeight="false" outlineLevel="0" collapsed="false">
      <c r="A681" s="6" t="s">
        <v>5112</v>
      </c>
      <c r="B681" s="6" t="s">
        <v>127</v>
      </c>
      <c r="C681" s="6" t="s">
        <v>4682</v>
      </c>
      <c r="D681" s="6" t="s">
        <v>2737</v>
      </c>
      <c r="E681" s="6" t="s">
        <v>2737</v>
      </c>
      <c r="F681" s="6" t="s">
        <v>2737</v>
      </c>
      <c r="G681" s="6" t="s">
        <v>1215</v>
      </c>
      <c r="H681" s="6" t="s">
        <v>77</v>
      </c>
      <c r="I681" s="6" t="s">
        <v>4682</v>
      </c>
      <c r="J681" s="6" t="s">
        <v>97</v>
      </c>
      <c r="K681" s="6" t="s">
        <v>4675</v>
      </c>
      <c r="L681" s="2" t="s">
        <v>2740</v>
      </c>
      <c r="M681" s="2" t="s">
        <v>2739</v>
      </c>
      <c r="N681" s="9" t="s">
        <v>2741</v>
      </c>
      <c r="O681" s="6" t="s">
        <v>97</v>
      </c>
      <c r="P681" s="6" t="s">
        <v>85</v>
      </c>
      <c r="Q681" s="6" t="s">
        <v>5112</v>
      </c>
      <c r="R681" s="6" t="s">
        <v>5377</v>
      </c>
    </row>
    <row r="682" customFormat="false" ht="15" hidden="false" customHeight="false" outlineLevel="0" collapsed="false">
      <c r="A682" s="6" t="s">
        <v>5112</v>
      </c>
      <c r="B682" s="6" t="s">
        <v>127</v>
      </c>
      <c r="C682" s="6" t="s">
        <v>4682</v>
      </c>
      <c r="D682" s="6" t="s">
        <v>2443</v>
      </c>
      <c r="E682" s="6" t="s">
        <v>2443</v>
      </c>
      <c r="F682" s="6" t="s">
        <v>2444</v>
      </c>
      <c r="G682" s="6" t="s">
        <v>182</v>
      </c>
      <c r="H682" s="6" t="s">
        <v>287</v>
      </c>
      <c r="I682" s="6" t="s">
        <v>4682</v>
      </c>
      <c r="J682" s="6" t="s">
        <v>1162</v>
      </c>
      <c r="K682" s="6" t="s">
        <v>4679</v>
      </c>
      <c r="L682" s="2" t="s">
        <v>2446</v>
      </c>
      <c r="M682" s="2" t="s">
        <v>2060</v>
      </c>
      <c r="N682" s="9" t="s">
        <v>2447</v>
      </c>
      <c r="O682" s="6" t="s">
        <v>1162</v>
      </c>
      <c r="P682" s="6" t="s">
        <v>85</v>
      </c>
      <c r="Q682" s="6" t="s">
        <v>5112</v>
      </c>
      <c r="R682" s="6" t="s">
        <v>5377</v>
      </c>
    </row>
    <row r="683" customFormat="false" ht="15" hidden="false" customHeight="false" outlineLevel="0" collapsed="false">
      <c r="A683" s="6" t="s">
        <v>5112</v>
      </c>
      <c r="B683" s="6" t="s">
        <v>127</v>
      </c>
      <c r="C683" s="6" t="s">
        <v>4682</v>
      </c>
      <c r="D683" s="6" t="s">
        <v>2107</v>
      </c>
      <c r="E683" s="6" t="s">
        <v>2107</v>
      </c>
      <c r="F683" s="6" t="s">
        <v>336</v>
      </c>
      <c r="G683" s="6" t="s">
        <v>239</v>
      </c>
      <c r="H683" s="6" t="s">
        <v>287</v>
      </c>
      <c r="I683" s="6" t="s">
        <v>4682</v>
      </c>
      <c r="J683" s="6" t="s">
        <v>1774</v>
      </c>
      <c r="K683" s="6" t="s">
        <v>4679</v>
      </c>
      <c r="L683" s="2" t="s">
        <v>2110</v>
      </c>
      <c r="M683" s="2" t="s">
        <v>2109</v>
      </c>
      <c r="N683" s="9" t="s">
        <v>2111</v>
      </c>
      <c r="O683" s="6" t="s">
        <v>1774</v>
      </c>
      <c r="P683" s="6" t="s">
        <v>106</v>
      </c>
      <c r="Q683" s="6" t="s">
        <v>5112</v>
      </c>
      <c r="R683" s="6" t="s">
        <v>5368</v>
      </c>
    </row>
    <row r="684" customFormat="false" ht="15" hidden="false" customHeight="false" outlineLevel="0" collapsed="false">
      <c r="A684" s="6" t="s">
        <v>5114</v>
      </c>
      <c r="B684" s="6" t="s">
        <v>127</v>
      </c>
      <c r="C684" s="6" t="s">
        <v>5006</v>
      </c>
      <c r="D684" s="6" t="s">
        <v>2822</v>
      </c>
      <c r="E684" s="6" t="s">
        <v>2822</v>
      </c>
      <c r="F684" s="6" t="s">
        <v>2822</v>
      </c>
      <c r="G684" s="6" t="s">
        <v>1127</v>
      </c>
      <c r="H684" s="6" t="s">
        <v>287</v>
      </c>
      <c r="I684" s="6" t="s">
        <v>4680</v>
      </c>
      <c r="J684" s="6" t="s">
        <v>389</v>
      </c>
      <c r="K684" s="6" t="s">
        <v>4675</v>
      </c>
      <c r="L684" s="2" t="s">
        <v>2824</v>
      </c>
      <c r="M684" s="2"/>
      <c r="N684" s="9" t="s">
        <v>2825</v>
      </c>
      <c r="O684" s="6" t="s">
        <v>389</v>
      </c>
      <c r="P684" s="6" t="s">
        <v>85</v>
      </c>
      <c r="Q684" s="6" t="s">
        <v>5980</v>
      </c>
      <c r="R684" s="6" t="s">
        <v>5922</v>
      </c>
    </row>
    <row r="685" customFormat="false" ht="23.85" hidden="false" customHeight="false" outlineLevel="0" collapsed="false">
      <c r="A685" s="6" t="s">
        <v>5114</v>
      </c>
      <c r="B685" s="6" t="s">
        <v>127</v>
      </c>
      <c r="C685" s="6" t="s">
        <v>5006</v>
      </c>
      <c r="D685" s="6" t="s">
        <v>351</v>
      </c>
      <c r="E685" s="6" t="s">
        <v>351</v>
      </c>
      <c r="F685" s="6" t="s">
        <v>352</v>
      </c>
      <c r="G685" s="6" t="s">
        <v>118</v>
      </c>
      <c r="H685" s="6" t="s">
        <v>287</v>
      </c>
      <c r="I685" s="6" t="s">
        <v>4676</v>
      </c>
      <c r="J685" s="6" t="s">
        <v>1774</v>
      </c>
      <c r="K685" s="6" t="s">
        <v>4679</v>
      </c>
      <c r="L685" s="2" t="s">
        <v>356</v>
      </c>
      <c r="M685" s="2" t="s">
        <v>5981</v>
      </c>
      <c r="N685" s="9" t="s">
        <v>5982</v>
      </c>
      <c r="O685" s="6" t="s">
        <v>1774</v>
      </c>
      <c r="P685" s="6" t="s">
        <v>106</v>
      </c>
      <c r="Q685" s="6" t="s">
        <v>5983</v>
      </c>
      <c r="R685" s="6" t="s">
        <v>5886</v>
      </c>
    </row>
    <row r="686" customFormat="false" ht="23.85" hidden="false" customHeight="false" outlineLevel="0" collapsed="false">
      <c r="A686" s="6" t="s">
        <v>5114</v>
      </c>
      <c r="B686" s="6" t="s">
        <v>127</v>
      </c>
      <c r="C686" s="6" t="s">
        <v>5006</v>
      </c>
      <c r="D686" s="6" t="s">
        <v>2356</v>
      </c>
      <c r="E686" s="6" t="s">
        <v>2356</v>
      </c>
      <c r="F686" s="6" t="s">
        <v>2169</v>
      </c>
      <c r="G686" s="6" t="s">
        <v>1644</v>
      </c>
      <c r="H686" s="6" t="s">
        <v>287</v>
      </c>
      <c r="I686" s="6" t="s">
        <v>4684</v>
      </c>
      <c r="J686" s="6" t="s">
        <v>5365</v>
      </c>
      <c r="K686" s="6" t="s">
        <v>4790</v>
      </c>
      <c r="L686" s="2" t="s">
        <v>2359</v>
      </c>
      <c r="M686" s="2" t="s">
        <v>2358</v>
      </c>
      <c r="N686" s="9" t="s">
        <v>2360</v>
      </c>
      <c r="O686" s="6" t="s">
        <v>256</v>
      </c>
      <c r="P686" s="6" t="s">
        <v>106</v>
      </c>
      <c r="Q686" s="6" t="s">
        <v>5980</v>
      </c>
      <c r="R686" s="6" t="s">
        <v>5886</v>
      </c>
    </row>
    <row r="687" customFormat="false" ht="23.85" hidden="false" customHeight="false" outlineLevel="0" collapsed="false">
      <c r="A687" s="6" t="s">
        <v>5025</v>
      </c>
      <c r="B687" s="6" t="s">
        <v>127</v>
      </c>
      <c r="C687" s="6" t="s">
        <v>5006</v>
      </c>
      <c r="D687" s="6" t="s">
        <v>542</v>
      </c>
      <c r="E687" s="6" t="s">
        <v>542</v>
      </c>
      <c r="F687" s="6" t="s">
        <v>543</v>
      </c>
      <c r="G687" s="6" t="s">
        <v>239</v>
      </c>
      <c r="H687" s="6" t="s">
        <v>77</v>
      </c>
      <c r="I687" s="6" t="s">
        <v>4676</v>
      </c>
      <c r="J687" s="6" t="s">
        <v>5365</v>
      </c>
      <c r="K687" s="6" t="s">
        <v>4679</v>
      </c>
      <c r="L687" s="2" t="s">
        <v>546</v>
      </c>
      <c r="M687" s="2" t="s">
        <v>545</v>
      </c>
      <c r="N687" s="9" t="s">
        <v>547</v>
      </c>
      <c r="O687" s="6" t="s">
        <v>97</v>
      </c>
      <c r="P687" s="6" t="s">
        <v>106</v>
      </c>
      <c r="Q687" s="6" t="s">
        <v>5025</v>
      </c>
      <c r="R687" s="6" t="s">
        <v>5377</v>
      </c>
    </row>
    <row r="688" customFormat="false" ht="15" hidden="false" customHeight="false" outlineLevel="0" collapsed="false">
      <c r="A688" s="6" t="s">
        <v>5025</v>
      </c>
      <c r="B688" s="6" t="s">
        <v>127</v>
      </c>
      <c r="C688" s="6" t="s">
        <v>5006</v>
      </c>
      <c r="D688" s="6" t="s">
        <v>934</v>
      </c>
      <c r="E688" s="6" t="s">
        <v>934</v>
      </c>
      <c r="F688" s="6" t="s">
        <v>935</v>
      </c>
      <c r="G688" s="6" t="s">
        <v>239</v>
      </c>
      <c r="H688" s="6" t="s">
        <v>77</v>
      </c>
      <c r="I688" s="6" t="s">
        <v>4676</v>
      </c>
      <c r="J688" s="6" t="s">
        <v>5365</v>
      </c>
      <c r="K688" s="6" t="s">
        <v>4679</v>
      </c>
      <c r="L688" s="2" t="s">
        <v>937</v>
      </c>
      <c r="M688" s="2" t="s">
        <v>936</v>
      </c>
      <c r="N688" s="9" t="s">
        <v>547</v>
      </c>
      <c r="O688" s="6" t="s">
        <v>97</v>
      </c>
      <c r="P688" s="6" t="s">
        <v>106</v>
      </c>
      <c r="Q688" s="6" t="s">
        <v>5025</v>
      </c>
      <c r="R688" s="6" t="s">
        <v>5377</v>
      </c>
    </row>
    <row r="689" customFormat="false" ht="15" hidden="false" customHeight="false" outlineLevel="0" collapsed="false">
      <c r="A689" s="6" t="s">
        <v>5025</v>
      </c>
      <c r="B689" s="6" t="s">
        <v>127</v>
      </c>
      <c r="C689" s="6" t="s">
        <v>5006</v>
      </c>
      <c r="D689" s="6" t="s">
        <v>938</v>
      </c>
      <c r="E689" s="6" t="s">
        <v>938</v>
      </c>
      <c r="F689" s="6" t="s">
        <v>939</v>
      </c>
      <c r="G689" s="6" t="s">
        <v>76</v>
      </c>
      <c r="H689" s="6" t="s">
        <v>77</v>
      </c>
      <c r="I689" s="6" t="s">
        <v>4676</v>
      </c>
      <c r="J689" s="6" t="s">
        <v>5365</v>
      </c>
      <c r="K689" s="6" t="s">
        <v>4679</v>
      </c>
      <c r="L689" s="2" t="s">
        <v>940</v>
      </c>
      <c r="M689" s="2" t="s">
        <v>936</v>
      </c>
      <c r="N689" s="9" t="s">
        <v>547</v>
      </c>
      <c r="O689" s="6" t="s">
        <v>97</v>
      </c>
      <c r="P689" s="6" t="s">
        <v>106</v>
      </c>
      <c r="Q689" s="6" t="s">
        <v>5025</v>
      </c>
      <c r="R689" s="6" t="s">
        <v>5377</v>
      </c>
    </row>
    <row r="690" customFormat="false" ht="15" hidden="false" customHeight="false" outlineLevel="0" collapsed="false">
      <c r="A690" s="6" t="s">
        <v>5025</v>
      </c>
      <c r="B690" s="6" t="s">
        <v>127</v>
      </c>
      <c r="C690" s="6" t="s">
        <v>5006</v>
      </c>
      <c r="D690" s="6" t="s">
        <v>1507</v>
      </c>
      <c r="E690" s="6" t="s">
        <v>5984</v>
      </c>
      <c r="F690" s="6" t="s">
        <v>1508</v>
      </c>
      <c r="G690" s="6" t="s">
        <v>182</v>
      </c>
      <c r="H690" s="6" t="s">
        <v>77</v>
      </c>
      <c r="I690" s="6" t="s">
        <v>4676</v>
      </c>
      <c r="J690" s="6" t="s">
        <v>5365</v>
      </c>
      <c r="K690" s="6" t="s">
        <v>4679</v>
      </c>
      <c r="L690" s="2" t="s">
        <v>1510</v>
      </c>
      <c r="M690" s="2" t="s">
        <v>936</v>
      </c>
      <c r="N690" s="9" t="s">
        <v>547</v>
      </c>
      <c r="O690" s="6" t="s">
        <v>97</v>
      </c>
      <c r="P690" s="6" t="s">
        <v>106</v>
      </c>
      <c r="Q690" s="6" t="s">
        <v>5025</v>
      </c>
      <c r="R690" s="6" t="s">
        <v>5377</v>
      </c>
    </row>
    <row r="691" customFormat="false" ht="23.85" hidden="false" customHeight="false" outlineLevel="0" collapsed="false">
      <c r="A691" s="6" t="s">
        <v>5025</v>
      </c>
      <c r="B691" s="6" t="s">
        <v>127</v>
      </c>
      <c r="C691" s="6" t="s">
        <v>5006</v>
      </c>
      <c r="D691" s="6" t="s">
        <v>555</v>
      </c>
      <c r="E691" s="6" t="s">
        <v>555</v>
      </c>
      <c r="F691" s="6" t="s">
        <v>543</v>
      </c>
      <c r="G691" s="6" t="s">
        <v>239</v>
      </c>
      <c r="H691" s="6" t="s">
        <v>77</v>
      </c>
      <c r="I691" s="6" t="s">
        <v>4676</v>
      </c>
      <c r="J691" s="6" t="s">
        <v>5365</v>
      </c>
      <c r="K691" s="6" t="s">
        <v>4679</v>
      </c>
      <c r="L691" s="2" t="s">
        <v>556</v>
      </c>
      <c r="M691" s="2" t="s">
        <v>545</v>
      </c>
      <c r="N691" s="9" t="s">
        <v>547</v>
      </c>
      <c r="O691" s="6" t="s">
        <v>97</v>
      </c>
      <c r="P691" s="6" t="s">
        <v>106</v>
      </c>
      <c r="Q691" s="6" t="s">
        <v>5025</v>
      </c>
      <c r="R691" s="6" t="s">
        <v>5377</v>
      </c>
    </row>
    <row r="692" customFormat="false" ht="23.85" hidden="false" customHeight="false" outlineLevel="0" collapsed="false">
      <c r="A692" s="6" t="s">
        <v>5025</v>
      </c>
      <c r="B692" s="6" t="s">
        <v>127</v>
      </c>
      <c r="C692" s="6" t="s">
        <v>5006</v>
      </c>
      <c r="D692" s="6" t="s">
        <v>1010</v>
      </c>
      <c r="E692" s="6" t="s">
        <v>1010</v>
      </c>
      <c r="F692" s="6" t="s">
        <v>1011</v>
      </c>
      <c r="G692" s="6" t="s">
        <v>239</v>
      </c>
      <c r="H692" s="6" t="s">
        <v>77</v>
      </c>
      <c r="I692" s="6" t="s">
        <v>4676</v>
      </c>
      <c r="J692" s="6" t="s">
        <v>5365</v>
      </c>
      <c r="K692" s="6" t="s">
        <v>4679</v>
      </c>
      <c r="L692" s="2" t="s">
        <v>1013</v>
      </c>
      <c r="M692" s="2" t="s">
        <v>1012</v>
      </c>
      <c r="N692" s="9" t="s">
        <v>547</v>
      </c>
      <c r="O692" s="6" t="s">
        <v>97</v>
      </c>
      <c r="P692" s="6" t="s">
        <v>106</v>
      </c>
      <c r="Q692" s="6" t="s">
        <v>5025</v>
      </c>
      <c r="R692" s="6" t="s">
        <v>5377</v>
      </c>
    </row>
    <row r="693" customFormat="false" ht="23.85" hidden="false" customHeight="false" outlineLevel="0" collapsed="false">
      <c r="A693" s="6" t="s">
        <v>5025</v>
      </c>
      <c r="B693" s="6" t="s">
        <v>127</v>
      </c>
      <c r="C693" s="6" t="s">
        <v>5006</v>
      </c>
      <c r="D693" s="6" t="s">
        <v>1024</v>
      </c>
      <c r="E693" s="6" t="s">
        <v>1024</v>
      </c>
      <c r="F693" s="6" t="s">
        <v>1025</v>
      </c>
      <c r="G693" s="6" t="s">
        <v>118</v>
      </c>
      <c r="H693" s="6" t="s">
        <v>77</v>
      </c>
      <c r="I693" s="6" t="s">
        <v>4676</v>
      </c>
      <c r="J693" s="6" t="s">
        <v>5365</v>
      </c>
      <c r="K693" s="6" t="s">
        <v>4679</v>
      </c>
      <c r="L693" s="2" t="s">
        <v>5985</v>
      </c>
      <c r="M693" s="2" t="s">
        <v>5986</v>
      </c>
      <c r="N693" s="9" t="s">
        <v>547</v>
      </c>
      <c r="O693" s="6" t="s">
        <v>97</v>
      </c>
      <c r="P693" s="6" t="s">
        <v>106</v>
      </c>
      <c r="Q693" s="6" t="s">
        <v>5025</v>
      </c>
      <c r="R693" s="6" t="s">
        <v>5377</v>
      </c>
    </row>
    <row r="694" customFormat="false" ht="23.85" hidden="false" customHeight="false" outlineLevel="0" collapsed="false">
      <c r="A694" s="6" t="s">
        <v>5025</v>
      </c>
      <c r="B694" s="6" t="s">
        <v>127</v>
      </c>
      <c r="C694" s="6" t="s">
        <v>5006</v>
      </c>
      <c r="D694" s="6" t="s">
        <v>1071</v>
      </c>
      <c r="E694" s="6" t="s">
        <v>1071</v>
      </c>
      <c r="F694" s="6" t="s">
        <v>1011</v>
      </c>
      <c r="G694" s="6" t="s">
        <v>76</v>
      </c>
      <c r="H694" s="6" t="s">
        <v>77</v>
      </c>
      <c r="I694" s="6" t="s">
        <v>4676</v>
      </c>
      <c r="J694" s="6" t="s">
        <v>5365</v>
      </c>
      <c r="K694" s="6" t="s">
        <v>4679</v>
      </c>
      <c r="L694" s="2" t="s">
        <v>1072</v>
      </c>
      <c r="M694" s="2" t="s">
        <v>1012</v>
      </c>
      <c r="N694" s="9" t="s">
        <v>547</v>
      </c>
      <c r="O694" s="6" t="s">
        <v>97</v>
      </c>
      <c r="P694" s="6" t="s">
        <v>106</v>
      </c>
      <c r="Q694" s="6" t="s">
        <v>5025</v>
      </c>
      <c r="R694" s="6" t="s">
        <v>5377</v>
      </c>
    </row>
    <row r="695" customFormat="false" ht="23.85" hidden="false" customHeight="false" outlineLevel="0" collapsed="false">
      <c r="A695" s="6" t="s">
        <v>5025</v>
      </c>
      <c r="B695" s="6" t="s">
        <v>127</v>
      </c>
      <c r="C695" s="6" t="s">
        <v>5006</v>
      </c>
      <c r="D695" s="6" t="s">
        <v>1165</v>
      </c>
      <c r="E695" s="6" t="s">
        <v>1165</v>
      </c>
      <c r="F695" s="6" t="s">
        <v>715</v>
      </c>
      <c r="G695" s="6" t="s">
        <v>164</v>
      </c>
      <c r="H695" s="6" t="s">
        <v>287</v>
      </c>
      <c r="I695" s="6" t="s">
        <v>4676</v>
      </c>
      <c r="J695" s="6" t="s">
        <v>5365</v>
      </c>
      <c r="K695" s="6" t="s">
        <v>4679</v>
      </c>
      <c r="L695" s="2" t="s">
        <v>1167</v>
      </c>
      <c r="M695" s="2" t="s">
        <v>1166</v>
      </c>
      <c r="N695" s="9" t="s">
        <v>547</v>
      </c>
      <c r="O695" s="6" t="s">
        <v>97</v>
      </c>
      <c r="P695" s="6" t="s">
        <v>106</v>
      </c>
      <c r="Q695" s="6" t="s">
        <v>5025</v>
      </c>
      <c r="R695" s="6" t="s">
        <v>5377</v>
      </c>
    </row>
    <row r="696" customFormat="false" ht="15" hidden="false" customHeight="false" outlineLevel="0" collapsed="false">
      <c r="A696" s="6" t="s">
        <v>5025</v>
      </c>
      <c r="B696" s="6" t="s">
        <v>127</v>
      </c>
      <c r="C696" s="6" t="s">
        <v>5006</v>
      </c>
      <c r="D696" s="6" t="s">
        <v>2430</v>
      </c>
      <c r="E696" s="6" t="s">
        <v>2430</v>
      </c>
      <c r="F696" s="6" t="s">
        <v>2431</v>
      </c>
      <c r="G696" s="6" t="s">
        <v>164</v>
      </c>
      <c r="H696" s="6" t="s">
        <v>287</v>
      </c>
      <c r="I696" s="6" t="s">
        <v>4676</v>
      </c>
      <c r="J696" s="6" t="s">
        <v>5365</v>
      </c>
      <c r="K696" s="6" t="s">
        <v>4679</v>
      </c>
      <c r="L696" s="2" t="s">
        <v>2432</v>
      </c>
      <c r="M696" s="2" t="s">
        <v>936</v>
      </c>
      <c r="N696" s="9" t="s">
        <v>547</v>
      </c>
      <c r="O696" s="6" t="s">
        <v>97</v>
      </c>
      <c r="P696" s="6" t="s">
        <v>106</v>
      </c>
      <c r="Q696" s="6" t="s">
        <v>5025</v>
      </c>
      <c r="R696" s="6" t="s">
        <v>5377</v>
      </c>
    </row>
    <row r="697" customFormat="false" ht="15" hidden="false" customHeight="false" outlineLevel="0" collapsed="false">
      <c r="A697" s="6" t="s">
        <v>5025</v>
      </c>
      <c r="B697" s="6" t="s">
        <v>127</v>
      </c>
      <c r="C697" s="6" t="s">
        <v>5006</v>
      </c>
      <c r="D697" s="6" t="s">
        <v>2461</v>
      </c>
      <c r="E697" s="6" t="s">
        <v>2461</v>
      </c>
      <c r="F697" s="6" t="s">
        <v>2462</v>
      </c>
      <c r="G697" s="6" t="s">
        <v>153</v>
      </c>
      <c r="H697" s="6" t="s">
        <v>287</v>
      </c>
      <c r="I697" s="6" t="s">
        <v>4676</v>
      </c>
      <c r="J697" s="6" t="s">
        <v>5365</v>
      </c>
      <c r="K697" s="6" t="s">
        <v>4679</v>
      </c>
      <c r="L697" s="2" t="s">
        <v>2464</v>
      </c>
      <c r="M697" s="2" t="s">
        <v>936</v>
      </c>
      <c r="N697" s="9" t="s">
        <v>547</v>
      </c>
      <c r="O697" s="6" t="s">
        <v>97</v>
      </c>
      <c r="P697" s="6" t="s">
        <v>106</v>
      </c>
      <c r="Q697" s="6" t="s">
        <v>5025</v>
      </c>
      <c r="R697" s="6" t="s">
        <v>5377</v>
      </c>
    </row>
    <row r="698" customFormat="false" ht="23.85" hidden="false" customHeight="false" outlineLevel="0" collapsed="false">
      <c r="A698" s="6" t="s">
        <v>5025</v>
      </c>
      <c r="B698" s="6" t="s">
        <v>127</v>
      </c>
      <c r="C698" s="6" t="s">
        <v>5006</v>
      </c>
      <c r="D698" s="6" t="s">
        <v>1225</v>
      </c>
      <c r="E698" s="6" t="s">
        <v>1225</v>
      </c>
      <c r="F698" s="6" t="s">
        <v>715</v>
      </c>
      <c r="G698" s="6" t="s">
        <v>164</v>
      </c>
      <c r="H698" s="6" t="s">
        <v>287</v>
      </c>
      <c r="I698" s="6" t="s">
        <v>4676</v>
      </c>
      <c r="J698" s="6" t="s">
        <v>5365</v>
      </c>
      <c r="K698" s="6" t="s">
        <v>4679</v>
      </c>
      <c r="L698" s="2" t="s">
        <v>1226</v>
      </c>
      <c r="M698" s="2" t="s">
        <v>1166</v>
      </c>
      <c r="N698" s="9" t="s">
        <v>547</v>
      </c>
      <c r="O698" s="6" t="s">
        <v>97</v>
      </c>
      <c r="P698" s="6" t="s">
        <v>106</v>
      </c>
      <c r="Q698" s="6" t="s">
        <v>5025</v>
      </c>
      <c r="R698" s="6" t="s">
        <v>5377</v>
      </c>
    </row>
    <row r="699" customFormat="false" ht="23.85" hidden="false" customHeight="false" outlineLevel="0" collapsed="false">
      <c r="A699" s="6" t="s">
        <v>5025</v>
      </c>
      <c r="B699" s="6" t="s">
        <v>127</v>
      </c>
      <c r="C699" s="6" t="s">
        <v>5006</v>
      </c>
      <c r="D699" s="6" t="s">
        <v>2503</v>
      </c>
      <c r="E699" s="6" t="s">
        <v>2503</v>
      </c>
      <c r="F699" s="6" t="s">
        <v>2503</v>
      </c>
      <c r="G699" s="6" t="s">
        <v>626</v>
      </c>
      <c r="H699" s="6" t="s">
        <v>287</v>
      </c>
      <c r="I699" s="6" t="s">
        <v>4676</v>
      </c>
      <c r="J699" s="6" t="s">
        <v>332</v>
      </c>
      <c r="K699" s="6" t="s">
        <v>4790</v>
      </c>
      <c r="L699" s="2" t="s">
        <v>2505</v>
      </c>
      <c r="M699" s="2"/>
      <c r="N699" s="9" t="s">
        <v>2506</v>
      </c>
      <c r="O699" s="6" t="s">
        <v>332</v>
      </c>
      <c r="P699" s="6" t="s">
        <v>85</v>
      </c>
      <c r="Q699" s="6" t="s">
        <v>5025</v>
      </c>
      <c r="R699" s="6" t="s">
        <v>5886</v>
      </c>
    </row>
    <row r="700" customFormat="false" ht="23.85" hidden="false" customHeight="false" outlineLevel="0" collapsed="false">
      <c r="A700" s="6" t="s">
        <v>5025</v>
      </c>
      <c r="B700" s="6" t="s">
        <v>127</v>
      </c>
      <c r="C700" s="6" t="s">
        <v>5006</v>
      </c>
      <c r="D700" s="6" t="s">
        <v>2129</v>
      </c>
      <c r="E700" s="6" t="s">
        <v>2129</v>
      </c>
      <c r="F700" s="6" t="s">
        <v>2130</v>
      </c>
      <c r="G700" s="6" t="s">
        <v>239</v>
      </c>
      <c r="H700" s="6" t="s">
        <v>287</v>
      </c>
      <c r="I700" s="6" t="s">
        <v>5617</v>
      </c>
      <c r="J700" s="6" t="s">
        <v>5365</v>
      </c>
      <c r="K700" s="6" t="s">
        <v>4790</v>
      </c>
      <c r="L700" s="2" t="s">
        <v>2133</v>
      </c>
      <c r="M700" s="2" t="s">
        <v>2132</v>
      </c>
      <c r="N700" s="9" t="s">
        <v>2134</v>
      </c>
      <c r="O700" s="6" t="s">
        <v>97</v>
      </c>
      <c r="P700" s="6" t="s">
        <v>106</v>
      </c>
      <c r="Q700" s="6" t="s">
        <v>5025</v>
      </c>
      <c r="R700" s="6" t="s">
        <v>5886</v>
      </c>
    </row>
    <row r="701" customFormat="false" ht="15" hidden="false" customHeight="false" outlineLevel="0" collapsed="false">
      <c r="A701" s="6" t="s">
        <v>5025</v>
      </c>
      <c r="B701" s="6" t="s">
        <v>127</v>
      </c>
      <c r="C701" s="6" t="s">
        <v>5006</v>
      </c>
      <c r="D701" s="6" t="s">
        <v>4057</v>
      </c>
      <c r="E701" s="6" t="s">
        <v>4057</v>
      </c>
      <c r="F701" s="6" t="s">
        <v>4058</v>
      </c>
      <c r="G701" s="6" t="s">
        <v>1598</v>
      </c>
      <c r="H701" s="6" t="s">
        <v>1445</v>
      </c>
      <c r="I701" s="6" t="s">
        <v>4684</v>
      </c>
      <c r="J701" s="6" t="s">
        <v>5365</v>
      </c>
      <c r="K701" s="6" t="s">
        <v>4790</v>
      </c>
      <c r="L701" s="2" t="s">
        <v>4060</v>
      </c>
      <c r="M701" s="2"/>
      <c r="N701" s="9" t="s">
        <v>4061</v>
      </c>
      <c r="O701" s="6" t="s">
        <v>1943</v>
      </c>
      <c r="P701" s="6" t="s">
        <v>106</v>
      </c>
      <c r="Q701" s="6" t="s">
        <v>5025</v>
      </c>
      <c r="R701" s="6" t="s">
        <v>5886</v>
      </c>
    </row>
    <row r="702" customFormat="false" ht="23.85" hidden="false" customHeight="false" outlineLevel="0" collapsed="false">
      <c r="A702" s="6" t="s">
        <v>5025</v>
      </c>
      <c r="B702" s="6" t="s">
        <v>127</v>
      </c>
      <c r="C702" s="6" t="s">
        <v>5006</v>
      </c>
      <c r="D702" s="6" t="s">
        <v>4316</v>
      </c>
      <c r="E702" s="6" t="s">
        <v>4316</v>
      </c>
      <c r="F702" s="6" t="s">
        <v>4317</v>
      </c>
      <c r="G702" s="6" t="s">
        <v>1598</v>
      </c>
      <c r="H702" s="6" t="s">
        <v>1445</v>
      </c>
      <c r="I702" s="6" t="s">
        <v>4706</v>
      </c>
      <c r="J702" s="6" t="s">
        <v>5365</v>
      </c>
      <c r="K702" s="6" t="s">
        <v>4790</v>
      </c>
      <c r="L702" s="2" t="s">
        <v>4319</v>
      </c>
      <c r="M702" s="2"/>
      <c r="N702" s="9" t="s">
        <v>4320</v>
      </c>
      <c r="O702" s="6" t="s">
        <v>517</v>
      </c>
      <c r="P702" s="6" t="s">
        <v>106</v>
      </c>
      <c r="Q702" s="6" t="s">
        <v>5025</v>
      </c>
      <c r="R702" s="6" t="s">
        <v>5886</v>
      </c>
    </row>
    <row r="703" customFormat="false" ht="15" hidden="false" customHeight="false" outlineLevel="0" collapsed="false">
      <c r="A703" s="6" t="s">
        <v>5025</v>
      </c>
      <c r="B703" s="6" t="s">
        <v>127</v>
      </c>
      <c r="C703" s="6" t="s">
        <v>5006</v>
      </c>
      <c r="D703" s="6" t="s">
        <v>4584</v>
      </c>
      <c r="E703" s="6" t="s">
        <v>4584</v>
      </c>
      <c r="F703" s="6" t="s">
        <v>4585</v>
      </c>
      <c r="G703" s="6" t="s">
        <v>1598</v>
      </c>
      <c r="H703" s="6" t="s">
        <v>1445</v>
      </c>
      <c r="I703" s="6" t="s">
        <v>4684</v>
      </c>
      <c r="J703" s="6" t="s">
        <v>5365</v>
      </c>
      <c r="K703" s="6" t="s">
        <v>4790</v>
      </c>
      <c r="L703" s="2" t="s">
        <v>4586</v>
      </c>
      <c r="M703" s="2"/>
      <c r="N703" s="9" t="s">
        <v>4587</v>
      </c>
      <c r="O703" s="6" t="s">
        <v>1943</v>
      </c>
      <c r="P703" s="6" t="s">
        <v>106</v>
      </c>
      <c r="Q703" s="6" t="s">
        <v>5025</v>
      </c>
      <c r="R703" s="6" t="s">
        <v>5886</v>
      </c>
    </row>
    <row r="704" customFormat="false" ht="23.85" hidden="false" customHeight="false" outlineLevel="0" collapsed="false">
      <c r="A704" s="6" t="s">
        <v>5184</v>
      </c>
      <c r="B704" s="6" t="s">
        <v>127</v>
      </c>
      <c r="C704" s="6" t="s">
        <v>5006</v>
      </c>
      <c r="D704" s="6" t="s">
        <v>1964</v>
      </c>
      <c r="E704" s="6" t="s">
        <v>1964</v>
      </c>
      <c r="F704" s="6" t="s">
        <v>1965</v>
      </c>
      <c r="G704" s="6" t="s">
        <v>239</v>
      </c>
      <c r="H704" s="6" t="s">
        <v>287</v>
      </c>
      <c r="I704" s="6" t="s">
        <v>4676</v>
      </c>
      <c r="J704" s="6" t="s">
        <v>517</v>
      </c>
      <c r="K704" s="6" t="s">
        <v>4790</v>
      </c>
      <c r="L704" s="2" t="s">
        <v>5987</v>
      </c>
      <c r="M704" s="2" t="s">
        <v>5988</v>
      </c>
      <c r="N704" s="9" t="s">
        <v>1970</v>
      </c>
      <c r="O704" s="6" t="s">
        <v>517</v>
      </c>
      <c r="P704" s="6" t="s">
        <v>85</v>
      </c>
      <c r="Q704" s="6" t="s">
        <v>5184</v>
      </c>
      <c r="R704" s="6" t="s">
        <v>5377</v>
      </c>
    </row>
    <row r="705" customFormat="false" ht="15" hidden="false" customHeight="false" outlineLevel="0" collapsed="false">
      <c r="A705" s="6" t="s">
        <v>5030</v>
      </c>
      <c r="B705" s="6" t="s">
        <v>127</v>
      </c>
      <c r="C705" s="6" t="s">
        <v>5006</v>
      </c>
      <c r="D705" s="6" t="s">
        <v>1512</v>
      </c>
      <c r="E705" s="6" t="s">
        <v>1512</v>
      </c>
      <c r="F705" s="6" t="s">
        <v>5989</v>
      </c>
      <c r="G705" s="6" t="s">
        <v>182</v>
      </c>
      <c r="H705" s="6" t="s">
        <v>77</v>
      </c>
      <c r="I705" s="6" t="s">
        <v>4676</v>
      </c>
      <c r="J705" s="6" t="s">
        <v>5365</v>
      </c>
      <c r="K705" s="6" t="s">
        <v>4790</v>
      </c>
      <c r="L705" s="2" t="s">
        <v>1516</v>
      </c>
      <c r="M705" s="2" t="s">
        <v>5990</v>
      </c>
      <c r="N705" s="9" t="s">
        <v>1518</v>
      </c>
      <c r="O705" s="6" t="s">
        <v>97</v>
      </c>
      <c r="P705" s="6" t="s">
        <v>106</v>
      </c>
      <c r="Q705" s="6" t="s">
        <v>5030</v>
      </c>
      <c r="R705" s="6" t="s">
        <v>5886</v>
      </c>
    </row>
    <row r="706" customFormat="false" ht="15" hidden="false" customHeight="false" outlineLevel="0" collapsed="false">
      <c r="A706" s="6" t="s">
        <v>5030</v>
      </c>
      <c r="B706" s="6" t="s">
        <v>127</v>
      </c>
      <c r="C706" s="6" t="s">
        <v>5006</v>
      </c>
      <c r="D706" s="6" t="s">
        <v>1939</v>
      </c>
      <c r="E706" s="6" t="s">
        <v>1939</v>
      </c>
      <c r="F706" s="6" t="s">
        <v>1940</v>
      </c>
      <c r="G706" s="6" t="s">
        <v>118</v>
      </c>
      <c r="H706" s="6" t="s">
        <v>287</v>
      </c>
      <c r="I706" s="6" t="s">
        <v>4676</v>
      </c>
      <c r="J706" s="6" t="s">
        <v>1943</v>
      </c>
      <c r="K706" s="6" t="s">
        <v>4790</v>
      </c>
      <c r="L706" s="2" t="s">
        <v>1942</v>
      </c>
      <c r="M706" s="2"/>
      <c r="N706" s="9" t="s">
        <v>1944</v>
      </c>
      <c r="O706" s="6" t="s">
        <v>1943</v>
      </c>
      <c r="P706" s="6" t="s">
        <v>85</v>
      </c>
      <c r="Q706" s="6" t="s">
        <v>5030</v>
      </c>
      <c r="R706" s="6" t="s">
        <v>5886</v>
      </c>
    </row>
    <row r="707" customFormat="false" ht="35.05" hidden="false" customHeight="false" outlineLevel="0" collapsed="false">
      <c r="A707" s="6" t="s">
        <v>5030</v>
      </c>
      <c r="B707" s="6" t="s">
        <v>127</v>
      </c>
      <c r="C707" s="6" t="s">
        <v>5006</v>
      </c>
      <c r="D707" s="6" t="s">
        <v>3277</v>
      </c>
      <c r="E707" s="6" t="s">
        <v>3277</v>
      </c>
      <c r="F707" s="6" t="s">
        <v>3278</v>
      </c>
      <c r="G707" s="6" t="s">
        <v>2312</v>
      </c>
      <c r="H707" s="6" t="s">
        <v>287</v>
      </c>
      <c r="I707" s="6" t="s">
        <v>4676</v>
      </c>
      <c r="J707" s="6" t="s">
        <v>5365</v>
      </c>
      <c r="K707" s="6" t="s">
        <v>4679</v>
      </c>
      <c r="L707" s="2" t="s">
        <v>5991</v>
      </c>
      <c r="M707" s="2" t="s">
        <v>5992</v>
      </c>
      <c r="N707" s="9" t="s">
        <v>1258</v>
      </c>
      <c r="O707" s="6" t="s">
        <v>97</v>
      </c>
      <c r="P707" s="6" t="s">
        <v>98</v>
      </c>
      <c r="Q707" s="6" t="s">
        <v>5030</v>
      </c>
      <c r="R707" s="6" t="s">
        <v>5886</v>
      </c>
    </row>
    <row r="708" customFormat="false" ht="15" hidden="false" customHeight="false" outlineLevel="0" collapsed="false">
      <c r="A708" s="6" t="s">
        <v>5030</v>
      </c>
      <c r="B708" s="6" t="s">
        <v>127</v>
      </c>
      <c r="C708" s="6" t="s">
        <v>5006</v>
      </c>
      <c r="D708" s="6" t="s">
        <v>2095</v>
      </c>
      <c r="E708" s="6" t="s">
        <v>2095</v>
      </c>
      <c r="F708" s="6" t="s">
        <v>2096</v>
      </c>
      <c r="G708" s="6" t="s">
        <v>239</v>
      </c>
      <c r="H708" s="6" t="s">
        <v>287</v>
      </c>
      <c r="I708" s="6" t="s">
        <v>4676</v>
      </c>
      <c r="J708" s="6" t="s">
        <v>5365</v>
      </c>
      <c r="K708" s="6" t="s">
        <v>4679</v>
      </c>
      <c r="L708" s="2" t="s">
        <v>2098</v>
      </c>
      <c r="M708" s="2"/>
      <c r="N708" s="9" t="s">
        <v>2099</v>
      </c>
      <c r="O708" s="6" t="s">
        <v>97</v>
      </c>
      <c r="P708" s="6" t="s">
        <v>106</v>
      </c>
      <c r="Q708" s="6" t="s">
        <v>5030</v>
      </c>
      <c r="R708" s="6" t="s">
        <v>5886</v>
      </c>
    </row>
    <row r="709" customFormat="false" ht="15" hidden="false" customHeight="false" outlineLevel="0" collapsed="false">
      <c r="A709" s="6" t="s">
        <v>5030</v>
      </c>
      <c r="B709" s="6" t="s">
        <v>127</v>
      </c>
      <c r="C709" s="6" t="s">
        <v>5006</v>
      </c>
      <c r="D709" s="6" t="s">
        <v>2102</v>
      </c>
      <c r="E709" s="6" t="s">
        <v>2102</v>
      </c>
      <c r="F709" s="6" t="s">
        <v>2103</v>
      </c>
      <c r="G709" s="6" t="s">
        <v>239</v>
      </c>
      <c r="H709" s="6" t="s">
        <v>287</v>
      </c>
      <c r="I709" s="6" t="s">
        <v>4715</v>
      </c>
      <c r="J709" s="6" t="s">
        <v>5365</v>
      </c>
      <c r="K709" s="6" t="s">
        <v>4679</v>
      </c>
      <c r="L709" s="2" t="s">
        <v>2106</v>
      </c>
      <c r="M709" s="2" t="s">
        <v>2105</v>
      </c>
      <c r="N709" s="9" t="s">
        <v>2099</v>
      </c>
      <c r="O709" s="6" t="s">
        <v>97</v>
      </c>
      <c r="P709" s="6" t="s">
        <v>106</v>
      </c>
      <c r="Q709" s="6" t="s">
        <v>5030</v>
      </c>
      <c r="R709" s="6" t="s">
        <v>5886</v>
      </c>
    </row>
    <row r="710" customFormat="false" ht="23.85" hidden="false" customHeight="false" outlineLevel="0" collapsed="false">
      <c r="A710" s="6" t="s">
        <v>5030</v>
      </c>
      <c r="B710" s="6" t="s">
        <v>127</v>
      </c>
      <c r="C710" s="6" t="s">
        <v>5006</v>
      </c>
      <c r="D710" s="6" t="s">
        <v>2344</v>
      </c>
      <c r="E710" s="6" t="s">
        <v>2344</v>
      </c>
      <c r="F710" s="6" t="s">
        <v>2345</v>
      </c>
      <c r="G710" s="6" t="s">
        <v>2312</v>
      </c>
      <c r="H710" s="6" t="s">
        <v>287</v>
      </c>
      <c r="I710" s="6" t="s">
        <v>4676</v>
      </c>
      <c r="J710" s="6" t="s">
        <v>5365</v>
      </c>
      <c r="K710" s="6" t="s">
        <v>4790</v>
      </c>
      <c r="L710" s="2" t="s">
        <v>2346</v>
      </c>
      <c r="M710" s="2" t="s">
        <v>1256</v>
      </c>
      <c r="N710" s="9" t="s">
        <v>1258</v>
      </c>
      <c r="O710" s="6" t="s">
        <v>97</v>
      </c>
      <c r="P710" s="6" t="s">
        <v>106</v>
      </c>
      <c r="Q710" s="6" t="s">
        <v>5030</v>
      </c>
      <c r="R710" s="6" t="s">
        <v>5886</v>
      </c>
    </row>
    <row r="711" customFormat="false" ht="23.85" hidden="false" customHeight="false" outlineLevel="0" collapsed="false">
      <c r="A711" s="6" t="s">
        <v>5030</v>
      </c>
      <c r="B711" s="6" t="s">
        <v>127</v>
      </c>
      <c r="C711" s="6" t="s">
        <v>5006</v>
      </c>
      <c r="D711" s="6" t="s">
        <v>2347</v>
      </c>
      <c r="E711" s="6" t="s">
        <v>2347</v>
      </c>
      <c r="F711" s="6" t="s">
        <v>2348</v>
      </c>
      <c r="G711" s="6" t="s">
        <v>1215</v>
      </c>
      <c r="H711" s="6" t="s">
        <v>287</v>
      </c>
      <c r="I711" s="6" t="s">
        <v>4676</v>
      </c>
      <c r="J711" s="6" t="s">
        <v>84</v>
      </c>
      <c r="K711" s="6" t="s">
        <v>4790</v>
      </c>
      <c r="L711" s="2" t="s">
        <v>2349</v>
      </c>
      <c r="M711" s="2" t="s">
        <v>1256</v>
      </c>
      <c r="N711" s="9" t="s">
        <v>2350</v>
      </c>
      <c r="O711" s="6" t="s">
        <v>84</v>
      </c>
      <c r="P711" s="6" t="s">
        <v>85</v>
      </c>
      <c r="Q711" s="6" t="s">
        <v>5030</v>
      </c>
      <c r="R711" s="6" t="s">
        <v>5886</v>
      </c>
    </row>
    <row r="712" customFormat="false" ht="23.85" hidden="false" customHeight="false" outlineLevel="0" collapsed="false">
      <c r="A712" s="6" t="s">
        <v>5030</v>
      </c>
      <c r="B712" s="6" t="s">
        <v>127</v>
      </c>
      <c r="C712" s="6" t="s">
        <v>5006</v>
      </c>
      <c r="D712" s="6" t="s">
        <v>2901</v>
      </c>
      <c r="E712" s="6" t="s">
        <v>2901</v>
      </c>
      <c r="F712" s="6" t="s">
        <v>2901</v>
      </c>
      <c r="G712" s="6" t="s">
        <v>507</v>
      </c>
      <c r="H712" s="6" t="s">
        <v>287</v>
      </c>
      <c r="I712" s="6" t="s">
        <v>4680</v>
      </c>
      <c r="J712" s="6" t="s">
        <v>97</v>
      </c>
      <c r="K712" s="6" t="s">
        <v>4675</v>
      </c>
      <c r="L712" s="2" t="s">
        <v>2903</v>
      </c>
      <c r="M712" s="2"/>
      <c r="N712" s="9" t="s">
        <v>2904</v>
      </c>
      <c r="O712" s="6" t="s">
        <v>97</v>
      </c>
      <c r="P712" s="6" t="s">
        <v>85</v>
      </c>
      <c r="Q712" s="6" t="s">
        <v>5030</v>
      </c>
      <c r="R712" s="6" t="s">
        <v>5886</v>
      </c>
    </row>
    <row r="713" customFormat="false" ht="23.85" hidden="false" customHeight="false" outlineLevel="0" collapsed="false">
      <c r="A713" s="6" t="s">
        <v>5030</v>
      </c>
      <c r="B713" s="6" t="s">
        <v>127</v>
      </c>
      <c r="C713" s="6" t="s">
        <v>5006</v>
      </c>
      <c r="D713" s="6" t="s">
        <v>1254</v>
      </c>
      <c r="E713" s="6" t="s">
        <v>1254</v>
      </c>
      <c r="F713" s="6" t="s">
        <v>1254</v>
      </c>
      <c r="G713" s="6" t="s">
        <v>182</v>
      </c>
      <c r="H713" s="6" t="s">
        <v>287</v>
      </c>
      <c r="I713" s="6" t="s">
        <v>4676</v>
      </c>
      <c r="J713" s="6" t="s">
        <v>5365</v>
      </c>
      <c r="K713" s="6" t="s">
        <v>4790</v>
      </c>
      <c r="L713" s="2" t="s">
        <v>1257</v>
      </c>
      <c r="M713" s="2" t="s">
        <v>1256</v>
      </c>
      <c r="N713" s="9" t="s">
        <v>1258</v>
      </c>
      <c r="O713" s="6" t="s">
        <v>97</v>
      </c>
      <c r="P713" s="6" t="s">
        <v>106</v>
      </c>
      <c r="Q713" s="6" t="s">
        <v>5030</v>
      </c>
      <c r="R713" s="6" t="s">
        <v>5886</v>
      </c>
    </row>
    <row r="714" customFormat="false" ht="23.85" hidden="false" customHeight="false" outlineLevel="0" collapsed="false">
      <c r="A714" s="6" t="s">
        <v>5030</v>
      </c>
      <c r="B714" s="6" t="s">
        <v>127</v>
      </c>
      <c r="C714" s="6" t="s">
        <v>5006</v>
      </c>
      <c r="D714" s="6" t="s">
        <v>3656</v>
      </c>
      <c r="E714" s="6" t="s">
        <v>3656</v>
      </c>
      <c r="F714" s="6" t="s">
        <v>3657</v>
      </c>
      <c r="G714" s="6" t="s">
        <v>153</v>
      </c>
      <c r="H714" s="6" t="s">
        <v>1445</v>
      </c>
      <c r="I714" s="6" t="s">
        <v>4684</v>
      </c>
      <c r="J714" s="6" t="s">
        <v>5365</v>
      </c>
      <c r="K714" s="6" t="s">
        <v>4790</v>
      </c>
      <c r="L714" s="2" t="s">
        <v>3659</v>
      </c>
      <c r="M714" s="2"/>
      <c r="N714" s="9" t="s">
        <v>3660</v>
      </c>
      <c r="O714" s="6" t="s">
        <v>97</v>
      </c>
      <c r="P714" s="6" t="s">
        <v>106</v>
      </c>
      <c r="Q714" s="6" t="s">
        <v>5030</v>
      </c>
      <c r="R714" s="6" t="s">
        <v>5886</v>
      </c>
    </row>
    <row r="715" customFormat="false" ht="23.85" hidden="false" customHeight="false" outlineLevel="0" collapsed="false">
      <c r="A715" s="6" t="s">
        <v>5030</v>
      </c>
      <c r="B715" s="6" t="s">
        <v>127</v>
      </c>
      <c r="C715" s="6" t="s">
        <v>5006</v>
      </c>
      <c r="D715" s="6" t="s">
        <v>4618</v>
      </c>
      <c r="E715" s="6" t="s">
        <v>4618</v>
      </c>
      <c r="F715" s="6" t="s">
        <v>4619</v>
      </c>
      <c r="G715" s="6" t="s">
        <v>2284</v>
      </c>
      <c r="H715" s="6" t="s">
        <v>1445</v>
      </c>
      <c r="I715" s="6" t="s">
        <v>4680</v>
      </c>
      <c r="J715" s="6" t="s">
        <v>97</v>
      </c>
      <c r="K715" s="6" t="s">
        <v>4675</v>
      </c>
      <c r="L715" s="2" t="s">
        <v>4620</v>
      </c>
      <c r="M715" s="2"/>
      <c r="N715" s="9" t="s">
        <v>1518</v>
      </c>
      <c r="O715" s="6" t="s">
        <v>97</v>
      </c>
      <c r="P715" s="6" t="s">
        <v>85</v>
      </c>
      <c r="Q715" s="6" t="s">
        <v>5030</v>
      </c>
      <c r="R715" s="6" t="s">
        <v>5886</v>
      </c>
    </row>
    <row r="716" customFormat="false" ht="23.85" hidden="false" customHeight="false" outlineLevel="0" collapsed="false">
      <c r="A716" s="6" t="s">
        <v>5030</v>
      </c>
      <c r="B716" s="6" t="s">
        <v>127</v>
      </c>
      <c r="C716" s="6" t="s">
        <v>5006</v>
      </c>
      <c r="D716" s="6" t="s">
        <v>3091</v>
      </c>
      <c r="E716" s="6" t="s">
        <v>3091</v>
      </c>
      <c r="F716" s="6" t="s">
        <v>3091</v>
      </c>
      <c r="G716" s="6" t="s">
        <v>1127</v>
      </c>
      <c r="H716" s="6" t="s">
        <v>1445</v>
      </c>
      <c r="I716" s="6" t="s">
        <v>4676</v>
      </c>
      <c r="J716" s="6" t="s">
        <v>5365</v>
      </c>
      <c r="K716" s="6" t="s">
        <v>4790</v>
      </c>
      <c r="L716" s="2" t="s">
        <v>3092</v>
      </c>
      <c r="M716" s="2" t="s">
        <v>1256</v>
      </c>
      <c r="N716" s="9" t="s">
        <v>1258</v>
      </c>
      <c r="O716" s="6" t="s">
        <v>97</v>
      </c>
      <c r="P716" s="6" t="s">
        <v>106</v>
      </c>
      <c r="Q716" s="6" t="s">
        <v>5030</v>
      </c>
      <c r="R716" s="6" t="s">
        <v>5886</v>
      </c>
    </row>
    <row r="717" customFormat="false" ht="23.85" hidden="false" customHeight="false" outlineLevel="0" collapsed="false">
      <c r="A717" s="6" t="s">
        <v>5030</v>
      </c>
      <c r="B717" s="6" t="s">
        <v>127</v>
      </c>
      <c r="C717" s="6" t="s">
        <v>5006</v>
      </c>
      <c r="D717" s="6" t="s">
        <v>2713</v>
      </c>
      <c r="E717" s="6" t="s">
        <v>2713</v>
      </c>
      <c r="F717" s="6" t="s">
        <v>2714</v>
      </c>
      <c r="G717" s="6" t="s">
        <v>182</v>
      </c>
      <c r="H717" s="6" t="s">
        <v>1445</v>
      </c>
      <c r="I717" s="6" t="s">
        <v>4676</v>
      </c>
      <c r="J717" s="6" t="s">
        <v>5365</v>
      </c>
      <c r="K717" s="6" t="s">
        <v>4790</v>
      </c>
      <c r="L717" s="2" t="s">
        <v>2716</v>
      </c>
      <c r="M717" s="2" t="s">
        <v>1256</v>
      </c>
      <c r="N717" s="9" t="s">
        <v>1258</v>
      </c>
      <c r="O717" s="6" t="s">
        <v>97</v>
      </c>
      <c r="P717" s="6" t="s">
        <v>106</v>
      </c>
      <c r="Q717" s="6" t="s">
        <v>5030</v>
      </c>
      <c r="R717" s="6" t="s">
        <v>5886</v>
      </c>
    </row>
    <row r="718" customFormat="false" ht="15" hidden="false" customHeight="false" outlineLevel="0" collapsed="false">
      <c r="A718" s="6" t="s">
        <v>5030</v>
      </c>
      <c r="B718" s="6" t="s">
        <v>127</v>
      </c>
      <c r="C718" s="6" t="s">
        <v>5006</v>
      </c>
      <c r="D718" s="6" t="s">
        <v>4011</v>
      </c>
      <c r="E718" s="6" t="s">
        <v>4011</v>
      </c>
      <c r="F718" s="6" t="s">
        <v>4012</v>
      </c>
      <c r="G718" s="6" t="s">
        <v>1127</v>
      </c>
      <c r="H718" s="6" t="s">
        <v>1445</v>
      </c>
      <c r="I718" s="6" t="s">
        <v>4676</v>
      </c>
      <c r="J718" s="6" t="s">
        <v>5365</v>
      </c>
      <c r="K718" s="6" t="s">
        <v>4790</v>
      </c>
      <c r="L718" s="2" t="s">
        <v>4013</v>
      </c>
      <c r="M718" s="2"/>
      <c r="N718" s="9" t="s">
        <v>1518</v>
      </c>
      <c r="O718" s="6" t="s">
        <v>97</v>
      </c>
      <c r="P718" s="6" t="s">
        <v>106</v>
      </c>
      <c r="Q718" s="6" t="s">
        <v>5030</v>
      </c>
      <c r="R718" s="6" t="s">
        <v>5886</v>
      </c>
    </row>
    <row r="719" customFormat="false" ht="23.85" hidden="false" customHeight="false" outlineLevel="0" collapsed="false">
      <c r="A719" s="6" t="s">
        <v>5030</v>
      </c>
      <c r="B719" s="6" t="s">
        <v>127</v>
      </c>
      <c r="C719" s="6" t="s">
        <v>5006</v>
      </c>
      <c r="D719" s="6" t="s">
        <v>2666</v>
      </c>
      <c r="E719" s="6" t="s">
        <v>2666</v>
      </c>
      <c r="F719" s="6" t="s">
        <v>2666</v>
      </c>
      <c r="G719" s="6" t="s">
        <v>507</v>
      </c>
      <c r="H719" s="6" t="s">
        <v>1445</v>
      </c>
      <c r="I719" s="6" t="s">
        <v>4684</v>
      </c>
      <c r="J719" s="6" t="s">
        <v>150</v>
      </c>
      <c r="K719" s="6" t="s">
        <v>4790</v>
      </c>
      <c r="L719" s="2" t="s">
        <v>5993</v>
      </c>
      <c r="M719" s="2" t="s">
        <v>5994</v>
      </c>
      <c r="N719" s="9" t="s">
        <v>2671</v>
      </c>
      <c r="O719" s="6" t="s">
        <v>150</v>
      </c>
      <c r="P719" s="6" t="s">
        <v>85</v>
      </c>
      <c r="Q719" s="6" t="s">
        <v>5030</v>
      </c>
      <c r="R719" s="6" t="s">
        <v>5886</v>
      </c>
    </row>
    <row r="720" customFormat="false" ht="23.85" hidden="false" customHeight="false" outlineLevel="0" collapsed="false">
      <c r="A720" s="6" t="s">
        <v>4760</v>
      </c>
      <c r="B720" s="6" t="s">
        <v>127</v>
      </c>
      <c r="C720" s="6" t="s">
        <v>5006</v>
      </c>
      <c r="D720" s="6" t="s">
        <v>466</v>
      </c>
      <c r="E720" s="6" t="s">
        <v>466</v>
      </c>
      <c r="F720" s="6" t="s">
        <v>467</v>
      </c>
      <c r="G720" s="6" t="s">
        <v>76</v>
      </c>
      <c r="H720" s="6" t="s">
        <v>287</v>
      </c>
      <c r="I720" s="6" t="s">
        <v>4715</v>
      </c>
      <c r="J720" s="6" t="s">
        <v>5521</v>
      </c>
      <c r="K720" s="6" t="s">
        <v>4790</v>
      </c>
      <c r="L720" s="2" t="s">
        <v>5995</v>
      </c>
      <c r="M720" s="2" t="s">
        <v>5996</v>
      </c>
      <c r="N720" s="9" t="s">
        <v>5997</v>
      </c>
      <c r="O720" s="6" t="s">
        <v>97</v>
      </c>
      <c r="P720" s="6" t="s">
        <v>106</v>
      </c>
      <c r="Q720" s="6" t="s">
        <v>5145</v>
      </c>
      <c r="R720" s="6" t="s">
        <v>5368</v>
      </c>
    </row>
    <row r="721" customFormat="false" ht="23.85" hidden="false" customHeight="false" outlineLevel="0" collapsed="false">
      <c r="A721" s="6" t="s">
        <v>4760</v>
      </c>
      <c r="B721" s="6" t="s">
        <v>127</v>
      </c>
      <c r="C721" s="6" t="s">
        <v>5006</v>
      </c>
      <c r="D721" s="6" t="s">
        <v>3277</v>
      </c>
      <c r="E721" s="6" t="s">
        <v>3277</v>
      </c>
      <c r="F721" s="6" t="s">
        <v>3278</v>
      </c>
      <c r="G721" s="6" t="s">
        <v>2312</v>
      </c>
      <c r="H721" s="6" t="s">
        <v>1445</v>
      </c>
      <c r="I721" s="6" t="s">
        <v>4676</v>
      </c>
      <c r="J721" s="6" t="s">
        <v>130</v>
      </c>
      <c r="K721" s="6" t="s">
        <v>4675</v>
      </c>
      <c r="L721" s="2" t="s">
        <v>3281</v>
      </c>
      <c r="M721" s="2" t="s">
        <v>4759</v>
      </c>
      <c r="N721" s="9" t="s">
        <v>3282</v>
      </c>
      <c r="O721" s="6" t="s">
        <v>130</v>
      </c>
      <c r="P721" s="6" t="s">
        <v>85</v>
      </c>
      <c r="Q721" s="6" t="s">
        <v>4760</v>
      </c>
      <c r="R721" s="6" t="s">
        <v>5433</v>
      </c>
    </row>
    <row r="722" customFormat="false" ht="15" hidden="false" customHeight="false" outlineLevel="0" collapsed="false">
      <c r="A722" s="6" t="s">
        <v>5185</v>
      </c>
      <c r="B722" s="6" t="s">
        <v>127</v>
      </c>
      <c r="C722" s="6" t="s">
        <v>5006</v>
      </c>
      <c r="D722" s="6" t="s">
        <v>631</v>
      </c>
      <c r="E722" s="6" t="s">
        <v>5998</v>
      </c>
      <c r="F722" s="6" t="s">
        <v>631</v>
      </c>
      <c r="G722" s="6" t="s">
        <v>164</v>
      </c>
      <c r="H722" s="6" t="s">
        <v>287</v>
      </c>
      <c r="I722" s="6" t="s">
        <v>5617</v>
      </c>
      <c r="J722" s="6" t="s">
        <v>5365</v>
      </c>
      <c r="K722" s="6" t="s">
        <v>4790</v>
      </c>
      <c r="L722" s="2" t="s">
        <v>5999</v>
      </c>
      <c r="M722" s="2" t="s">
        <v>6000</v>
      </c>
      <c r="N722" s="9" t="s">
        <v>6001</v>
      </c>
      <c r="O722" s="6" t="s">
        <v>150</v>
      </c>
      <c r="P722" s="6" t="s">
        <v>106</v>
      </c>
      <c r="Q722" s="6" t="s">
        <v>5185</v>
      </c>
      <c r="R722" s="6" t="s">
        <v>5368</v>
      </c>
    </row>
    <row r="723" customFormat="false" ht="23.85" hidden="false" customHeight="false" outlineLevel="0" collapsed="false">
      <c r="A723" s="6" t="s">
        <v>5186</v>
      </c>
      <c r="B723" s="6" t="s">
        <v>127</v>
      </c>
      <c r="C723" s="6" t="s">
        <v>5006</v>
      </c>
      <c r="D723" s="6" t="s">
        <v>2116</v>
      </c>
      <c r="E723" s="6" t="s">
        <v>6002</v>
      </c>
      <c r="F723" s="6" t="s">
        <v>2117</v>
      </c>
      <c r="G723" s="6" t="s">
        <v>76</v>
      </c>
      <c r="H723" s="6" t="s">
        <v>287</v>
      </c>
      <c r="I723" s="6" t="s">
        <v>4715</v>
      </c>
      <c r="J723" s="6" t="s">
        <v>84</v>
      </c>
      <c r="K723" s="6" t="s">
        <v>4790</v>
      </c>
      <c r="L723" s="2" t="s">
        <v>2120</v>
      </c>
      <c r="M723" s="2" t="s">
        <v>6003</v>
      </c>
      <c r="N723" s="9" t="s">
        <v>2121</v>
      </c>
      <c r="O723" s="6" t="s">
        <v>84</v>
      </c>
      <c r="P723" s="6" t="s">
        <v>85</v>
      </c>
      <c r="Q723" s="6" t="s">
        <v>5186</v>
      </c>
      <c r="R723" s="6" t="s">
        <v>5377</v>
      </c>
    </row>
    <row r="724" customFormat="false" ht="23.85" hidden="false" customHeight="false" outlineLevel="0" collapsed="false">
      <c r="A724" s="6" t="s">
        <v>5187</v>
      </c>
      <c r="B724" s="6" t="s">
        <v>127</v>
      </c>
      <c r="C724" s="6" t="s">
        <v>5006</v>
      </c>
      <c r="D724" s="6" t="s">
        <v>1795</v>
      </c>
      <c r="E724" s="6" t="s">
        <v>1795</v>
      </c>
      <c r="F724" s="6" t="s">
        <v>1796</v>
      </c>
      <c r="G724" s="6" t="s">
        <v>153</v>
      </c>
      <c r="H724" s="6" t="s">
        <v>287</v>
      </c>
      <c r="I724" s="6" t="s">
        <v>4706</v>
      </c>
      <c r="J724" s="6" t="s">
        <v>84</v>
      </c>
      <c r="K724" s="6" t="s">
        <v>4790</v>
      </c>
      <c r="L724" s="2" t="s">
        <v>1799</v>
      </c>
      <c r="M724" s="2" t="s">
        <v>6004</v>
      </c>
      <c r="N724" s="9" t="s">
        <v>6005</v>
      </c>
      <c r="O724" s="6" t="s">
        <v>84</v>
      </c>
      <c r="P724" s="6" t="s">
        <v>85</v>
      </c>
      <c r="Q724" s="6" t="s">
        <v>5187</v>
      </c>
      <c r="R724" s="6" t="s">
        <v>5357</v>
      </c>
    </row>
    <row r="725" customFormat="false" ht="23.85" hidden="false" customHeight="false" outlineLevel="0" collapsed="false">
      <c r="A725" s="6" t="s">
        <v>5146</v>
      </c>
      <c r="B725" s="6" t="s">
        <v>127</v>
      </c>
      <c r="C725" s="6" t="s">
        <v>5006</v>
      </c>
      <c r="D725" s="6" t="s">
        <v>941</v>
      </c>
      <c r="E725" s="6" t="s">
        <v>941</v>
      </c>
      <c r="F725" s="6" t="s">
        <v>942</v>
      </c>
      <c r="G725" s="6" t="s">
        <v>118</v>
      </c>
      <c r="H725" s="6" t="s">
        <v>77</v>
      </c>
      <c r="I725" s="6" t="s">
        <v>4676</v>
      </c>
      <c r="J725" s="6" t="s">
        <v>150</v>
      </c>
      <c r="K725" s="6" t="s">
        <v>4790</v>
      </c>
      <c r="L725" s="2" t="s">
        <v>945</v>
      </c>
      <c r="M725" s="2" t="s">
        <v>944</v>
      </c>
      <c r="N725" s="9" t="s">
        <v>946</v>
      </c>
      <c r="O725" s="6" t="s">
        <v>150</v>
      </c>
      <c r="P725" s="6" t="s">
        <v>85</v>
      </c>
      <c r="Q725" s="6" t="s">
        <v>5146</v>
      </c>
      <c r="R725" s="6" t="s">
        <v>5357</v>
      </c>
    </row>
    <row r="726" customFormat="false" ht="23.85" hidden="false" customHeight="false" outlineLevel="0" collapsed="false">
      <c r="A726" s="6" t="s">
        <v>5146</v>
      </c>
      <c r="B726" s="6" t="s">
        <v>127</v>
      </c>
      <c r="C726" s="6" t="s">
        <v>5006</v>
      </c>
      <c r="D726" s="6" t="s">
        <v>3501</v>
      </c>
      <c r="E726" s="6" t="s">
        <v>3501</v>
      </c>
      <c r="F726" s="6" t="s">
        <v>3501</v>
      </c>
      <c r="G726" s="6" t="s">
        <v>1583</v>
      </c>
      <c r="H726" s="6" t="s">
        <v>287</v>
      </c>
      <c r="I726" s="6" t="s">
        <v>4697</v>
      </c>
      <c r="J726" s="6" t="s">
        <v>97</v>
      </c>
      <c r="K726" s="6" t="s">
        <v>4675</v>
      </c>
      <c r="L726" s="2" t="s">
        <v>3504</v>
      </c>
      <c r="M726" s="2" t="s">
        <v>6006</v>
      </c>
      <c r="N726" s="9" t="s">
        <v>3506</v>
      </c>
      <c r="O726" s="6" t="s">
        <v>97</v>
      </c>
      <c r="P726" s="6" t="s">
        <v>85</v>
      </c>
      <c r="Q726" s="6" t="s">
        <v>5146</v>
      </c>
      <c r="R726" s="6" t="s">
        <v>5886</v>
      </c>
    </row>
    <row r="727" customFormat="false" ht="15" hidden="false" customHeight="false" outlineLevel="0" collapsed="false">
      <c r="A727" s="6" t="s">
        <v>5148</v>
      </c>
      <c r="B727" s="6" t="s">
        <v>127</v>
      </c>
      <c r="C727" s="6" t="s">
        <v>4682</v>
      </c>
      <c r="D727" s="6" t="s">
        <v>2077</v>
      </c>
      <c r="E727" s="6" t="s">
        <v>2077</v>
      </c>
      <c r="F727" s="6" t="s">
        <v>2077</v>
      </c>
      <c r="G727" s="6" t="s">
        <v>239</v>
      </c>
      <c r="H727" s="6" t="s">
        <v>287</v>
      </c>
      <c r="I727" s="6" t="s">
        <v>4682</v>
      </c>
      <c r="J727" s="6" t="s">
        <v>517</v>
      </c>
      <c r="K727" s="6" t="s">
        <v>4790</v>
      </c>
      <c r="L727" s="2" t="s">
        <v>2080</v>
      </c>
      <c r="M727" s="2" t="s">
        <v>2079</v>
      </c>
      <c r="N727" s="9" t="s">
        <v>2081</v>
      </c>
      <c r="O727" s="6" t="s">
        <v>517</v>
      </c>
      <c r="P727" s="6" t="s">
        <v>85</v>
      </c>
      <c r="Q727" s="6" t="s">
        <v>5148</v>
      </c>
      <c r="R727" s="6" t="s">
        <v>5377</v>
      </c>
    </row>
    <row r="728" customFormat="false" ht="15" hidden="false" customHeight="false" outlineLevel="0" collapsed="false">
      <c r="A728" s="6" t="s">
        <v>5148</v>
      </c>
      <c r="B728" s="6" t="s">
        <v>127</v>
      </c>
      <c r="C728" s="6" t="s">
        <v>4682</v>
      </c>
      <c r="D728" s="6" t="s">
        <v>3768</v>
      </c>
      <c r="E728" s="6" t="s">
        <v>3768</v>
      </c>
      <c r="F728" s="6" t="s">
        <v>3768</v>
      </c>
      <c r="G728" s="6" t="s">
        <v>164</v>
      </c>
      <c r="H728" s="6" t="s">
        <v>1445</v>
      </c>
      <c r="I728" s="6" t="s">
        <v>4682</v>
      </c>
      <c r="J728" s="6" t="s">
        <v>150</v>
      </c>
      <c r="K728" s="6" t="s">
        <v>4790</v>
      </c>
      <c r="L728" s="2" t="s">
        <v>3769</v>
      </c>
      <c r="M728" s="2"/>
      <c r="N728" s="9" t="s">
        <v>3770</v>
      </c>
      <c r="O728" s="6" t="s">
        <v>150</v>
      </c>
      <c r="P728" s="6" t="s">
        <v>85</v>
      </c>
      <c r="Q728" s="6" t="s">
        <v>5148</v>
      </c>
      <c r="R728" s="6" t="s">
        <v>5922</v>
      </c>
    </row>
    <row r="729" customFormat="false" ht="15" hidden="false" customHeight="false" outlineLevel="0" collapsed="false">
      <c r="A729" s="6" t="s">
        <v>5188</v>
      </c>
      <c r="B729" s="6" t="s">
        <v>127</v>
      </c>
      <c r="C729" s="6" t="s">
        <v>5006</v>
      </c>
      <c r="D729" s="6" t="s">
        <v>2611</v>
      </c>
      <c r="E729" s="6" t="s">
        <v>2611</v>
      </c>
      <c r="F729" s="6" t="s">
        <v>2612</v>
      </c>
      <c r="G729" s="6" t="s">
        <v>182</v>
      </c>
      <c r="H729" s="6" t="s">
        <v>1445</v>
      </c>
      <c r="I729" s="6" t="s">
        <v>4706</v>
      </c>
      <c r="J729" s="6" t="s">
        <v>5487</v>
      </c>
      <c r="K729" s="6" t="s">
        <v>4679</v>
      </c>
      <c r="L729" s="2" t="s">
        <v>6007</v>
      </c>
      <c r="M729" s="2" t="s">
        <v>6008</v>
      </c>
      <c r="N729" s="9" t="s">
        <v>2617</v>
      </c>
      <c r="O729" s="6" t="s">
        <v>5487</v>
      </c>
      <c r="P729" s="6" t="s">
        <v>98</v>
      </c>
      <c r="Q729" s="6" t="s">
        <v>5188</v>
      </c>
      <c r="R729" s="6" t="s">
        <v>5368</v>
      </c>
    </row>
    <row r="730" customFormat="false" ht="15" hidden="false" customHeight="false" outlineLevel="0" collapsed="false">
      <c r="A730" s="6" t="s">
        <v>4815</v>
      </c>
      <c r="B730" s="6" t="s">
        <v>127</v>
      </c>
      <c r="C730" s="6" t="s">
        <v>5016</v>
      </c>
      <c r="D730" s="6" t="s">
        <v>3637</v>
      </c>
      <c r="E730" s="6" t="s">
        <v>3637</v>
      </c>
      <c r="F730" s="6" t="s">
        <v>3638</v>
      </c>
      <c r="G730" s="6" t="s">
        <v>153</v>
      </c>
      <c r="H730" s="6" t="s">
        <v>1445</v>
      </c>
      <c r="I730" s="6" t="s">
        <v>4680</v>
      </c>
      <c r="J730" s="6" t="s">
        <v>281</v>
      </c>
      <c r="K730" s="6" t="s">
        <v>4675</v>
      </c>
      <c r="L730" s="2" t="s">
        <v>3641</v>
      </c>
      <c r="M730" s="2" t="s">
        <v>4814</v>
      </c>
      <c r="N730" s="9" t="s">
        <v>3642</v>
      </c>
      <c r="O730" s="6" t="s">
        <v>281</v>
      </c>
      <c r="P730" s="6" t="s">
        <v>85</v>
      </c>
      <c r="Q730" s="6" t="s">
        <v>4815</v>
      </c>
      <c r="R730" s="6" t="s">
        <v>5433</v>
      </c>
    </row>
    <row r="731" customFormat="false" ht="23.85" hidden="false" customHeight="false" outlineLevel="0" collapsed="false">
      <c r="A731" s="6" t="s">
        <v>4815</v>
      </c>
      <c r="B731" s="6" t="s">
        <v>127</v>
      </c>
      <c r="C731" s="6" t="s">
        <v>5016</v>
      </c>
      <c r="D731" s="6" t="s">
        <v>3637</v>
      </c>
      <c r="E731" s="6" t="s">
        <v>6009</v>
      </c>
      <c r="F731" s="6" t="s">
        <v>3638</v>
      </c>
      <c r="G731" s="6" t="s">
        <v>153</v>
      </c>
      <c r="H731" s="6" t="s">
        <v>1445</v>
      </c>
      <c r="I731" s="6" t="s">
        <v>4684</v>
      </c>
      <c r="J731" s="6" t="s">
        <v>281</v>
      </c>
      <c r="K731" s="6" t="s">
        <v>4790</v>
      </c>
      <c r="L731" s="2" t="s">
        <v>6010</v>
      </c>
      <c r="M731" s="2" t="s">
        <v>6011</v>
      </c>
      <c r="N731" s="9" t="s">
        <v>3643</v>
      </c>
      <c r="O731" s="6" t="s">
        <v>281</v>
      </c>
      <c r="P731" s="6" t="s">
        <v>85</v>
      </c>
      <c r="Q731" s="6" t="s">
        <v>4815</v>
      </c>
      <c r="R731" s="6" t="s">
        <v>5922</v>
      </c>
    </row>
    <row r="732" customFormat="false" ht="23.85" hidden="false" customHeight="false" outlineLevel="0" collapsed="false">
      <c r="A732" s="6" t="s">
        <v>5189</v>
      </c>
      <c r="B732" s="6" t="s">
        <v>127</v>
      </c>
      <c r="C732" s="6" t="s">
        <v>5006</v>
      </c>
      <c r="D732" s="6" t="s">
        <v>2867</v>
      </c>
      <c r="E732" s="6" t="s">
        <v>2867</v>
      </c>
      <c r="F732" s="6" t="s">
        <v>1120</v>
      </c>
      <c r="G732" s="6" t="s">
        <v>507</v>
      </c>
      <c r="H732" s="6" t="s">
        <v>287</v>
      </c>
      <c r="I732" s="6" t="s">
        <v>4706</v>
      </c>
      <c r="J732" s="6" t="s">
        <v>440</v>
      </c>
      <c r="K732" s="6" t="s">
        <v>4790</v>
      </c>
      <c r="L732" s="2" t="s">
        <v>2870</v>
      </c>
      <c r="M732" s="2" t="s">
        <v>2869</v>
      </c>
      <c r="N732" s="9" t="s">
        <v>2871</v>
      </c>
      <c r="O732" s="6" t="s">
        <v>440</v>
      </c>
      <c r="P732" s="6" t="s">
        <v>85</v>
      </c>
      <c r="Q732" s="6" t="s">
        <v>5189</v>
      </c>
      <c r="R732" s="6" t="s">
        <v>5357</v>
      </c>
    </row>
    <row r="733" customFormat="false" ht="23.85" hidden="false" customHeight="false" outlineLevel="0" collapsed="false">
      <c r="A733" s="6" t="s">
        <v>5190</v>
      </c>
      <c r="B733" s="6" t="s">
        <v>127</v>
      </c>
      <c r="C733" s="6" t="s">
        <v>5016</v>
      </c>
      <c r="D733" s="6" t="s">
        <v>1643</v>
      </c>
      <c r="E733" s="6" t="s">
        <v>6012</v>
      </c>
      <c r="F733" s="6" t="s">
        <v>1645</v>
      </c>
      <c r="G733" s="6" t="s">
        <v>1644</v>
      </c>
      <c r="H733" s="6" t="s">
        <v>287</v>
      </c>
      <c r="I733" s="6" t="s">
        <v>5617</v>
      </c>
      <c r="J733" s="6" t="s">
        <v>5365</v>
      </c>
      <c r="K733" s="6" t="s">
        <v>4679</v>
      </c>
      <c r="L733" s="2" t="s">
        <v>6013</v>
      </c>
      <c r="M733" s="2"/>
      <c r="N733" s="9" t="s">
        <v>6014</v>
      </c>
      <c r="O733" s="6" t="s">
        <v>967</v>
      </c>
      <c r="P733" s="6" t="s">
        <v>106</v>
      </c>
      <c r="Q733" s="6" t="s">
        <v>5190</v>
      </c>
      <c r="R733" s="6" t="s">
        <v>5886</v>
      </c>
    </row>
    <row r="734" customFormat="false" ht="15" hidden="false" customHeight="false" outlineLevel="0" collapsed="false">
      <c r="A734" s="6" t="s">
        <v>4705</v>
      </c>
      <c r="B734" s="6" t="s">
        <v>127</v>
      </c>
      <c r="C734" s="6" t="s">
        <v>5006</v>
      </c>
      <c r="D734" s="6" t="s">
        <v>3406</v>
      </c>
      <c r="E734" s="6" t="s">
        <v>3406</v>
      </c>
      <c r="F734" s="6" t="s">
        <v>3406</v>
      </c>
      <c r="G734" s="6" t="s">
        <v>2312</v>
      </c>
      <c r="H734" s="6" t="s">
        <v>287</v>
      </c>
      <c r="I734" s="6" t="s">
        <v>4706</v>
      </c>
      <c r="J734" s="6" t="s">
        <v>160</v>
      </c>
      <c r="K734" s="6" t="s">
        <v>4675</v>
      </c>
      <c r="L734" s="2" t="s">
        <v>3409</v>
      </c>
      <c r="M734" s="2" t="s">
        <v>4704</v>
      </c>
      <c r="N734" s="9" t="s">
        <v>3411</v>
      </c>
      <c r="O734" s="6" t="s">
        <v>160</v>
      </c>
      <c r="P734" s="6" t="s">
        <v>85</v>
      </c>
      <c r="Q734" s="6" t="s">
        <v>4705</v>
      </c>
      <c r="R734" s="6" t="s">
        <v>5433</v>
      </c>
    </row>
    <row r="735" customFormat="false" ht="15" hidden="false" customHeight="false" outlineLevel="0" collapsed="false">
      <c r="A735" s="6" t="s">
        <v>4705</v>
      </c>
      <c r="B735" s="6" t="s">
        <v>127</v>
      </c>
      <c r="C735" s="6" t="s">
        <v>5006</v>
      </c>
      <c r="D735" s="6" t="s">
        <v>2216</v>
      </c>
      <c r="E735" s="6" t="s">
        <v>2216</v>
      </c>
      <c r="F735" s="6" t="s">
        <v>2217</v>
      </c>
      <c r="G735" s="6" t="s">
        <v>239</v>
      </c>
      <c r="H735" s="6" t="s">
        <v>287</v>
      </c>
      <c r="I735" s="6" t="s">
        <v>4676</v>
      </c>
      <c r="J735" s="6" t="s">
        <v>281</v>
      </c>
      <c r="K735" s="6" t="s">
        <v>4675</v>
      </c>
      <c r="L735" s="2" t="s">
        <v>2220</v>
      </c>
      <c r="M735" s="2" t="s">
        <v>2219</v>
      </c>
      <c r="N735" s="9" t="s">
        <v>2221</v>
      </c>
      <c r="O735" s="6" t="s">
        <v>281</v>
      </c>
      <c r="P735" s="6" t="s">
        <v>85</v>
      </c>
      <c r="Q735" s="6" t="s">
        <v>4705</v>
      </c>
      <c r="R735" s="6" t="s">
        <v>5433</v>
      </c>
    </row>
    <row r="736" customFormat="false" ht="23.85" hidden="false" customHeight="false" outlineLevel="0" collapsed="false">
      <c r="A736" s="6" t="s">
        <v>4705</v>
      </c>
      <c r="B736" s="6" t="s">
        <v>127</v>
      </c>
      <c r="C736" s="6" t="s">
        <v>5006</v>
      </c>
      <c r="D736" s="6" t="s">
        <v>2216</v>
      </c>
      <c r="E736" s="6" t="s">
        <v>2216</v>
      </c>
      <c r="F736" s="6" t="s">
        <v>2217</v>
      </c>
      <c r="G736" s="6" t="s">
        <v>239</v>
      </c>
      <c r="H736" s="6" t="s">
        <v>287</v>
      </c>
      <c r="I736" s="6" t="s">
        <v>4706</v>
      </c>
      <c r="J736" s="6" t="s">
        <v>281</v>
      </c>
      <c r="K736" s="6" t="s">
        <v>4675</v>
      </c>
      <c r="L736" s="2" t="s">
        <v>6015</v>
      </c>
      <c r="M736" s="2"/>
      <c r="N736" s="9" t="s">
        <v>2221</v>
      </c>
      <c r="O736" s="6" t="s">
        <v>281</v>
      </c>
      <c r="P736" s="6" t="s">
        <v>85</v>
      </c>
      <c r="Q736" s="6" t="s">
        <v>4705</v>
      </c>
      <c r="R736" s="6" t="s">
        <v>5886</v>
      </c>
    </row>
    <row r="737" customFormat="false" ht="15" hidden="false" customHeight="false" outlineLevel="0" collapsed="false">
      <c r="A737" s="6" t="s">
        <v>4705</v>
      </c>
      <c r="B737" s="6" t="s">
        <v>127</v>
      </c>
      <c r="C737" s="6" t="s">
        <v>5006</v>
      </c>
      <c r="D737" s="6" t="s">
        <v>3501</v>
      </c>
      <c r="E737" s="6" t="s">
        <v>3501</v>
      </c>
      <c r="F737" s="6" t="s">
        <v>3501</v>
      </c>
      <c r="G737" s="6" t="s">
        <v>1583</v>
      </c>
      <c r="H737" s="6" t="s">
        <v>287</v>
      </c>
      <c r="I737" s="6" t="s">
        <v>4676</v>
      </c>
      <c r="J737" s="6" t="s">
        <v>256</v>
      </c>
      <c r="K737" s="6" t="s">
        <v>4675</v>
      </c>
      <c r="L737" s="2" t="s">
        <v>6016</v>
      </c>
      <c r="M737" s="2" t="s">
        <v>6017</v>
      </c>
      <c r="N737" s="9" t="s">
        <v>3505</v>
      </c>
      <c r="O737" s="6" t="s">
        <v>256</v>
      </c>
      <c r="P737" s="6" t="s">
        <v>85</v>
      </c>
      <c r="Q737" s="6" t="s">
        <v>4705</v>
      </c>
      <c r="R737" s="6" t="s">
        <v>5886</v>
      </c>
    </row>
    <row r="738" customFormat="false" ht="15" hidden="false" customHeight="false" outlineLevel="0" collapsed="false">
      <c r="A738" s="6" t="s">
        <v>4705</v>
      </c>
      <c r="B738" s="6" t="s">
        <v>127</v>
      </c>
      <c r="C738" s="6" t="s">
        <v>5006</v>
      </c>
      <c r="D738" s="6" t="s">
        <v>4258</v>
      </c>
      <c r="E738" s="6" t="s">
        <v>4258</v>
      </c>
      <c r="F738" s="6" t="s">
        <v>4258</v>
      </c>
      <c r="G738" s="6" t="s">
        <v>1598</v>
      </c>
      <c r="H738" s="6" t="s">
        <v>1445</v>
      </c>
      <c r="I738" s="6" t="s">
        <v>4680</v>
      </c>
      <c r="J738" s="6" t="s">
        <v>281</v>
      </c>
      <c r="K738" s="6" t="s">
        <v>4675</v>
      </c>
      <c r="L738" s="2" t="s">
        <v>4260</v>
      </c>
      <c r="M738" s="2"/>
      <c r="N738" s="9" t="s">
        <v>4261</v>
      </c>
      <c r="O738" s="6" t="s">
        <v>281</v>
      </c>
      <c r="P738" s="6" t="s">
        <v>85</v>
      </c>
      <c r="Q738" s="6" t="s">
        <v>4705</v>
      </c>
      <c r="R738" s="6" t="s">
        <v>5886</v>
      </c>
    </row>
    <row r="739" customFormat="false" ht="23.85" hidden="false" customHeight="false" outlineLevel="0" collapsed="false">
      <c r="A739" s="6" t="s">
        <v>4705</v>
      </c>
      <c r="B739" s="6" t="s">
        <v>127</v>
      </c>
      <c r="C739" s="6" t="s">
        <v>5006</v>
      </c>
      <c r="D739" s="6" t="s">
        <v>4406</v>
      </c>
      <c r="E739" s="6" t="s">
        <v>4406</v>
      </c>
      <c r="F739" s="6" t="s">
        <v>4406</v>
      </c>
      <c r="G739" s="6" t="s">
        <v>1598</v>
      </c>
      <c r="H739" s="6" t="s">
        <v>1445</v>
      </c>
      <c r="I739" s="6" t="s">
        <v>4680</v>
      </c>
      <c r="J739" s="6" t="s">
        <v>281</v>
      </c>
      <c r="K739" s="6" t="s">
        <v>4675</v>
      </c>
      <c r="L739" s="2" t="s">
        <v>4407</v>
      </c>
      <c r="M739" s="2"/>
      <c r="N739" s="9" t="s">
        <v>4261</v>
      </c>
      <c r="O739" s="6" t="s">
        <v>281</v>
      </c>
      <c r="P739" s="6" t="s">
        <v>85</v>
      </c>
      <c r="Q739" s="6" t="s">
        <v>4705</v>
      </c>
      <c r="R739" s="6" t="s">
        <v>5886</v>
      </c>
    </row>
    <row r="740" customFormat="false" ht="15" hidden="false" customHeight="false" outlineLevel="0" collapsed="false">
      <c r="A740" s="6" t="s">
        <v>5065</v>
      </c>
      <c r="B740" s="6" t="s">
        <v>127</v>
      </c>
      <c r="C740" s="6" t="s">
        <v>5006</v>
      </c>
      <c r="D740" s="6" t="s">
        <v>1019</v>
      </c>
      <c r="E740" s="6" t="s">
        <v>1019</v>
      </c>
      <c r="F740" s="6" t="s">
        <v>975</v>
      </c>
      <c r="G740" s="6" t="s">
        <v>76</v>
      </c>
      <c r="H740" s="6" t="s">
        <v>77</v>
      </c>
      <c r="I740" s="6" t="s">
        <v>4676</v>
      </c>
      <c r="J740" s="6" t="s">
        <v>5365</v>
      </c>
      <c r="K740" s="6" t="s">
        <v>4679</v>
      </c>
      <c r="L740" s="2" t="s">
        <v>1022</v>
      </c>
      <c r="M740" s="2" t="s">
        <v>1021</v>
      </c>
      <c r="N740" s="9" t="s">
        <v>1023</v>
      </c>
      <c r="O740" s="6" t="s">
        <v>97</v>
      </c>
      <c r="P740" s="6" t="s">
        <v>98</v>
      </c>
      <c r="Q740" s="6" t="s">
        <v>5065</v>
      </c>
      <c r="R740" s="6" t="s">
        <v>5886</v>
      </c>
    </row>
    <row r="741" customFormat="false" ht="15" hidden="false" customHeight="false" outlineLevel="0" collapsed="false">
      <c r="A741" s="6" t="s">
        <v>5065</v>
      </c>
      <c r="B741" s="6" t="s">
        <v>127</v>
      </c>
      <c r="C741" s="6" t="s">
        <v>5006</v>
      </c>
      <c r="D741" s="6" t="s">
        <v>2007</v>
      </c>
      <c r="E741" s="6" t="s">
        <v>2007</v>
      </c>
      <c r="F741" s="6" t="s">
        <v>2008</v>
      </c>
      <c r="G741" s="6" t="s">
        <v>239</v>
      </c>
      <c r="H741" s="6" t="s">
        <v>287</v>
      </c>
      <c r="I741" s="6" t="s">
        <v>5617</v>
      </c>
      <c r="J741" s="6" t="s">
        <v>5365</v>
      </c>
      <c r="K741" s="6" t="s">
        <v>4790</v>
      </c>
      <c r="L741" s="2" t="s">
        <v>2011</v>
      </c>
      <c r="M741" s="2" t="s">
        <v>2010</v>
      </c>
      <c r="N741" s="9" t="s">
        <v>2012</v>
      </c>
      <c r="O741" s="6" t="s">
        <v>97</v>
      </c>
      <c r="P741" s="6" t="s">
        <v>106</v>
      </c>
      <c r="Q741" s="6" t="s">
        <v>5065</v>
      </c>
      <c r="R741" s="6" t="s">
        <v>5886</v>
      </c>
    </row>
    <row r="742" customFormat="false" ht="15" hidden="false" customHeight="false" outlineLevel="0" collapsed="false">
      <c r="A742" s="6" t="s">
        <v>5065</v>
      </c>
      <c r="B742" s="6" t="s">
        <v>127</v>
      </c>
      <c r="C742" s="6" t="s">
        <v>5006</v>
      </c>
      <c r="D742" s="6" t="s">
        <v>2487</v>
      </c>
      <c r="E742" s="6" t="s">
        <v>2487</v>
      </c>
      <c r="F742" s="6" t="s">
        <v>2488</v>
      </c>
      <c r="G742" s="6" t="s">
        <v>182</v>
      </c>
      <c r="H742" s="6" t="s">
        <v>287</v>
      </c>
      <c r="I742" s="6" t="s">
        <v>4676</v>
      </c>
      <c r="J742" s="6" t="s">
        <v>5365</v>
      </c>
      <c r="K742" s="6" t="s">
        <v>4790</v>
      </c>
      <c r="L742" s="2" t="s">
        <v>2491</v>
      </c>
      <c r="M742" s="2" t="s">
        <v>2490</v>
      </c>
      <c r="N742" s="9" t="s">
        <v>2492</v>
      </c>
      <c r="O742" s="6" t="s">
        <v>97</v>
      </c>
      <c r="P742" s="6" t="s">
        <v>106</v>
      </c>
      <c r="Q742" s="6" t="s">
        <v>5065</v>
      </c>
      <c r="R742" s="6" t="s">
        <v>5886</v>
      </c>
    </row>
    <row r="743" customFormat="false" ht="15" hidden="false" customHeight="false" outlineLevel="0" collapsed="false">
      <c r="A743" s="6" t="s">
        <v>5065</v>
      </c>
      <c r="B743" s="6" t="s">
        <v>127</v>
      </c>
      <c r="C743" s="6" t="s">
        <v>5006</v>
      </c>
      <c r="D743" s="6" t="s">
        <v>2530</v>
      </c>
      <c r="E743" s="6" t="s">
        <v>2530</v>
      </c>
      <c r="F743" s="6" t="s">
        <v>2531</v>
      </c>
      <c r="G743" s="6" t="s">
        <v>182</v>
      </c>
      <c r="H743" s="6" t="s">
        <v>287</v>
      </c>
      <c r="I743" s="6" t="s">
        <v>4676</v>
      </c>
      <c r="J743" s="6" t="s">
        <v>5365</v>
      </c>
      <c r="K743" s="6" t="s">
        <v>4790</v>
      </c>
      <c r="L743" s="2" t="s">
        <v>2533</v>
      </c>
      <c r="M743" s="2" t="s">
        <v>2532</v>
      </c>
      <c r="N743" s="9" t="s">
        <v>2534</v>
      </c>
      <c r="O743" s="6" t="s">
        <v>97</v>
      </c>
      <c r="P743" s="6" t="s">
        <v>106</v>
      </c>
      <c r="Q743" s="6" t="s">
        <v>5065</v>
      </c>
      <c r="R743" s="6" t="s">
        <v>5886</v>
      </c>
    </row>
    <row r="744" customFormat="false" ht="15" hidden="false" customHeight="false" outlineLevel="0" collapsed="false">
      <c r="A744" s="6" t="s">
        <v>5065</v>
      </c>
      <c r="B744" s="6" t="s">
        <v>127</v>
      </c>
      <c r="C744" s="6" t="s">
        <v>5006</v>
      </c>
      <c r="D744" s="6" t="s">
        <v>2205</v>
      </c>
      <c r="E744" s="6" t="s">
        <v>2205</v>
      </c>
      <c r="F744" s="6" t="s">
        <v>2206</v>
      </c>
      <c r="G744" s="6" t="s">
        <v>239</v>
      </c>
      <c r="H744" s="6" t="s">
        <v>287</v>
      </c>
      <c r="I744" s="6" t="s">
        <v>4715</v>
      </c>
      <c r="J744" s="6" t="s">
        <v>5365</v>
      </c>
      <c r="K744" s="6" t="s">
        <v>4679</v>
      </c>
      <c r="L744" s="2" t="s">
        <v>2208</v>
      </c>
      <c r="M744" s="2"/>
      <c r="N744" s="9" t="s">
        <v>2209</v>
      </c>
      <c r="O744" s="6" t="s">
        <v>97</v>
      </c>
      <c r="P744" s="6" t="s">
        <v>106</v>
      </c>
      <c r="Q744" s="6" t="s">
        <v>5065</v>
      </c>
      <c r="R744" s="6" t="s">
        <v>5886</v>
      </c>
    </row>
    <row r="745" customFormat="false" ht="23.85" hidden="false" customHeight="false" outlineLevel="0" collapsed="false">
      <c r="A745" s="6" t="s">
        <v>5065</v>
      </c>
      <c r="B745" s="6" t="s">
        <v>127</v>
      </c>
      <c r="C745" s="6" t="s">
        <v>5006</v>
      </c>
      <c r="D745" s="6" t="s">
        <v>3889</v>
      </c>
      <c r="E745" s="6" t="s">
        <v>3889</v>
      </c>
      <c r="F745" s="6" t="s">
        <v>3890</v>
      </c>
      <c r="G745" s="6" t="s">
        <v>1127</v>
      </c>
      <c r="H745" s="6" t="s">
        <v>1445</v>
      </c>
      <c r="I745" s="6" t="s">
        <v>4706</v>
      </c>
      <c r="J745" s="6" t="s">
        <v>281</v>
      </c>
      <c r="K745" s="6" t="s">
        <v>4675</v>
      </c>
      <c r="L745" s="2" t="s">
        <v>3892</v>
      </c>
      <c r="M745" s="2"/>
      <c r="N745" s="9" t="s">
        <v>3893</v>
      </c>
      <c r="O745" s="6" t="s">
        <v>281</v>
      </c>
      <c r="P745" s="6" t="s">
        <v>85</v>
      </c>
      <c r="Q745" s="6" t="s">
        <v>5065</v>
      </c>
      <c r="R745" s="6" t="s">
        <v>5886</v>
      </c>
    </row>
    <row r="746" customFormat="false" ht="23.85" hidden="false" customHeight="false" outlineLevel="0" collapsed="false">
      <c r="A746" s="6" t="s">
        <v>5065</v>
      </c>
      <c r="B746" s="6" t="s">
        <v>127</v>
      </c>
      <c r="C746" s="6" t="s">
        <v>5006</v>
      </c>
      <c r="D746" s="6" t="s">
        <v>4270</v>
      </c>
      <c r="E746" s="6" t="s">
        <v>4270</v>
      </c>
      <c r="F746" s="6" t="s">
        <v>4271</v>
      </c>
      <c r="G746" s="6" t="s">
        <v>1215</v>
      </c>
      <c r="H746" s="6" t="s">
        <v>1445</v>
      </c>
      <c r="I746" s="6" t="s">
        <v>4676</v>
      </c>
      <c r="J746" s="6" t="s">
        <v>5365</v>
      </c>
      <c r="K746" s="6" t="s">
        <v>4679</v>
      </c>
      <c r="L746" s="2" t="s">
        <v>6018</v>
      </c>
      <c r="M746" s="2" t="s">
        <v>6019</v>
      </c>
      <c r="N746" s="9" t="s">
        <v>6020</v>
      </c>
      <c r="O746" s="6" t="s">
        <v>97</v>
      </c>
      <c r="P746" s="6" t="s">
        <v>98</v>
      </c>
      <c r="Q746" s="6" t="s">
        <v>5065</v>
      </c>
      <c r="R746" s="6" t="s">
        <v>5886</v>
      </c>
    </row>
    <row r="747" customFormat="false" ht="15" hidden="false" customHeight="false" outlineLevel="0" collapsed="false">
      <c r="A747" s="6" t="s">
        <v>4707</v>
      </c>
      <c r="B747" s="6" t="s">
        <v>127</v>
      </c>
      <c r="C747" s="6" t="s">
        <v>4682</v>
      </c>
      <c r="D747" s="6" t="s">
        <v>2560</v>
      </c>
      <c r="E747" s="6" t="s">
        <v>2560</v>
      </c>
      <c r="F747" s="6" t="s">
        <v>2560</v>
      </c>
      <c r="G747" s="6" t="s">
        <v>182</v>
      </c>
      <c r="H747" s="6" t="s">
        <v>287</v>
      </c>
      <c r="I747" s="6" t="s">
        <v>4682</v>
      </c>
      <c r="J747" s="6" t="s">
        <v>160</v>
      </c>
      <c r="K747" s="6" t="s">
        <v>4675</v>
      </c>
      <c r="L747" s="2" t="s">
        <v>2563</v>
      </c>
      <c r="M747" s="2" t="s">
        <v>2562</v>
      </c>
      <c r="N747" s="9" t="s">
        <v>2564</v>
      </c>
      <c r="O747" s="6" t="s">
        <v>160</v>
      </c>
      <c r="P747" s="6" t="s">
        <v>85</v>
      </c>
      <c r="Q747" s="6" t="s">
        <v>4707</v>
      </c>
      <c r="R747" s="6" t="s">
        <v>5433</v>
      </c>
    </row>
    <row r="748" customFormat="false" ht="23.85" hidden="false" customHeight="false" outlineLevel="0" collapsed="false">
      <c r="A748" s="6" t="s">
        <v>5149</v>
      </c>
      <c r="B748" s="6" t="s">
        <v>127</v>
      </c>
      <c r="C748" s="6" t="s">
        <v>4682</v>
      </c>
      <c r="D748" s="6" t="s">
        <v>981</v>
      </c>
      <c r="E748" s="6" t="s">
        <v>981</v>
      </c>
      <c r="F748" s="6" t="s">
        <v>981</v>
      </c>
      <c r="G748" s="6" t="s">
        <v>118</v>
      </c>
      <c r="H748" s="6" t="s">
        <v>77</v>
      </c>
      <c r="I748" s="6" t="s">
        <v>4682</v>
      </c>
      <c r="J748" s="6" t="s">
        <v>5365</v>
      </c>
      <c r="K748" s="6" t="s">
        <v>4790</v>
      </c>
      <c r="L748" s="2" t="s">
        <v>984</v>
      </c>
      <c r="M748" s="2" t="s">
        <v>6021</v>
      </c>
      <c r="N748" s="9" t="s">
        <v>985</v>
      </c>
      <c r="O748" s="6" t="s">
        <v>97</v>
      </c>
      <c r="P748" s="6" t="s">
        <v>106</v>
      </c>
      <c r="Q748" s="6" t="s">
        <v>5149</v>
      </c>
      <c r="R748" s="6" t="s">
        <v>5886</v>
      </c>
    </row>
    <row r="749" customFormat="false" ht="15" hidden="false" customHeight="false" outlineLevel="0" collapsed="false">
      <c r="A749" s="6" t="s">
        <v>5149</v>
      </c>
      <c r="B749" s="6" t="s">
        <v>127</v>
      </c>
      <c r="C749" s="6" t="s">
        <v>4682</v>
      </c>
      <c r="D749" s="6" t="s">
        <v>3975</v>
      </c>
      <c r="E749" s="6" t="s">
        <v>3975</v>
      </c>
      <c r="F749" s="6" t="s">
        <v>3975</v>
      </c>
      <c r="G749" s="6" t="s">
        <v>507</v>
      </c>
      <c r="H749" s="6" t="s">
        <v>1445</v>
      </c>
      <c r="I749" s="6" t="s">
        <v>4682</v>
      </c>
      <c r="J749" s="6" t="s">
        <v>1636</v>
      </c>
      <c r="K749" s="6" t="s">
        <v>4679</v>
      </c>
      <c r="L749" s="2" t="s">
        <v>3977</v>
      </c>
      <c r="M749" s="2"/>
      <c r="N749" s="9" t="s">
        <v>3978</v>
      </c>
      <c r="O749" s="6" t="s">
        <v>1636</v>
      </c>
      <c r="P749" s="6" t="s">
        <v>106</v>
      </c>
      <c r="Q749" s="6" t="s">
        <v>5149</v>
      </c>
      <c r="R749" s="6" t="s">
        <v>5886</v>
      </c>
    </row>
    <row r="750" customFormat="false" ht="23.85" hidden="false" customHeight="false" outlineLevel="0" collapsed="false">
      <c r="A750" s="6" t="s">
        <v>5117</v>
      </c>
      <c r="B750" s="6" t="s">
        <v>127</v>
      </c>
      <c r="C750" s="6" t="s">
        <v>5006</v>
      </c>
      <c r="D750" s="6" t="s">
        <v>125</v>
      </c>
      <c r="E750" s="6" t="s">
        <v>125</v>
      </c>
      <c r="F750" s="6" t="s">
        <v>125</v>
      </c>
      <c r="G750" s="6" t="s">
        <v>118</v>
      </c>
      <c r="H750" s="6" t="s">
        <v>77</v>
      </c>
      <c r="I750" s="6" t="s">
        <v>4680</v>
      </c>
      <c r="J750" s="6" t="s">
        <v>999</v>
      </c>
      <c r="K750" s="6" t="s">
        <v>4790</v>
      </c>
      <c r="L750" s="2" t="s">
        <v>129</v>
      </c>
      <c r="M750" s="2" t="s">
        <v>6022</v>
      </c>
      <c r="N750" s="9" t="s">
        <v>132</v>
      </c>
      <c r="O750" s="6" t="s">
        <v>999</v>
      </c>
      <c r="P750" s="6" t="s">
        <v>106</v>
      </c>
      <c r="Q750" s="6" t="s">
        <v>5119</v>
      </c>
      <c r="R750" s="6" t="s">
        <v>5377</v>
      </c>
    </row>
    <row r="751" customFormat="false" ht="15" hidden="false" customHeight="false" outlineLevel="0" collapsed="false">
      <c r="A751" s="6" t="s">
        <v>5117</v>
      </c>
      <c r="B751" s="6" t="s">
        <v>127</v>
      </c>
      <c r="C751" s="6" t="s">
        <v>5016</v>
      </c>
      <c r="D751" s="6" t="s">
        <v>351</v>
      </c>
      <c r="E751" s="6" t="s">
        <v>351</v>
      </c>
      <c r="F751" s="6" t="s">
        <v>6023</v>
      </c>
      <c r="G751" s="6" t="s">
        <v>118</v>
      </c>
      <c r="H751" s="6" t="s">
        <v>287</v>
      </c>
      <c r="I751" s="6" t="s">
        <v>4680</v>
      </c>
      <c r="J751" s="6" t="s">
        <v>5365</v>
      </c>
      <c r="K751" s="6" t="s">
        <v>4679</v>
      </c>
      <c r="L751" s="2" t="s">
        <v>6024</v>
      </c>
      <c r="M751" s="2"/>
      <c r="N751" s="9" t="s">
        <v>131</v>
      </c>
      <c r="O751" s="6" t="s">
        <v>1636</v>
      </c>
      <c r="P751" s="6" t="s">
        <v>106</v>
      </c>
      <c r="Q751" s="6" t="s">
        <v>5117</v>
      </c>
      <c r="R751" s="6" t="s">
        <v>5922</v>
      </c>
    </row>
    <row r="752" customFormat="false" ht="15" hidden="false" customHeight="false" outlineLevel="0" collapsed="false">
      <c r="A752" s="6" t="s">
        <v>5117</v>
      </c>
      <c r="B752" s="6" t="s">
        <v>127</v>
      </c>
      <c r="C752" s="6" t="s">
        <v>5016</v>
      </c>
      <c r="D752" s="6" t="s">
        <v>457</v>
      </c>
      <c r="E752" s="6" t="s">
        <v>457</v>
      </c>
      <c r="F752" s="6" t="s">
        <v>1371</v>
      </c>
      <c r="G752" s="6" t="s">
        <v>239</v>
      </c>
      <c r="H752" s="6" t="s">
        <v>287</v>
      </c>
      <c r="I752" s="6" t="s">
        <v>4680</v>
      </c>
      <c r="J752" s="6" t="s">
        <v>5365</v>
      </c>
      <c r="K752" s="6" t="s">
        <v>4679</v>
      </c>
      <c r="L752" s="2" t="s">
        <v>6025</v>
      </c>
      <c r="M752" s="2"/>
      <c r="N752" s="9" t="s">
        <v>131</v>
      </c>
      <c r="O752" s="6" t="s">
        <v>1636</v>
      </c>
      <c r="P752" s="6" t="s">
        <v>106</v>
      </c>
      <c r="Q752" s="6" t="s">
        <v>5117</v>
      </c>
      <c r="R752" s="6" t="s">
        <v>5922</v>
      </c>
    </row>
    <row r="753" customFormat="false" ht="15" hidden="false" customHeight="false" outlineLevel="0" collapsed="false">
      <c r="A753" s="6" t="s">
        <v>4725</v>
      </c>
      <c r="B753" s="6" t="s">
        <v>127</v>
      </c>
      <c r="C753" s="6" t="s">
        <v>4697</v>
      </c>
      <c r="D753" s="6" t="s">
        <v>2539</v>
      </c>
      <c r="E753" s="6" t="s">
        <v>2539</v>
      </c>
      <c r="F753" s="6" t="s">
        <v>2540</v>
      </c>
      <c r="G753" s="6" t="s">
        <v>182</v>
      </c>
      <c r="H753" s="6" t="s">
        <v>287</v>
      </c>
      <c r="I753" s="6" t="s">
        <v>4697</v>
      </c>
      <c r="J753" s="6" t="s">
        <v>511</v>
      </c>
      <c r="K753" s="6" t="s">
        <v>4790</v>
      </c>
      <c r="L753" s="2" t="s">
        <v>2543</v>
      </c>
      <c r="M753" s="2" t="s">
        <v>2542</v>
      </c>
      <c r="N753" s="9" t="s">
        <v>2544</v>
      </c>
      <c r="O753" s="6" t="s">
        <v>511</v>
      </c>
      <c r="P753" s="6" t="s">
        <v>85</v>
      </c>
      <c r="Q753" s="6" t="s">
        <v>6026</v>
      </c>
      <c r="R753" s="6" t="s">
        <v>5368</v>
      </c>
    </row>
    <row r="754" customFormat="false" ht="23.85" hidden="false" customHeight="false" outlineLevel="0" collapsed="false">
      <c r="A754" s="6" t="s">
        <v>4725</v>
      </c>
      <c r="B754" s="6" t="s">
        <v>127</v>
      </c>
      <c r="C754" s="6" t="s">
        <v>4697</v>
      </c>
      <c r="D754" s="6" t="s">
        <v>2923</v>
      </c>
      <c r="E754" s="6" t="s">
        <v>2923</v>
      </c>
      <c r="F754" s="6" t="s">
        <v>2924</v>
      </c>
      <c r="G754" s="6" t="s">
        <v>1127</v>
      </c>
      <c r="H754" s="6" t="s">
        <v>287</v>
      </c>
      <c r="I754" s="6" t="s">
        <v>4697</v>
      </c>
      <c r="J754" s="6" t="s">
        <v>517</v>
      </c>
      <c r="K754" s="6" t="s">
        <v>4679</v>
      </c>
      <c r="L754" s="2" t="s">
        <v>2927</v>
      </c>
      <c r="M754" s="2" t="s">
        <v>6027</v>
      </c>
      <c r="N754" s="9" t="s">
        <v>2928</v>
      </c>
      <c r="O754" s="6" t="s">
        <v>517</v>
      </c>
      <c r="P754" s="6" t="s">
        <v>106</v>
      </c>
      <c r="Q754" s="6" t="s">
        <v>6028</v>
      </c>
      <c r="R754" s="6" t="s">
        <v>5368</v>
      </c>
    </row>
    <row r="755" customFormat="false" ht="15" hidden="false" customHeight="false" outlineLevel="0" collapsed="false">
      <c r="A755" s="6" t="s">
        <v>4725</v>
      </c>
      <c r="B755" s="6" t="s">
        <v>127</v>
      </c>
      <c r="C755" s="6" t="s">
        <v>4697</v>
      </c>
      <c r="D755" s="6" t="s">
        <v>4232</v>
      </c>
      <c r="E755" s="6" t="s">
        <v>4232</v>
      </c>
      <c r="F755" s="6" t="s">
        <v>4232</v>
      </c>
      <c r="G755" s="6" t="s">
        <v>1215</v>
      </c>
      <c r="H755" s="6" t="s">
        <v>1445</v>
      </c>
      <c r="I755" s="6" t="s">
        <v>4697</v>
      </c>
      <c r="J755" s="6" t="s">
        <v>178</v>
      </c>
      <c r="K755" s="6" t="s">
        <v>4675</v>
      </c>
      <c r="L755" s="2" t="s">
        <v>4784</v>
      </c>
      <c r="M755" s="2" t="s">
        <v>4783</v>
      </c>
      <c r="N755" s="9" t="s">
        <v>4785</v>
      </c>
      <c r="O755" s="6" t="s">
        <v>178</v>
      </c>
      <c r="P755" s="6" t="s">
        <v>85</v>
      </c>
      <c r="Q755" s="6" t="s">
        <v>4725</v>
      </c>
      <c r="R755" s="6" t="s">
        <v>5433</v>
      </c>
    </row>
    <row r="756" customFormat="false" ht="15" hidden="false" customHeight="false" outlineLevel="0" collapsed="false">
      <c r="A756" s="6" t="s">
        <v>4725</v>
      </c>
      <c r="B756" s="6" t="s">
        <v>127</v>
      </c>
      <c r="C756" s="6" t="s">
        <v>4697</v>
      </c>
      <c r="D756" s="6" t="s">
        <v>3132</v>
      </c>
      <c r="E756" s="6" t="s">
        <v>3132</v>
      </c>
      <c r="F756" s="6" t="s">
        <v>1260</v>
      </c>
      <c r="G756" s="6" t="s">
        <v>153</v>
      </c>
      <c r="H756" s="6" t="s">
        <v>1445</v>
      </c>
      <c r="I756" s="6" t="s">
        <v>4697</v>
      </c>
      <c r="J756" s="6" t="s">
        <v>5365</v>
      </c>
      <c r="K756" s="6" t="s">
        <v>4726</v>
      </c>
      <c r="L756" s="2" t="s">
        <v>4727</v>
      </c>
      <c r="M756" s="2" t="s">
        <v>4724</v>
      </c>
      <c r="N756" s="9" t="s">
        <v>3782</v>
      </c>
      <c r="O756" s="6" t="s">
        <v>160</v>
      </c>
      <c r="P756" s="6" t="s">
        <v>85</v>
      </c>
      <c r="Q756" s="6" t="s">
        <v>6029</v>
      </c>
      <c r="R756" s="6" t="s">
        <v>5433</v>
      </c>
    </row>
    <row r="757" customFormat="false" ht="23.85" hidden="false" customHeight="false" outlineLevel="0" collapsed="false">
      <c r="A757" s="6" t="s">
        <v>5075</v>
      </c>
      <c r="B757" s="6" t="s">
        <v>127</v>
      </c>
      <c r="C757" s="6" t="s">
        <v>5016</v>
      </c>
      <c r="D757" s="6" t="s">
        <v>2024</v>
      </c>
      <c r="E757" s="6" t="s">
        <v>2024</v>
      </c>
      <c r="F757" s="6" t="s">
        <v>2024</v>
      </c>
      <c r="G757" s="6" t="s">
        <v>239</v>
      </c>
      <c r="H757" s="6" t="s">
        <v>287</v>
      </c>
      <c r="I757" s="6" t="s">
        <v>4680</v>
      </c>
      <c r="J757" s="6" t="s">
        <v>642</v>
      </c>
      <c r="K757" s="6" t="s">
        <v>4790</v>
      </c>
      <c r="L757" s="2" t="s">
        <v>2026</v>
      </c>
      <c r="M757" s="2"/>
      <c r="N757" s="9" t="s">
        <v>2027</v>
      </c>
      <c r="O757" s="6" t="s">
        <v>642</v>
      </c>
      <c r="P757" s="6" t="s">
        <v>85</v>
      </c>
      <c r="Q757" s="6" t="s">
        <v>5075</v>
      </c>
      <c r="R757" s="6" t="s">
        <v>5922</v>
      </c>
    </row>
    <row r="758" customFormat="false" ht="15" hidden="false" customHeight="false" outlineLevel="0" collapsed="false">
      <c r="A758" s="6" t="s">
        <v>5075</v>
      </c>
      <c r="B758" s="6" t="s">
        <v>127</v>
      </c>
      <c r="C758" s="6" t="s">
        <v>5016</v>
      </c>
      <c r="D758" s="6" t="s">
        <v>2041</v>
      </c>
      <c r="E758" s="6" t="s">
        <v>2041</v>
      </c>
      <c r="F758" s="6" t="s">
        <v>2042</v>
      </c>
      <c r="G758" s="6" t="s">
        <v>239</v>
      </c>
      <c r="H758" s="6" t="s">
        <v>287</v>
      </c>
      <c r="I758" s="6" t="s">
        <v>4684</v>
      </c>
      <c r="J758" s="6" t="s">
        <v>5365</v>
      </c>
      <c r="K758" s="6" t="s">
        <v>4679</v>
      </c>
      <c r="L758" s="2" t="s">
        <v>2044</v>
      </c>
      <c r="M758" s="2"/>
      <c r="N758" s="9" t="s">
        <v>2045</v>
      </c>
      <c r="O758" s="6" t="s">
        <v>1455</v>
      </c>
      <c r="P758" s="6" t="s">
        <v>106</v>
      </c>
      <c r="Q758" s="6" t="s">
        <v>5075</v>
      </c>
      <c r="R758" s="6" t="s">
        <v>5922</v>
      </c>
    </row>
    <row r="759" customFormat="false" ht="23.85" hidden="false" customHeight="false" outlineLevel="0" collapsed="false">
      <c r="A759" s="6" t="s">
        <v>5075</v>
      </c>
      <c r="B759" s="6" t="s">
        <v>127</v>
      </c>
      <c r="C759" s="6" t="s">
        <v>5016</v>
      </c>
      <c r="D759" s="6" t="s">
        <v>1396</v>
      </c>
      <c r="E759" s="6" t="s">
        <v>1396</v>
      </c>
      <c r="F759" s="6" t="s">
        <v>1397</v>
      </c>
      <c r="G759" s="6" t="s">
        <v>239</v>
      </c>
      <c r="H759" s="6" t="s">
        <v>287</v>
      </c>
      <c r="I759" s="6" t="s">
        <v>4684</v>
      </c>
      <c r="J759" s="6" t="s">
        <v>5365</v>
      </c>
      <c r="K759" s="6" t="s">
        <v>4679</v>
      </c>
      <c r="L759" s="2" t="s">
        <v>6030</v>
      </c>
      <c r="M759" s="2"/>
      <c r="N759" s="9" t="s">
        <v>6031</v>
      </c>
      <c r="O759" s="6" t="s">
        <v>1401</v>
      </c>
      <c r="P759" s="6" t="s">
        <v>98</v>
      </c>
      <c r="Q759" s="6" t="s">
        <v>5075</v>
      </c>
      <c r="R759" s="6" t="s">
        <v>5922</v>
      </c>
    </row>
    <row r="760" customFormat="false" ht="23.85" hidden="false" customHeight="false" outlineLevel="0" collapsed="false">
      <c r="A760" s="6" t="s">
        <v>5075</v>
      </c>
      <c r="B760" s="6" t="s">
        <v>127</v>
      </c>
      <c r="C760" s="6" t="s">
        <v>5016</v>
      </c>
      <c r="D760" s="6" t="s">
        <v>3137</v>
      </c>
      <c r="E760" s="6" t="s">
        <v>3137</v>
      </c>
      <c r="F760" s="6" t="s">
        <v>3138</v>
      </c>
      <c r="G760" s="6" t="s">
        <v>239</v>
      </c>
      <c r="H760" s="6" t="s">
        <v>1445</v>
      </c>
      <c r="I760" s="6" t="s">
        <v>4684</v>
      </c>
      <c r="J760" s="6" t="s">
        <v>5365</v>
      </c>
      <c r="K760" s="6" t="s">
        <v>4679</v>
      </c>
      <c r="L760" s="2" t="s">
        <v>3140</v>
      </c>
      <c r="M760" s="2" t="s">
        <v>3139</v>
      </c>
      <c r="N760" s="9" t="s">
        <v>3141</v>
      </c>
      <c r="O760" s="6" t="s">
        <v>1401</v>
      </c>
      <c r="P760" s="6" t="s">
        <v>106</v>
      </c>
      <c r="Q760" s="6" t="s">
        <v>5075</v>
      </c>
      <c r="R760" s="6" t="s">
        <v>5922</v>
      </c>
    </row>
    <row r="761" customFormat="false" ht="15" hidden="false" customHeight="false" outlineLevel="0" collapsed="false">
      <c r="A761" s="6" t="s">
        <v>5075</v>
      </c>
      <c r="B761" s="6" t="s">
        <v>127</v>
      </c>
      <c r="C761" s="6" t="s">
        <v>5016</v>
      </c>
      <c r="D761" s="6" t="s">
        <v>3196</v>
      </c>
      <c r="E761" s="6" t="s">
        <v>3196</v>
      </c>
      <c r="F761" s="6" t="s">
        <v>3197</v>
      </c>
      <c r="G761" s="6" t="s">
        <v>239</v>
      </c>
      <c r="H761" s="6" t="s">
        <v>1445</v>
      </c>
      <c r="I761" s="6" t="s">
        <v>4684</v>
      </c>
      <c r="J761" s="6" t="s">
        <v>1774</v>
      </c>
      <c r="K761" s="6" t="s">
        <v>4679</v>
      </c>
      <c r="L761" s="2" t="s">
        <v>3199</v>
      </c>
      <c r="M761" s="2"/>
      <c r="N761" s="9" t="s">
        <v>3200</v>
      </c>
      <c r="O761" s="6" t="s">
        <v>1774</v>
      </c>
      <c r="P761" s="6" t="s">
        <v>106</v>
      </c>
      <c r="Q761" s="6" t="s">
        <v>5075</v>
      </c>
      <c r="R761" s="6" t="s">
        <v>5922</v>
      </c>
    </row>
    <row r="762" customFormat="false" ht="15" hidden="false" customHeight="false" outlineLevel="0" collapsed="false">
      <c r="A762" s="6" t="s">
        <v>5191</v>
      </c>
      <c r="B762" s="6" t="s">
        <v>127</v>
      </c>
      <c r="C762" s="6" t="s">
        <v>5016</v>
      </c>
      <c r="D762" s="6" t="s">
        <v>1927</v>
      </c>
      <c r="E762" s="6" t="s">
        <v>1927</v>
      </c>
      <c r="F762" s="6" t="s">
        <v>263</v>
      </c>
      <c r="G762" s="6" t="s">
        <v>239</v>
      </c>
      <c r="H762" s="6" t="s">
        <v>287</v>
      </c>
      <c r="I762" s="6" t="s">
        <v>4684</v>
      </c>
      <c r="J762" s="6" t="s">
        <v>5365</v>
      </c>
      <c r="K762" s="6" t="s">
        <v>4790</v>
      </c>
      <c r="L762" s="2" t="s">
        <v>6032</v>
      </c>
      <c r="M762" s="2" t="s">
        <v>6033</v>
      </c>
      <c r="N762" s="9" t="s">
        <v>6034</v>
      </c>
      <c r="O762" s="6" t="s">
        <v>440</v>
      </c>
      <c r="P762" s="6" t="s">
        <v>106</v>
      </c>
      <c r="Q762" s="6" t="s">
        <v>5191</v>
      </c>
      <c r="R762" s="6" t="s">
        <v>5368</v>
      </c>
    </row>
    <row r="763" customFormat="false" ht="15" hidden="false" customHeight="false" outlineLevel="0" collapsed="false">
      <c r="A763" s="6" t="s">
        <v>5151</v>
      </c>
      <c r="B763" s="6" t="s">
        <v>127</v>
      </c>
      <c r="C763" s="6" t="s">
        <v>5006</v>
      </c>
      <c r="D763" s="6" t="s">
        <v>4506</v>
      </c>
      <c r="E763" s="6" t="s">
        <v>4506</v>
      </c>
      <c r="F763" s="6" t="s">
        <v>3832</v>
      </c>
      <c r="G763" s="6" t="s">
        <v>1598</v>
      </c>
      <c r="H763" s="6" t="s">
        <v>1445</v>
      </c>
      <c r="I763" s="6" t="s">
        <v>5617</v>
      </c>
      <c r="J763" s="6" t="s">
        <v>5365</v>
      </c>
      <c r="K763" s="6" t="s">
        <v>4679</v>
      </c>
      <c r="L763" s="2" t="s">
        <v>6035</v>
      </c>
      <c r="M763" s="2"/>
      <c r="N763" s="9" t="s">
        <v>4510</v>
      </c>
      <c r="O763" s="6" t="s">
        <v>97</v>
      </c>
      <c r="P763" s="6" t="s">
        <v>98</v>
      </c>
      <c r="Q763" s="6" t="s">
        <v>5151</v>
      </c>
      <c r="R763" s="6" t="s">
        <v>5886</v>
      </c>
    </row>
    <row r="764" customFormat="false" ht="15" hidden="false" customHeight="false" outlineLevel="0" collapsed="false">
      <c r="A764" s="6" t="s">
        <v>5151</v>
      </c>
      <c r="B764" s="6" t="s">
        <v>127</v>
      </c>
      <c r="C764" s="6" t="s">
        <v>5006</v>
      </c>
      <c r="D764" s="6" t="s">
        <v>1688</v>
      </c>
      <c r="E764" s="6" t="s">
        <v>6036</v>
      </c>
      <c r="F764" s="6" t="s">
        <v>6037</v>
      </c>
      <c r="G764" s="6" t="s">
        <v>1583</v>
      </c>
      <c r="H764" s="6" t="s">
        <v>1445</v>
      </c>
      <c r="I764" s="6" t="s">
        <v>5617</v>
      </c>
      <c r="J764" s="6" t="s">
        <v>5365</v>
      </c>
      <c r="K764" s="6" t="s">
        <v>4679</v>
      </c>
      <c r="L764" s="2" t="s">
        <v>6038</v>
      </c>
      <c r="M764" s="2"/>
      <c r="N764" s="9" t="s">
        <v>4510</v>
      </c>
      <c r="O764" s="6" t="s">
        <v>97</v>
      </c>
      <c r="P764" s="6" t="s">
        <v>98</v>
      </c>
      <c r="Q764" s="6" t="s">
        <v>5151</v>
      </c>
      <c r="R764" s="6" t="s">
        <v>5886</v>
      </c>
    </row>
    <row r="765" customFormat="false" ht="15" hidden="false" customHeight="false" outlineLevel="0" collapsed="false">
      <c r="A765" s="6" t="s">
        <v>5192</v>
      </c>
      <c r="B765" s="6" t="s">
        <v>127</v>
      </c>
      <c r="C765" s="6" t="s">
        <v>4682</v>
      </c>
      <c r="D765" s="6" t="s">
        <v>1406</v>
      </c>
      <c r="E765" s="6" t="s">
        <v>1406</v>
      </c>
      <c r="F765" s="6" t="s">
        <v>1407</v>
      </c>
      <c r="G765" s="6" t="s">
        <v>90</v>
      </c>
      <c r="H765" s="6" t="s">
        <v>287</v>
      </c>
      <c r="I765" s="6" t="s">
        <v>4682</v>
      </c>
      <c r="J765" s="6" t="s">
        <v>683</v>
      </c>
      <c r="K765" s="6" t="s">
        <v>4790</v>
      </c>
      <c r="L765" s="2" t="s">
        <v>1410</v>
      </c>
      <c r="M765" s="2" t="s">
        <v>1409</v>
      </c>
      <c r="N765" s="9" t="s">
        <v>1411</v>
      </c>
      <c r="O765" s="6" t="s">
        <v>683</v>
      </c>
      <c r="P765" s="6" t="s">
        <v>85</v>
      </c>
      <c r="Q765" s="6" t="s">
        <v>5192</v>
      </c>
      <c r="R765" s="6" t="s">
        <v>5377</v>
      </c>
    </row>
    <row r="766" customFormat="false" ht="23.85" hidden="false" customHeight="false" outlineLevel="0" collapsed="false">
      <c r="A766" s="6" t="s">
        <v>5041</v>
      </c>
      <c r="B766" s="6" t="s">
        <v>127</v>
      </c>
      <c r="C766" s="6" t="s">
        <v>5016</v>
      </c>
      <c r="D766" s="6" t="s">
        <v>1710</v>
      </c>
      <c r="E766" s="6" t="s">
        <v>1710</v>
      </c>
      <c r="F766" s="6" t="s">
        <v>1711</v>
      </c>
      <c r="G766" s="6" t="s">
        <v>507</v>
      </c>
      <c r="H766" s="6" t="s">
        <v>287</v>
      </c>
      <c r="I766" s="6" t="s">
        <v>4684</v>
      </c>
      <c r="J766" s="6" t="s">
        <v>5490</v>
      </c>
      <c r="K766" s="6" t="s">
        <v>4790</v>
      </c>
      <c r="L766" s="2" t="s">
        <v>1714</v>
      </c>
      <c r="M766" s="2" t="s">
        <v>6039</v>
      </c>
      <c r="N766" s="9" t="s">
        <v>1715</v>
      </c>
      <c r="O766" s="6" t="s">
        <v>143</v>
      </c>
      <c r="P766" s="6" t="s">
        <v>85</v>
      </c>
      <c r="Q766" s="6" t="s">
        <v>5041</v>
      </c>
      <c r="R766" s="6" t="s">
        <v>5922</v>
      </c>
    </row>
    <row r="767" customFormat="false" ht="23.85" hidden="false" customHeight="false" outlineLevel="0" collapsed="false">
      <c r="A767" s="6" t="s">
        <v>5041</v>
      </c>
      <c r="B767" s="6" t="s">
        <v>127</v>
      </c>
      <c r="C767" s="6" t="s">
        <v>5016</v>
      </c>
      <c r="D767" s="6" t="s">
        <v>2091</v>
      </c>
      <c r="E767" s="6" t="s">
        <v>2091</v>
      </c>
      <c r="F767" s="6" t="s">
        <v>2091</v>
      </c>
      <c r="G767" s="6" t="s">
        <v>239</v>
      </c>
      <c r="H767" s="6" t="s">
        <v>287</v>
      </c>
      <c r="I767" s="6" t="s">
        <v>4684</v>
      </c>
      <c r="J767" s="6" t="s">
        <v>5365</v>
      </c>
      <c r="K767" s="6" t="s">
        <v>4790</v>
      </c>
      <c r="L767" s="2" t="s">
        <v>6040</v>
      </c>
      <c r="M767" s="2" t="s">
        <v>6041</v>
      </c>
      <c r="N767" s="9" t="s">
        <v>1679</v>
      </c>
      <c r="O767" s="6" t="s">
        <v>150</v>
      </c>
      <c r="P767" s="6" t="s">
        <v>98</v>
      </c>
      <c r="Q767" s="6" t="s">
        <v>5041</v>
      </c>
      <c r="R767" s="6" t="s">
        <v>5922</v>
      </c>
    </row>
    <row r="768" customFormat="false" ht="23.85" hidden="false" customHeight="false" outlineLevel="0" collapsed="false">
      <c r="A768" s="6" t="s">
        <v>5041</v>
      </c>
      <c r="B768" s="6" t="s">
        <v>127</v>
      </c>
      <c r="C768" s="6" t="s">
        <v>5016</v>
      </c>
      <c r="D768" s="6" t="s">
        <v>3644</v>
      </c>
      <c r="E768" s="6" t="s">
        <v>3644</v>
      </c>
      <c r="F768" s="6" t="s">
        <v>3644</v>
      </c>
      <c r="G768" s="6" t="s">
        <v>182</v>
      </c>
      <c r="H768" s="6" t="s">
        <v>1445</v>
      </c>
      <c r="I768" s="6" t="s">
        <v>4684</v>
      </c>
      <c r="J768" s="6" t="s">
        <v>5365</v>
      </c>
      <c r="K768" s="6" t="s">
        <v>4790</v>
      </c>
      <c r="L768" s="2" t="s">
        <v>3645</v>
      </c>
      <c r="M768" s="2"/>
      <c r="N768" s="9" t="s">
        <v>1715</v>
      </c>
      <c r="O768" s="6" t="s">
        <v>143</v>
      </c>
      <c r="P768" s="6" t="s">
        <v>85</v>
      </c>
      <c r="Q768" s="6" t="s">
        <v>5041</v>
      </c>
      <c r="R768" s="6" t="s">
        <v>5922</v>
      </c>
    </row>
    <row r="769" customFormat="false" ht="23.85" hidden="false" customHeight="false" outlineLevel="0" collapsed="false">
      <c r="A769" s="6" t="s">
        <v>5041</v>
      </c>
      <c r="B769" s="6" t="s">
        <v>127</v>
      </c>
      <c r="C769" s="6" t="s">
        <v>5016</v>
      </c>
      <c r="D769" s="6" t="s">
        <v>3142</v>
      </c>
      <c r="E769" s="6" t="s">
        <v>3142</v>
      </c>
      <c r="F769" s="6" t="s">
        <v>3143</v>
      </c>
      <c r="G769" s="6" t="s">
        <v>239</v>
      </c>
      <c r="H769" s="6" t="s">
        <v>1445</v>
      </c>
      <c r="I769" s="6" t="s">
        <v>4684</v>
      </c>
      <c r="J769" s="6" t="s">
        <v>5560</v>
      </c>
      <c r="K769" s="6" t="s">
        <v>4790</v>
      </c>
      <c r="L769" s="2" t="s">
        <v>3145</v>
      </c>
      <c r="M769" s="2"/>
      <c r="N769" s="9" t="s">
        <v>397</v>
      </c>
      <c r="O769" s="6" t="s">
        <v>143</v>
      </c>
      <c r="P769" s="6" t="s">
        <v>85</v>
      </c>
      <c r="Q769" s="6" t="s">
        <v>5041</v>
      </c>
      <c r="R769" s="6" t="s">
        <v>5922</v>
      </c>
    </row>
    <row r="770" customFormat="false" ht="15" hidden="false" customHeight="false" outlineLevel="0" collapsed="false">
      <c r="A770" s="6" t="s">
        <v>5041</v>
      </c>
      <c r="B770" s="6" t="s">
        <v>127</v>
      </c>
      <c r="C770" s="6" t="s">
        <v>5016</v>
      </c>
      <c r="D770" s="6" t="s">
        <v>4139</v>
      </c>
      <c r="E770" s="6" t="s">
        <v>4139</v>
      </c>
      <c r="F770" s="6" t="s">
        <v>4140</v>
      </c>
      <c r="G770" s="6" t="s">
        <v>2312</v>
      </c>
      <c r="H770" s="6" t="s">
        <v>1445</v>
      </c>
      <c r="I770" s="6" t="s">
        <v>4684</v>
      </c>
      <c r="J770" s="6" t="s">
        <v>5490</v>
      </c>
      <c r="K770" s="6" t="s">
        <v>4790</v>
      </c>
      <c r="L770" s="2" t="s">
        <v>4141</v>
      </c>
      <c r="M770" s="2"/>
      <c r="N770" s="9" t="s">
        <v>1715</v>
      </c>
      <c r="O770" s="6" t="s">
        <v>143</v>
      </c>
      <c r="P770" s="6" t="s">
        <v>106</v>
      </c>
      <c r="Q770" s="6" t="s">
        <v>5041</v>
      </c>
      <c r="R770" s="6" t="s">
        <v>5922</v>
      </c>
    </row>
    <row r="771" customFormat="false" ht="15" hidden="false" customHeight="false" outlineLevel="0" collapsed="false">
      <c r="A771" s="6" t="s">
        <v>5041</v>
      </c>
      <c r="B771" s="6" t="s">
        <v>127</v>
      </c>
      <c r="C771" s="6" t="s">
        <v>5016</v>
      </c>
      <c r="D771" s="6" t="s">
        <v>4176</v>
      </c>
      <c r="E771" s="6" t="s">
        <v>4176</v>
      </c>
      <c r="F771" s="6" t="s">
        <v>4176</v>
      </c>
      <c r="G771" s="6" t="s">
        <v>1583</v>
      </c>
      <c r="H771" s="6" t="s">
        <v>1445</v>
      </c>
      <c r="I771" s="6" t="s">
        <v>4684</v>
      </c>
      <c r="J771" s="6" t="s">
        <v>5365</v>
      </c>
      <c r="K771" s="6" t="s">
        <v>4790</v>
      </c>
      <c r="L771" s="2" t="s">
        <v>4177</v>
      </c>
      <c r="M771" s="2"/>
      <c r="N771" s="9" t="s">
        <v>397</v>
      </c>
      <c r="O771" s="6" t="s">
        <v>143</v>
      </c>
      <c r="P771" s="6" t="s">
        <v>85</v>
      </c>
      <c r="Q771" s="6" t="s">
        <v>5041</v>
      </c>
      <c r="R771" s="6" t="s">
        <v>5922</v>
      </c>
    </row>
    <row r="772" customFormat="false" ht="15" hidden="false" customHeight="false" outlineLevel="0" collapsed="false">
      <c r="A772" s="6" t="s">
        <v>5041</v>
      </c>
      <c r="B772" s="6" t="s">
        <v>127</v>
      </c>
      <c r="C772" s="6" t="s">
        <v>5016</v>
      </c>
      <c r="D772" s="6" t="s">
        <v>3169</v>
      </c>
      <c r="E772" s="6" t="s">
        <v>3169</v>
      </c>
      <c r="F772" s="6" t="s">
        <v>3170</v>
      </c>
      <c r="G772" s="6" t="s">
        <v>239</v>
      </c>
      <c r="H772" s="6" t="s">
        <v>1445</v>
      </c>
      <c r="I772" s="6" t="s">
        <v>4684</v>
      </c>
      <c r="J772" s="6" t="s">
        <v>5365</v>
      </c>
      <c r="K772" s="6" t="s">
        <v>4679</v>
      </c>
      <c r="L772" s="2" t="s">
        <v>3172</v>
      </c>
      <c r="M772" s="2"/>
      <c r="N772" s="9" t="s">
        <v>1715</v>
      </c>
      <c r="O772" s="6" t="s">
        <v>143</v>
      </c>
      <c r="P772" s="6" t="s">
        <v>106</v>
      </c>
      <c r="Q772" s="6" t="s">
        <v>5041</v>
      </c>
      <c r="R772" s="6" t="s">
        <v>5922</v>
      </c>
    </row>
    <row r="773" customFormat="false" ht="15" hidden="false" customHeight="false" outlineLevel="0" collapsed="false">
      <c r="A773" s="6" t="s">
        <v>5041</v>
      </c>
      <c r="B773" s="6" t="s">
        <v>127</v>
      </c>
      <c r="C773" s="6" t="s">
        <v>5016</v>
      </c>
      <c r="D773" s="6" t="s">
        <v>391</v>
      </c>
      <c r="E773" s="6" t="s">
        <v>391</v>
      </c>
      <c r="F773" s="6" t="s">
        <v>392</v>
      </c>
      <c r="G773" s="6" t="s">
        <v>90</v>
      </c>
      <c r="H773" s="6" t="s">
        <v>1445</v>
      </c>
      <c r="I773" s="6" t="s">
        <v>4684</v>
      </c>
      <c r="J773" s="6" t="s">
        <v>5365</v>
      </c>
      <c r="K773" s="6" t="s">
        <v>4790</v>
      </c>
      <c r="L773" s="2" t="s">
        <v>396</v>
      </c>
      <c r="M773" s="2"/>
      <c r="N773" s="9" t="s">
        <v>397</v>
      </c>
      <c r="O773" s="6" t="s">
        <v>143</v>
      </c>
      <c r="P773" s="6" t="s">
        <v>85</v>
      </c>
      <c r="Q773" s="6" t="s">
        <v>5041</v>
      </c>
      <c r="R773" s="6" t="s">
        <v>5922</v>
      </c>
    </row>
    <row r="774" customFormat="false" ht="23.85" hidden="false" customHeight="false" outlineLevel="0" collapsed="false">
      <c r="A774" s="6" t="s">
        <v>5041</v>
      </c>
      <c r="B774" s="6" t="s">
        <v>127</v>
      </c>
      <c r="C774" s="6" t="s">
        <v>5016</v>
      </c>
      <c r="D774" s="6" t="s">
        <v>3183</v>
      </c>
      <c r="E774" s="6" t="s">
        <v>3183</v>
      </c>
      <c r="F774" s="6" t="s">
        <v>3184</v>
      </c>
      <c r="G774" s="6" t="s">
        <v>90</v>
      </c>
      <c r="H774" s="6" t="s">
        <v>1445</v>
      </c>
      <c r="I774" s="6" t="s">
        <v>4684</v>
      </c>
      <c r="J774" s="6" t="s">
        <v>5365</v>
      </c>
      <c r="K774" s="6" t="s">
        <v>4790</v>
      </c>
      <c r="L774" s="2" t="s">
        <v>3185</v>
      </c>
      <c r="M774" s="2"/>
      <c r="N774" s="9" t="s">
        <v>1715</v>
      </c>
      <c r="O774" s="6" t="s">
        <v>143</v>
      </c>
      <c r="P774" s="6" t="s">
        <v>106</v>
      </c>
      <c r="Q774" s="6" t="s">
        <v>5041</v>
      </c>
      <c r="R774" s="6" t="s">
        <v>5922</v>
      </c>
    </row>
    <row r="775" customFormat="false" ht="15" hidden="false" customHeight="false" outlineLevel="0" collapsed="false">
      <c r="A775" s="6" t="s">
        <v>5041</v>
      </c>
      <c r="B775" s="6" t="s">
        <v>127</v>
      </c>
      <c r="C775" s="6" t="s">
        <v>5016</v>
      </c>
      <c r="D775" s="6" t="s">
        <v>1672</v>
      </c>
      <c r="E775" s="6" t="s">
        <v>1672</v>
      </c>
      <c r="F775" s="6" t="s">
        <v>1673</v>
      </c>
      <c r="G775" s="6" t="s">
        <v>1583</v>
      </c>
      <c r="H775" s="6" t="s">
        <v>1445</v>
      </c>
      <c r="I775" s="6" t="s">
        <v>4684</v>
      </c>
      <c r="J775" s="6" t="s">
        <v>5490</v>
      </c>
      <c r="K775" s="6" t="s">
        <v>4679</v>
      </c>
      <c r="L775" s="2" t="s">
        <v>6042</v>
      </c>
      <c r="M775" s="2"/>
      <c r="N775" s="9" t="s">
        <v>1679</v>
      </c>
      <c r="O775" s="6" t="s">
        <v>511</v>
      </c>
      <c r="P775" s="6" t="s">
        <v>98</v>
      </c>
      <c r="Q775" s="6" t="s">
        <v>5041</v>
      </c>
      <c r="R775" s="6" t="s">
        <v>5922</v>
      </c>
    </row>
    <row r="776" customFormat="false" ht="15" hidden="false" customHeight="false" outlineLevel="0" collapsed="false">
      <c r="A776" s="6" t="s">
        <v>5041</v>
      </c>
      <c r="B776" s="6" t="s">
        <v>127</v>
      </c>
      <c r="C776" s="6" t="s">
        <v>5016</v>
      </c>
      <c r="D776" s="6" t="s">
        <v>4005</v>
      </c>
      <c r="E776" s="6" t="s">
        <v>4005</v>
      </c>
      <c r="F776" s="6" t="s">
        <v>4006</v>
      </c>
      <c r="G776" s="6" t="s">
        <v>1127</v>
      </c>
      <c r="H776" s="6" t="s">
        <v>1445</v>
      </c>
      <c r="I776" s="6" t="s">
        <v>4684</v>
      </c>
      <c r="J776" s="6" t="s">
        <v>5477</v>
      </c>
      <c r="K776" s="6" t="s">
        <v>4679</v>
      </c>
      <c r="L776" s="2" t="s">
        <v>4008</v>
      </c>
      <c r="M776" s="2"/>
      <c r="N776" s="9" t="s">
        <v>1715</v>
      </c>
      <c r="O776" s="6" t="s">
        <v>143</v>
      </c>
      <c r="P776" s="6" t="s">
        <v>106</v>
      </c>
      <c r="Q776" s="6" t="s">
        <v>5041</v>
      </c>
      <c r="R776" s="6" t="s">
        <v>5922</v>
      </c>
    </row>
    <row r="777" customFormat="false" ht="23.85" hidden="false" customHeight="false" outlineLevel="0" collapsed="false">
      <c r="A777" s="6" t="s">
        <v>5041</v>
      </c>
      <c r="B777" s="6" t="s">
        <v>127</v>
      </c>
      <c r="C777" s="6" t="s">
        <v>5016</v>
      </c>
      <c r="D777" s="6" t="s">
        <v>3049</v>
      </c>
      <c r="E777" s="6" t="s">
        <v>3049</v>
      </c>
      <c r="F777" s="6" t="s">
        <v>3050</v>
      </c>
      <c r="G777" s="6" t="s">
        <v>3000</v>
      </c>
      <c r="H777" s="6" t="s">
        <v>1445</v>
      </c>
      <c r="I777" s="6" t="s">
        <v>4684</v>
      </c>
      <c r="J777" s="6" t="s">
        <v>5490</v>
      </c>
      <c r="K777" s="6" t="s">
        <v>4790</v>
      </c>
      <c r="L777" s="2" t="s">
        <v>6043</v>
      </c>
      <c r="M777" s="2"/>
      <c r="N777" s="9" t="s">
        <v>397</v>
      </c>
      <c r="O777" s="6" t="s">
        <v>143</v>
      </c>
      <c r="P777" s="6" t="s">
        <v>85</v>
      </c>
      <c r="Q777" s="6" t="s">
        <v>5041</v>
      </c>
      <c r="R777" s="6" t="s">
        <v>5922</v>
      </c>
    </row>
    <row r="778" customFormat="false" ht="15" hidden="false" customHeight="false" outlineLevel="0" collapsed="false">
      <c r="A778" s="6" t="s">
        <v>5041</v>
      </c>
      <c r="B778" s="6" t="s">
        <v>127</v>
      </c>
      <c r="C778" s="6" t="s">
        <v>5016</v>
      </c>
      <c r="D778" s="6" t="s">
        <v>3802</v>
      </c>
      <c r="E778" s="6" t="s">
        <v>3802</v>
      </c>
      <c r="F778" s="6" t="s">
        <v>3803</v>
      </c>
      <c r="G778" s="6" t="s">
        <v>182</v>
      </c>
      <c r="H778" s="6" t="s">
        <v>1445</v>
      </c>
      <c r="I778" s="6" t="s">
        <v>4684</v>
      </c>
      <c r="J778" s="6" t="s">
        <v>5365</v>
      </c>
      <c r="K778" s="6" t="s">
        <v>4790</v>
      </c>
      <c r="L778" s="2" t="s">
        <v>3804</v>
      </c>
      <c r="M778" s="2"/>
      <c r="N778" s="9" t="s">
        <v>1679</v>
      </c>
      <c r="O778" s="6" t="s">
        <v>504</v>
      </c>
      <c r="P778" s="6" t="s">
        <v>98</v>
      </c>
      <c r="Q778" s="6" t="s">
        <v>5041</v>
      </c>
      <c r="R778" s="6" t="s">
        <v>5922</v>
      </c>
    </row>
    <row r="779" customFormat="false" ht="23.85" hidden="false" customHeight="false" outlineLevel="0" collapsed="false">
      <c r="A779" s="6" t="s">
        <v>5193</v>
      </c>
      <c r="B779" s="6" t="s">
        <v>127</v>
      </c>
      <c r="C779" s="6" t="s">
        <v>5006</v>
      </c>
      <c r="D779" s="6" t="s">
        <v>358</v>
      </c>
      <c r="E779" s="6" t="s">
        <v>6044</v>
      </c>
      <c r="F779" s="6" t="s">
        <v>359</v>
      </c>
      <c r="G779" s="6" t="s">
        <v>90</v>
      </c>
      <c r="H779" s="6" t="s">
        <v>1445</v>
      </c>
      <c r="I779" s="6" t="s">
        <v>4676</v>
      </c>
      <c r="J779" s="6" t="s">
        <v>5365</v>
      </c>
      <c r="K779" s="6" t="s">
        <v>4790</v>
      </c>
      <c r="L779" s="2" t="s">
        <v>6045</v>
      </c>
      <c r="M779" s="2" t="s">
        <v>6046</v>
      </c>
      <c r="N779" s="9" t="s">
        <v>365</v>
      </c>
      <c r="O779" s="6" t="s">
        <v>308</v>
      </c>
      <c r="P779" s="6" t="s">
        <v>106</v>
      </c>
      <c r="Q779" s="6" t="s">
        <v>5193</v>
      </c>
      <c r="R779" s="6" t="s">
        <v>5357</v>
      </c>
    </row>
    <row r="780" customFormat="false" ht="15" hidden="false" customHeight="false" outlineLevel="0" collapsed="false">
      <c r="A780" s="6" t="s">
        <v>5194</v>
      </c>
      <c r="B780" s="6" t="s">
        <v>127</v>
      </c>
      <c r="C780" s="6" t="s">
        <v>5006</v>
      </c>
      <c r="D780" s="6" t="s">
        <v>1433</v>
      </c>
      <c r="E780" s="6" t="s">
        <v>1433</v>
      </c>
      <c r="F780" s="6" t="s">
        <v>1434</v>
      </c>
      <c r="G780" s="6" t="s">
        <v>239</v>
      </c>
      <c r="H780" s="6" t="s">
        <v>1445</v>
      </c>
      <c r="I780" s="6" t="s">
        <v>4676</v>
      </c>
      <c r="J780" s="6" t="s">
        <v>341</v>
      </c>
      <c r="K780" s="6" t="s">
        <v>4679</v>
      </c>
      <c r="L780" s="2" t="s">
        <v>1437</v>
      </c>
      <c r="M780" s="2" t="s">
        <v>1436</v>
      </c>
      <c r="N780" s="9" t="s">
        <v>1438</v>
      </c>
      <c r="O780" s="6" t="s">
        <v>341</v>
      </c>
      <c r="P780" s="6" t="s">
        <v>106</v>
      </c>
      <c r="Q780" s="6" t="s">
        <v>5194</v>
      </c>
      <c r="R780" s="6" t="s">
        <v>5368</v>
      </c>
    </row>
    <row r="781" customFormat="false" ht="15" hidden="false" customHeight="false" outlineLevel="0" collapsed="false">
      <c r="A781" s="6" t="s">
        <v>5068</v>
      </c>
      <c r="B781" s="6" t="s">
        <v>127</v>
      </c>
      <c r="C781" s="6" t="s">
        <v>5016</v>
      </c>
      <c r="D781" s="6" t="s">
        <v>2418</v>
      </c>
      <c r="E781" s="6" t="s">
        <v>2418</v>
      </c>
      <c r="F781" s="6" t="s">
        <v>2419</v>
      </c>
      <c r="G781" s="6" t="s">
        <v>153</v>
      </c>
      <c r="H781" s="6" t="s">
        <v>287</v>
      </c>
      <c r="I781" s="6" t="s">
        <v>4684</v>
      </c>
      <c r="J781" s="6" t="s">
        <v>5365</v>
      </c>
      <c r="K781" s="6" t="s">
        <v>4790</v>
      </c>
      <c r="L781" s="2" t="s">
        <v>2420</v>
      </c>
      <c r="M781" s="2"/>
      <c r="N781" s="9" t="s">
        <v>1650</v>
      </c>
      <c r="O781" s="6" t="s">
        <v>84</v>
      </c>
      <c r="P781" s="6" t="s">
        <v>85</v>
      </c>
      <c r="Q781" s="6" t="s">
        <v>5068</v>
      </c>
      <c r="R781" s="6" t="s">
        <v>5922</v>
      </c>
    </row>
    <row r="782" customFormat="false" ht="15" hidden="false" customHeight="false" outlineLevel="0" collapsed="false">
      <c r="A782" s="6" t="s">
        <v>5068</v>
      </c>
      <c r="B782" s="6" t="s">
        <v>127</v>
      </c>
      <c r="C782" s="6" t="s">
        <v>5016</v>
      </c>
      <c r="D782" s="6" t="s">
        <v>3236</v>
      </c>
      <c r="E782" s="6" t="s">
        <v>3236</v>
      </c>
      <c r="F782" s="6" t="s">
        <v>3237</v>
      </c>
      <c r="G782" s="6" t="s">
        <v>1583</v>
      </c>
      <c r="H782" s="6" t="s">
        <v>287</v>
      </c>
      <c r="I782" s="6" t="s">
        <v>4706</v>
      </c>
      <c r="J782" s="6" t="s">
        <v>5365</v>
      </c>
      <c r="K782" s="6" t="s">
        <v>4790</v>
      </c>
      <c r="L782" s="2" t="s">
        <v>3239</v>
      </c>
      <c r="M782" s="2"/>
      <c r="N782" s="9" t="s">
        <v>1650</v>
      </c>
      <c r="O782" s="6" t="s">
        <v>84</v>
      </c>
      <c r="P782" s="6" t="s">
        <v>85</v>
      </c>
      <c r="Q782" s="6" t="s">
        <v>5068</v>
      </c>
      <c r="R782" s="6" t="s">
        <v>5922</v>
      </c>
    </row>
    <row r="783" customFormat="false" ht="23.85" hidden="false" customHeight="false" outlineLevel="0" collapsed="false">
      <c r="A783" s="6" t="s">
        <v>5068</v>
      </c>
      <c r="B783" s="6" t="s">
        <v>127</v>
      </c>
      <c r="C783" s="6" t="s">
        <v>5016</v>
      </c>
      <c r="D783" s="6" t="s">
        <v>1643</v>
      </c>
      <c r="E783" s="6" t="s">
        <v>1643</v>
      </c>
      <c r="F783" s="6" t="s">
        <v>1645</v>
      </c>
      <c r="G783" s="6" t="s">
        <v>1644</v>
      </c>
      <c r="H783" s="6" t="s">
        <v>287</v>
      </c>
      <c r="I783" s="6" t="s">
        <v>5617</v>
      </c>
      <c r="J783" s="6" t="s">
        <v>5365</v>
      </c>
      <c r="K783" s="6" t="s">
        <v>4790</v>
      </c>
      <c r="L783" s="2" t="s">
        <v>6047</v>
      </c>
      <c r="M783" s="2"/>
      <c r="N783" s="9" t="s">
        <v>1650</v>
      </c>
      <c r="O783" s="6" t="s">
        <v>84</v>
      </c>
      <c r="P783" s="6" t="s">
        <v>85</v>
      </c>
      <c r="Q783" s="6" t="s">
        <v>5068</v>
      </c>
      <c r="R783" s="6" t="s">
        <v>5922</v>
      </c>
    </row>
    <row r="784" customFormat="false" ht="15" hidden="false" customHeight="false" outlineLevel="0" collapsed="false">
      <c r="A784" s="6" t="s">
        <v>5068</v>
      </c>
      <c r="B784" s="6" t="s">
        <v>127</v>
      </c>
      <c r="C784" s="6" t="s">
        <v>5016</v>
      </c>
      <c r="D784" s="6" t="s">
        <v>2773</v>
      </c>
      <c r="E784" s="6" t="s">
        <v>2773</v>
      </c>
      <c r="F784" s="6" t="s">
        <v>2774</v>
      </c>
      <c r="G784" s="6" t="s">
        <v>1644</v>
      </c>
      <c r="H784" s="6" t="s">
        <v>287</v>
      </c>
      <c r="I784" s="6" t="s">
        <v>5617</v>
      </c>
      <c r="J784" s="6" t="s">
        <v>5365</v>
      </c>
      <c r="K784" s="6" t="s">
        <v>4790</v>
      </c>
      <c r="L784" s="2" t="s">
        <v>6048</v>
      </c>
      <c r="M784" s="2"/>
      <c r="N784" s="9" t="s">
        <v>1650</v>
      </c>
      <c r="O784" s="6" t="s">
        <v>84</v>
      </c>
      <c r="P784" s="6" t="s">
        <v>85</v>
      </c>
      <c r="Q784" s="6" t="s">
        <v>5068</v>
      </c>
      <c r="R784" s="6" t="s">
        <v>5922</v>
      </c>
    </row>
    <row r="785" customFormat="false" ht="15" hidden="false" customHeight="false" outlineLevel="0" collapsed="false">
      <c r="A785" s="6" t="s">
        <v>5068</v>
      </c>
      <c r="B785" s="6" t="s">
        <v>127</v>
      </c>
      <c r="C785" s="6" t="s">
        <v>5016</v>
      </c>
      <c r="D785" s="6" t="s">
        <v>2195</v>
      </c>
      <c r="E785" s="6" t="s">
        <v>2195</v>
      </c>
      <c r="F785" s="6" t="s">
        <v>2195</v>
      </c>
      <c r="G785" s="6" t="s">
        <v>239</v>
      </c>
      <c r="H785" s="6" t="s">
        <v>287</v>
      </c>
      <c r="I785" s="6" t="s">
        <v>4684</v>
      </c>
      <c r="J785" s="6" t="s">
        <v>5365</v>
      </c>
      <c r="K785" s="6" t="s">
        <v>4790</v>
      </c>
      <c r="L785" s="2" t="s">
        <v>2197</v>
      </c>
      <c r="M785" s="2"/>
      <c r="N785" s="9" t="s">
        <v>2198</v>
      </c>
      <c r="O785" s="6" t="s">
        <v>461</v>
      </c>
      <c r="P785" s="6" t="s">
        <v>106</v>
      </c>
      <c r="Q785" s="6" t="s">
        <v>5068</v>
      </c>
      <c r="R785" s="6" t="s">
        <v>5922</v>
      </c>
    </row>
    <row r="786" customFormat="false" ht="15" hidden="false" customHeight="false" outlineLevel="0" collapsed="false">
      <c r="A786" s="6" t="s">
        <v>5068</v>
      </c>
      <c r="B786" s="6" t="s">
        <v>127</v>
      </c>
      <c r="C786" s="6" t="s">
        <v>5016</v>
      </c>
      <c r="D786" s="6" t="s">
        <v>3654</v>
      </c>
      <c r="E786" s="6" t="s">
        <v>3654</v>
      </c>
      <c r="F786" s="6" t="s">
        <v>3654</v>
      </c>
      <c r="G786" s="6" t="s">
        <v>153</v>
      </c>
      <c r="H786" s="6" t="s">
        <v>1445</v>
      </c>
      <c r="I786" s="6" t="s">
        <v>4684</v>
      </c>
      <c r="J786" s="6" t="s">
        <v>5365</v>
      </c>
      <c r="K786" s="6" t="s">
        <v>4790</v>
      </c>
      <c r="L786" s="2" t="s">
        <v>3655</v>
      </c>
      <c r="M786" s="2"/>
      <c r="N786" s="9" t="s">
        <v>1650</v>
      </c>
      <c r="O786" s="6" t="s">
        <v>84</v>
      </c>
      <c r="P786" s="6" t="s">
        <v>106</v>
      </c>
      <c r="Q786" s="6" t="s">
        <v>5068</v>
      </c>
      <c r="R786" s="6" t="s">
        <v>5922</v>
      </c>
    </row>
    <row r="787" customFormat="false" ht="23.85" hidden="false" customHeight="false" outlineLevel="0" collapsed="false">
      <c r="A787" s="6" t="s">
        <v>5068</v>
      </c>
      <c r="B787" s="6" t="s">
        <v>127</v>
      </c>
      <c r="C787" s="6" t="s">
        <v>5016</v>
      </c>
      <c r="D787" s="6" t="s">
        <v>3049</v>
      </c>
      <c r="E787" s="6" t="s">
        <v>3049</v>
      </c>
      <c r="F787" s="6" t="s">
        <v>3050</v>
      </c>
      <c r="G787" s="6" t="s">
        <v>3000</v>
      </c>
      <c r="H787" s="6" t="s">
        <v>1445</v>
      </c>
      <c r="I787" s="6" t="s">
        <v>4684</v>
      </c>
      <c r="J787" s="6" t="s">
        <v>5490</v>
      </c>
      <c r="K787" s="6" t="s">
        <v>4790</v>
      </c>
      <c r="L787" s="2" t="s">
        <v>6049</v>
      </c>
      <c r="M787" s="2" t="s">
        <v>6050</v>
      </c>
      <c r="N787" s="9" t="s">
        <v>2778</v>
      </c>
      <c r="O787" s="6" t="s">
        <v>504</v>
      </c>
      <c r="P787" s="6" t="s">
        <v>85</v>
      </c>
      <c r="Q787" s="6" t="s">
        <v>5068</v>
      </c>
      <c r="R787" s="6" t="s">
        <v>5922</v>
      </c>
    </row>
    <row r="788" customFormat="false" ht="15" hidden="false" customHeight="false" outlineLevel="0" collapsed="false">
      <c r="A788" s="6" t="s">
        <v>5195</v>
      </c>
      <c r="B788" s="6" t="s">
        <v>127</v>
      </c>
      <c r="C788" s="6" t="s">
        <v>4682</v>
      </c>
      <c r="D788" s="6" t="s">
        <v>1073</v>
      </c>
      <c r="E788" s="6" t="s">
        <v>1073</v>
      </c>
      <c r="F788" s="6" t="s">
        <v>1074</v>
      </c>
      <c r="G788" s="6" t="s">
        <v>90</v>
      </c>
      <c r="H788" s="6" t="s">
        <v>77</v>
      </c>
      <c r="I788" s="6" t="s">
        <v>4682</v>
      </c>
      <c r="J788" s="6" t="s">
        <v>236</v>
      </c>
      <c r="K788" s="6" t="s">
        <v>4790</v>
      </c>
      <c r="L788" s="2" t="s">
        <v>1076</v>
      </c>
      <c r="M788" s="2" t="s">
        <v>1037</v>
      </c>
      <c r="N788" s="9" t="s">
        <v>1077</v>
      </c>
      <c r="O788" s="6" t="s">
        <v>236</v>
      </c>
      <c r="P788" s="6" t="s">
        <v>85</v>
      </c>
      <c r="Q788" s="6" t="s">
        <v>5195</v>
      </c>
      <c r="R788" s="6" t="s">
        <v>5357</v>
      </c>
    </row>
    <row r="789" customFormat="false" ht="15" hidden="false" customHeight="false" outlineLevel="0" collapsed="false">
      <c r="A789" s="6" t="s">
        <v>4683</v>
      </c>
      <c r="B789" s="6" t="s">
        <v>127</v>
      </c>
      <c r="C789" s="6" t="s">
        <v>5016</v>
      </c>
      <c r="D789" s="6" t="s">
        <v>2786</v>
      </c>
      <c r="E789" s="6" t="s">
        <v>2786</v>
      </c>
      <c r="F789" s="6" t="s">
        <v>2786</v>
      </c>
      <c r="G789" s="6" t="s">
        <v>1127</v>
      </c>
      <c r="H789" s="6" t="s">
        <v>287</v>
      </c>
      <c r="I789" s="6" t="s">
        <v>4684</v>
      </c>
      <c r="J789" s="6" t="s">
        <v>97</v>
      </c>
      <c r="K789" s="6" t="s">
        <v>4675</v>
      </c>
      <c r="L789" s="2" t="s">
        <v>2789</v>
      </c>
      <c r="M789" s="2" t="s">
        <v>2788</v>
      </c>
      <c r="N789" s="9" t="s">
        <v>2790</v>
      </c>
      <c r="O789" s="6" t="s">
        <v>97</v>
      </c>
      <c r="P789" s="6" t="s">
        <v>85</v>
      </c>
      <c r="Q789" s="6" t="s">
        <v>4683</v>
      </c>
      <c r="R789" s="6" t="s">
        <v>5433</v>
      </c>
    </row>
    <row r="790" customFormat="false" ht="15" hidden="false" customHeight="false" outlineLevel="0" collapsed="false">
      <c r="A790" s="6" t="s">
        <v>5197</v>
      </c>
      <c r="B790" s="6" t="s">
        <v>127</v>
      </c>
      <c r="C790" s="6" t="s">
        <v>5016</v>
      </c>
      <c r="D790" s="6" t="s">
        <v>2933</v>
      </c>
      <c r="E790" s="6" t="s">
        <v>2933</v>
      </c>
      <c r="F790" s="6" t="s">
        <v>2934</v>
      </c>
      <c r="G790" s="6" t="s">
        <v>1127</v>
      </c>
      <c r="H790" s="6" t="s">
        <v>287</v>
      </c>
      <c r="I790" s="6" t="s">
        <v>4684</v>
      </c>
      <c r="J790" s="6" t="s">
        <v>178</v>
      </c>
      <c r="K790" s="6" t="s">
        <v>4675</v>
      </c>
      <c r="L790" s="2" t="s">
        <v>2937</v>
      </c>
      <c r="M790" s="2" t="s">
        <v>2936</v>
      </c>
      <c r="N790" s="9" t="s">
        <v>2938</v>
      </c>
      <c r="O790" s="6" t="s">
        <v>178</v>
      </c>
      <c r="P790" s="6" t="s">
        <v>85</v>
      </c>
      <c r="Q790" s="6" t="s">
        <v>5198</v>
      </c>
      <c r="R790" s="6" t="s">
        <v>5368</v>
      </c>
    </row>
    <row r="791" customFormat="false" ht="23.85" hidden="false" customHeight="false" outlineLevel="0" collapsed="false">
      <c r="A791" s="6" t="s">
        <v>5199</v>
      </c>
      <c r="B791" s="6" t="s">
        <v>127</v>
      </c>
      <c r="C791" s="6" t="s">
        <v>4682</v>
      </c>
      <c r="D791" s="6" t="s">
        <v>1291</v>
      </c>
      <c r="E791" s="6" t="s">
        <v>1291</v>
      </c>
      <c r="F791" s="6" t="s">
        <v>1292</v>
      </c>
      <c r="G791" s="6" t="s">
        <v>239</v>
      </c>
      <c r="H791" s="6" t="s">
        <v>287</v>
      </c>
      <c r="I791" s="6" t="s">
        <v>4682</v>
      </c>
      <c r="J791" s="6" t="s">
        <v>5800</v>
      </c>
      <c r="K791" s="6" t="s">
        <v>4790</v>
      </c>
      <c r="L791" s="2" t="s">
        <v>1295</v>
      </c>
      <c r="M791" s="2" t="s">
        <v>1294</v>
      </c>
      <c r="N791" s="9" t="s">
        <v>1296</v>
      </c>
      <c r="O791" s="6" t="s">
        <v>97</v>
      </c>
      <c r="P791" s="6" t="s">
        <v>85</v>
      </c>
      <c r="Q791" s="6" t="s">
        <v>5199</v>
      </c>
      <c r="R791" s="6" t="s">
        <v>5377</v>
      </c>
    </row>
    <row r="792" customFormat="false" ht="35.05" hidden="false" customHeight="false" outlineLevel="0" collapsed="false">
      <c r="A792" s="6" t="s">
        <v>4806</v>
      </c>
      <c r="B792" s="6" t="s">
        <v>127</v>
      </c>
      <c r="C792" s="6" t="s">
        <v>5006</v>
      </c>
      <c r="D792" s="6" t="s">
        <v>277</v>
      </c>
      <c r="E792" s="6" t="s">
        <v>277</v>
      </c>
      <c r="F792" s="6" t="s">
        <v>277</v>
      </c>
      <c r="G792" s="6" t="s">
        <v>118</v>
      </c>
      <c r="H792" s="6" t="s">
        <v>77</v>
      </c>
      <c r="I792" s="6" t="s">
        <v>4715</v>
      </c>
      <c r="J792" s="6" t="s">
        <v>281</v>
      </c>
      <c r="K792" s="6" t="s">
        <v>4675</v>
      </c>
      <c r="L792" s="2" t="s">
        <v>280</v>
      </c>
      <c r="M792" s="2" t="s">
        <v>279</v>
      </c>
      <c r="N792" s="9" t="s">
        <v>282</v>
      </c>
      <c r="O792" s="6" t="s">
        <v>281</v>
      </c>
      <c r="P792" s="6" t="s">
        <v>85</v>
      </c>
      <c r="Q792" s="6" t="s">
        <v>4806</v>
      </c>
      <c r="R792" s="6" t="s">
        <v>5433</v>
      </c>
    </row>
    <row r="793" customFormat="false" ht="23.85" hidden="false" customHeight="false" outlineLevel="0" collapsed="false">
      <c r="A793" s="6" t="s">
        <v>5120</v>
      </c>
      <c r="B793" s="6" t="s">
        <v>127</v>
      </c>
      <c r="C793" s="6" t="s">
        <v>5006</v>
      </c>
      <c r="D793" s="6" t="s">
        <v>1078</v>
      </c>
      <c r="E793" s="6" t="s">
        <v>1078</v>
      </c>
      <c r="F793" s="6" t="s">
        <v>134</v>
      </c>
      <c r="G793" s="6" t="s">
        <v>76</v>
      </c>
      <c r="H793" s="6" t="s">
        <v>77</v>
      </c>
      <c r="I793" s="6" t="s">
        <v>4676</v>
      </c>
      <c r="J793" s="6" t="s">
        <v>5365</v>
      </c>
      <c r="K793" s="6" t="s">
        <v>4679</v>
      </c>
      <c r="L793" s="2" t="s">
        <v>1081</v>
      </c>
      <c r="M793" s="2" t="s">
        <v>6051</v>
      </c>
      <c r="N793" s="9" t="s">
        <v>1082</v>
      </c>
      <c r="O793" s="6" t="s">
        <v>97</v>
      </c>
      <c r="P793" s="6" t="s">
        <v>106</v>
      </c>
      <c r="Q793" s="6" t="s">
        <v>5120</v>
      </c>
      <c r="R793" s="6" t="s">
        <v>5886</v>
      </c>
    </row>
    <row r="794" customFormat="false" ht="23.85" hidden="false" customHeight="false" outlineLevel="0" collapsed="false">
      <c r="A794" s="6" t="s">
        <v>5120</v>
      </c>
      <c r="B794" s="6" t="s">
        <v>127</v>
      </c>
      <c r="C794" s="6" t="s">
        <v>5006</v>
      </c>
      <c r="D794" s="6" t="s">
        <v>3397</v>
      </c>
      <c r="E794" s="6" t="s">
        <v>3397</v>
      </c>
      <c r="F794" s="6" t="s">
        <v>3398</v>
      </c>
      <c r="G794" s="6" t="s">
        <v>1583</v>
      </c>
      <c r="H794" s="6" t="s">
        <v>287</v>
      </c>
      <c r="I794" s="6" t="s">
        <v>5617</v>
      </c>
      <c r="J794" s="6" t="s">
        <v>5365</v>
      </c>
      <c r="K794" s="6" t="s">
        <v>4679</v>
      </c>
      <c r="L794" s="2" t="s">
        <v>3400</v>
      </c>
      <c r="M794" s="2"/>
      <c r="N794" s="9" t="s">
        <v>1083</v>
      </c>
      <c r="O794" s="6" t="s">
        <v>97</v>
      </c>
      <c r="P794" s="6" t="s">
        <v>106</v>
      </c>
      <c r="Q794" s="6" t="s">
        <v>5120</v>
      </c>
      <c r="R794" s="6" t="s">
        <v>5886</v>
      </c>
    </row>
    <row r="795" customFormat="false" ht="15" hidden="false" customHeight="false" outlineLevel="0" collapsed="false">
      <c r="A795" s="6" t="s">
        <v>5120</v>
      </c>
      <c r="B795" s="6" t="s">
        <v>127</v>
      </c>
      <c r="C795" s="6" t="s">
        <v>5006</v>
      </c>
      <c r="D795" s="6" t="s">
        <v>4114</v>
      </c>
      <c r="E795" s="6" t="s">
        <v>4114</v>
      </c>
      <c r="F795" s="6" t="s">
        <v>3838</v>
      </c>
      <c r="G795" s="6" t="s">
        <v>1598</v>
      </c>
      <c r="H795" s="6" t="s">
        <v>1445</v>
      </c>
      <c r="I795" s="6" t="s">
        <v>4706</v>
      </c>
      <c r="J795" s="6" t="s">
        <v>5365</v>
      </c>
      <c r="K795" s="6" t="s">
        <v>4679</v>
      </c>
      <c r="L795" s="2" t="s">
        <v>4116</v>
      </c>
      <c r="M795" s="2"/>
      <c r="N795" s="9" t="s">
        <v>4117</v>
      </c>
      <c r="O795" s="6" t="s">
        <v>97</v>
      </c>
      <c r="P795" s="6" t="s">
        <v>106</v>
      </c>
      <c r="Q795" s="6" t="s">
        <v>5120</v>
      </c>
      <c r="R795" s="6" t="s">
        <v>5886</v>
      </c>
    </row>
    <row r="796" customFormat="false" ht="23.85" hidden="false" customHeight="false" outlineLevel="0" collapsed="false">
      <c r="A796" s="6" t="s">
        <v>5201</v>
      </c>
      <c r="B796" s="6" t="s">
        <v>127</v>
      </c>
      <c r="C796" s="6" t="s">
        <v>5016</v>
      </c>
      <c r="D796" s="6" t="s">
        <v>685</v>
      </c>
      <c r="E796" s="6" t="s">
        <v>685</v>
      </c>
      <c r="F796" s="6" t="s">
        <v>5876</v>
      </c>
      <c r="G796" s="6" t="s">
        <v>153</v>
      </c>
      <c r="H796" s="6" t="s">
        <v>287</v>
      </c>
      <c r="I796" s="6" t="s">
        <v>5617</v>
      </c>
      <c r="J796" s="6" t="s">
        <v>5365</v>
      </c>
      <c r="K796" s="6" t="s">
        <v>4679</v>
      </c>
      <c r="L796" s="2" t="s">
        <v>6052</v>
      </c>
      <c r="M796" s="2" t="s">
        <v>6053</v>
      </c>
      <c r="N796" s="9" t="s">
        <v>6054</v>
      </c>
      <c r="O796" s="6" t="s">
        <v>1943</v>
      </c>
      <c r="P796" s="6" t="s">
        <v>106</v>
      </c>
      <c r="Q796" s="6" t="s">
        <v>5201</v>
      </c>
      <c r="R796" s="6" t="s">
        <v>5357</v>
      </c>
    </row>
    <row r="797" customFormat="false" ht="23.85" hidden="false" customHeight="false" outlineLevel="0" collapsed="false">
      <c r="A797" s="6" t="s">
        <v>4709</v>
      </c>
      <c r="B797" s="6" t="s">
        <v>127</v>
      </c>
      <c r="C797" s="6" t="s">
        <v>5016</v>
      </c>
      <c r="D797" s="6" t="s">
        <v>2894</v>
      </c>
      <c r="E797" s="6" t="s">
        <v>2894</v>
      </c>
      <c r="F797" s="6" t="s">
        <v>2895</v>
      </c>
      <c r="G797" s="6" t="s">
        <v>1127</v>
      </c>
      <c r="H797" s="6" t="s">
        <v>287</v>
      </c>
      <c r="I797" s="6" t="s">
        <v>4680</v>
      </c>
      <c r="J797" s="6" t="s">
        <v>160</v>
      </c>
      <c r="K797" s="6" t="s">
        <v>4675</v>
      </c>
      <c r="L797" s="2" t="s">
        <v>2898</v>
      </c>
      <c r="M797" s="2" t="s">
        <v>6055</v>
      </c>
      <c r="N797" s="9" t="s">
        <v>2899</v>
      </c>
      <c r="O797" s="6" t="s">
        <v>160</v>
      </c>
      <c r="P797" s="6" t="s">
        <v>85</v>
      </c>
      <c r="Q797" s="6" t="s">
        <v>4709</v>
      </c>
      <c r="R797" s="6" t="s">
        <v>5368</v>
      </c>
    </row>
    <row r="798" customFormat="false" ht="15" hidden="false" customHeight="false" outlineLevel="0" collapsed="false">
      <c r="A798" s="6" t="s">
        <v>4709</v>
      </c>
      <c r="B798" s="6" t="s">
        <v>127</v>
      </c>
      <c r="C798" s="6" t="s">
        <v>5016</v>
      </c>
      <c r="D798" s="6" t="s">
        <v>2894</v>
      </c>
      <c r="E798" s="6" t="s">
        <v>2894</v>
      </c>
      <c r="F798" s="6" t="s">
        <v>2895</v>
      </c>
      <c r="G798" s="6" t="s">
        <v>1127</v>
      </c>
      <c r="H798" s="6" t="s">
        <v>287</v>
      </c>
      <c r="I798" s="6" t="s">
        <v>4684</v>
      </c>
      <c r="J798" s="6" t="s">
        <v>160</v>
      </c>
      <c r="K798" s="6" t="s">
        <v>4675</v>
      </c>
      <c r="L798" s="2" t="s">
        <v>4710</v>
      </c>
      <c r="M798" s="2" t="s">
        <v>4708</v>
      </c>
      <c r="N798" s="9" t="s">
        <v>2900</v>
      </c>
      <c r="O798" s="6" t="s">
        <v>160</v>
      </c>
      <c r="P798" s="6" t="s">
        <v>85</v>
      </c>
      <c r="Q798" s="6" t="s">
        <v>4709</v>
      </c>
      <c r="R798" s="6" t="s">
        <v>5433</v>
      </c>
    </row>
    <row r="799" customFormat="false" ht="15" hidden="false" customHeight="false" outlineLevel="0" collapsed="false">
      <c r="A799" s="6" t="s">
        <v>4709</v>
      </c>
      <c r="B799" s="6" t="s">
        <v>127</v>
      </c>
      <c r="C799" s="6" t="s">
        <v>5006</v>
      </c>
      <c r="D799" s="6" t="s">
        <v>4411</v>
      </c>
      <c r="E799" s="6" t="s">
        <v>4411</v>
      </c>
      <c r="F799" s="6" t="s">
        <v>4412</v>
      </c>
      <c r="G799" s="6" t="s">
        <v>2312</v>
      </c>
      <c r="H799" s="6" t="s">
        <v>1445</v>
      </c>
      <c r="I799" s="6" t="s">
        <v>4676</v>
      </c>
      <c r="J799" s="6" t="s">
        <v>1943</v>
      </c>
      <c r="K799" s="6" t="s">
        <v>4790</v>
      </c>
      <c r="L799" s="2" t="s">
        <v>4414</v>
      </c>
      <c r="M799" s="2"/>
      <c r="N799" s="9" t="s">
        <v>4415</v>
      </c>
      <c r="O799" s="6" t="s">
        <v>1943</v>
      </c>
      <c r="P799" s="6" t="s">
        <v>85</v>
      </c>
      <c r="Q799" s="6" t="s">
        <v>4709</v>
      </c>
      <c r="R799" s="6" t="s">
        <v>5922</v>
      </c>
    </row>
    <row r="800" customFormat="false" ht="23.85" hidden="false" customHeight="false" outlineLevel="0" collapsed="false">
      <c r="A800" s="6" t="s">
        <v>5091</v>
      </c>
      <c r="B800" s="6" t="s">
        <v>127</v>
      </c>
      <c r="C800" s="6" t="s">
        <v>5020</v>
      </c>
      <c r="D800" s="6" t="s">
        <v>266</v>
      </c>
      <c r="E800" s="6" t="s">
        <v>266</v>
      </c>
      <c r="F800" s="6" t="s">
        <v>267</v>
      </c>
      <c r="G800" s="6" t="s">
        <v>90</v>
      </c>
      <c r="H800" s="6" t="s">
        <v>77</v>
      </c>
      <c r="I800" s="6" t="s">
        <v>4676</v>
      </c>
      <c r="J800" s="6" t="s">
        <v>5365</v>
      </c>
      <c r="K800" s="6" t="s">
        <v>4679</v>
      </c>
      <c r="L800" s="2" t="s">
        <v>271</v>
      </c>
      <c r="M800" s="2" t="s">
        <v>270</v>
      </c>
      <c r="N800" s="9" t="s">
        <v>272</v>
      </c>
      <c r="O800" s="6" t="s">
        <v>97</v>
      </c>
      <c r="P800" s="6" t="s">
        <v>106</v>
      </c>
      <c r="Q800" s="6" t="s">
        <v>5091</v>
      </c>
      <c r="R800" s="6" t="s">
        <v>5377</v>
      </c>
    </row>
    <row r="801" customFormat="false" ht="15" hidden="false" customHeight="false" outlineLevel="0" collapsed="false">
      <c r="A801" s="6" t="s">
        <v>5091</v>
      </c>
      <c r="B801" s="6" t="s">
        <v>127</v>
      </c>
      <c r="C801" s="6" t="s">
        <v>5020</v>
      </c>
      <c r="D801" s="6" t="s">
        <v>1063</v>
      </c>
      <c r="E801" s="6" t="s">
        <v>1063</v>
      </c>
      <c r="F801" s="6" t="s">
        <v>824</v>
      </c>
      <c r="G801" s="6" t="s">
        <v>90</v>
      </c>
      <c r="H801" s="6" t="s">
        <v>77</v>
      </c>
      <c r="I801" s="6" t="s">
        <v>4676</v>
      </c>
      <c r="J801" s="6" t="s">
        <v>5365</v>
      </c>
      <c r="K801" s="6" t="s">
        <v>4679</v>
      </c>
      <c r="L801" s="2" t="s">
        <v>1065</v>
      </c>
      <c r="M801" s="2" t="s">
        <v>1064</v>
      </c>
      <c r="N801" s="9" t="s">
        <v>272</v>
      </c>
      <c r="O801" s="6" t="s">
        <v>97</v>
      </c>
      <c r="P801" s="6" t="s">
        <v>106</v>
      </c>
      <c r="Q801" s="6" t="s">
        <v>5091</v>
      </c>
      <c r="R801" s="6" t="s">
        <v>5377</v>
      </c>
    </row>
    <row r="802" customFormat="false" ht="15" hidden="false" customHeight="false" outlineLevel="0" collapsed="false">
      <c r="A802" s="6" t="s">
        <v>5091</v>
      </c>
      <c r="B802" s="6" t="s">
        <v>127</v>
      </c>
      <c r="C802" s="6" t="s">
        <v>5020</v>
      </c>
      <c r="D802" s="6" t="s">
        <v>1066</v>
      </c>
      <c r="E802" s="6" t="s">
        <v>1066</v>
      </c>
      <c r="F802" s="6" t="s">
        <v>824</v>
      </c>
      <c r="G802" s="6" t="s">
        <v>90</v>
      </c>
      <c r="H802" s="6" t="s">
        <v>77</v>
      </c>
      <c r="I802" s="6" t="s">
        <v>4676</v>
      </c>
      <c r="J802" s="6" t="s">
        <v>5365</v>
      </c>
      <c r="K802" s="6" t="s">
        <v>4679</v>
      </c>
      <c r="L802" s="2" t="s">
        <v>1067</v>
      </c>
      <c r="M802" s="2" t="s">
        <v>1064</v>
      </c>
      <c r="N802" s="9" t="s">
        <v>272</v>
      </c>
      <c r="O802" s="6" t="s">
        <v>97</v>
      </c>
      <c r="P802" s="6" t="s">
        <v>106</v>
      </c>
      <c r="Q802" s="6" t="s">
        <v>5091</v>
      </c>
      <c r="R802" s="6" t="s">
        <v>5377</v>
      </c>
    </row>
    <row r="803" customFormat="false" ht="46.25" hidden="false" customHeight="false" outlineLevel="0" collapsed="false">
      <c r="A803" s="6" t="s">
        <v>5091</v>
      </c>
      <c r="B803" s="6" t="s">
        <v>127</v>
      </c>
      <c r="C803" s="6" t="s">
        <v>5006</v>
      </c>
      <c r="D803" s="6" t="s">
        <v>823</v>
      </c>
      <c r="E803" s="6" t="s">
        <v>6056</v>
      </c>
      <c r="F803" s="6" t="s">
        <v>824</v>
      </c>
      <c r="G803" s="6" t="s">
        <v>90</v>
      </c>
      <c r="H803" s="6" t="s">
        <v>287</v>
      </c>
      <c r="I803" s="6" t="s">
        <v>4706</v>
      </c>
      <c r="J803" s="6" t="s">
        <v>84</v>
      </c>
      <c r="K803" s="6" t="s">
        <v>4790</v>
      </c>
      <c r="L803" s="2" t="s">
        <v>827</v>
      </c>
      <c r="M803" s="2" t="s">
        <v>826</v>
      </c>
      <c r="N803" s="9" t="s">
        <v>828</v>
      </c>
      <c r="O803" s="6" t="s">
        <v>84</v>
      </c>
      <c r="P803" s="6" t="s">
        <v>85</v>
      </c>
      <c r="Q803" s="6" t="s">
        <v>5091</v>
      </c>
      <c r="R803" s="6" t="s">
        <v>5357</v>
      </c>
    </row>
    <row r="804" customFormat="false" ht="23.85" hidden="false" customHeight="false" outlineLevel="0" collapsed="false">
      <c r="A804" s="6" t="s">
        <v>4793</v>
      </c>
      <c r="B804" s="6" t="s">
        <v>127</v>
      </c>
      <c r="C804" s="6" t="s">
        <v>5006</v>
      </c>
      <c r="D804" s="6" t="s">
        <v>1643</v>
      </c>
      <c r="E804" s="6" t="s">
        <v>1643</v>
      </c>
      <c r="F804" s="6" t="s">
        <v>1645</v>
      </c>
      <c r="G804" s="6" t="s">
        <v>1644</v>
      </c>
      <c r="H804" s="6" t="s">
        <v>287</v>
      </c>
      <c r="I804" s="6" t="s">
        <v>4706</v>
      </c>
      <c r="J804" s="6" t="s">
        <v>5365</v>
      </c>
      <c r="K804" s="6" t="s">
        <v>4679</v>
      </c>
      <c r="L804" s="2" t="s">
        <v>4794</v>
      </c>
      <c r="M804" s="2" t="s">
        <v>4792</v>
      </c>
      <c r="N804" s="9" t="s">
        <v>4795</v>
      </c>
      <c r="O804" s="6" t="s">
        <v>308</v>
      </c>
      <c r="P804" s="6" t="s">
        <v>106</v>
      </c>
      <c r="Q804" s="6" t="s">
        <v>4793</v>
      </c>
      <c r="R804" s="6" t="s">
        <v>5433</v>
      </c>
    </row>
    <row r="805" customFormat="false" ht="23.85" hidden="false" customHeight="false" outlineLevel="0" collapsed="false">
      <c r="A805" s="6" t="s">
        <v>5050</v>
      </c>
      <c r="B805" s="6" t="s">
        <v>127</v>
      </c>
      <c r="C805" s="6" t="s">
        <v>5016</v>
      </c>
      <c r="D805" s="6" t="s">
        <v>152</v>
      </c>
      <c r="E805" s="6" t="s">
        <v>152</v>
      </c>
      <c r="F805" s="6" t="s">
        <v>154</v>
      </c>
      <c r="G805" s="6" t="s">
        <v>153</v>
      </c>
      <c r="H805" s="6" t="s">
        <v>77</v>
      </c>
      <c r="I805" s="6" t="s">
        <v>4680</v>
      </c>
      <c r="J805" s="6" t="s">
        <v>5366</v>
      </c>
      <c r="K805" s="6" t="s">
        <v>4726</v>
      </c>
      <c r="L805" s="2" t="s">
        <v>6057</v>
      </c>
      <c r="M805" s="2" t="s">
        <v>6058</v>
      </c>
      <c r="N805" s="9" t="s">
        <v>161</v>
      </c>
      <c r="O805" s="6" t="s">
        <v>123</v>
      </c>
      <c r="P805" s="6" t="s">
        <v>85</v>
      </c>
      <c r="Q805" s="6" t="s">
        <v>5050</v>
      </c>
      <c r="R805" s="6" t="s">
        <v>5357</v>
      </c>
    </row>
    <row r="806" customFormat="false" ht="35.05" hidden="false" customHeight="false" outlineLevel="0" collapsed="false">
      <c r="A806" s="6" t="s">
        <v>5050</v>
      </c>
      <c r="B806" s="6" t="s">
        <v>127</v>
      </c>
      <c r="C806" s="6" t="s">
        <v>5016</v>
      </c>
      <c r="D806" s="6" t="s">
        <v>597</v>
      </c>
      <c r="E806" s="6" t="s">
        <v>5473</v>
      </c>
      <c r="F806" s="6" t="s">
        <v>598</v>
      </c>
      <c r="G806" s="6" t="s">
        <v>90</v>
      </c>
      <c r="H806" s="6" t="s">
        <v>77</v>
      </c>
      <c r="I806" s="6" t="s">
        <v>4684</v>
      </c>
      <c r="J806" s="6" t="s">
        <v>5366</v>
      </c>
      <c r="K806" s="6" t="s">
        <v>4679</v>
      </c>
      <c r="L806" s="2" t="s">
        <v>6059</v>
      </c>
      <c r="M806" s="2" t="s">
        <v>6060</v>
      </c>
      <c r="N806" s="9" t="s">
        <v>604</v>
      </c>
      <c r="O806" s="6" t="s">
        <v>2686</v>
      </c>
      <c r="P806" s="6" t="s">
        <v>106</v>
      </c>
      <c r="Q806" s="6" t="s">
        <v>5050</v>
      </c>
      <c r="R806" s="6" t="s">
        <v>5357</v>
      </c>
    </row>
    <row r="807" customFormat="false" ht="23.85" hidden="false" customHeight="false" outlineLevel="0" collapsed="false">
      <c r="A807" s="6" t="s">
        <v>5050</v>
      </c>
      <c r="B807" s="6" t="s">
        <v>127</v>
      </c>
      <c r="C807" s="6" t="s">
        <v>5016</v>
      </c>
      <c r="D807" s="6" t="s">
        <v>3380</v>
      </c>
      <c r="E807" s="6" t="s">
        <v>3380</v>
      </c>
      <c r="F807" s="6" t="s">
        <v>3381</v>
      </c>
      <c r="G807" s="6" t="s">
        <v>1583</v>
      </c>
      <c r="H807" s="6" t="s">
        <v>287</v>
      </c>
      <c r="I807" s="6" t="s">
        <v>4684</v>
      </c>
      <c r="J807" s="6" t="s">
        <v>5365</v>
      </c>
      <c r="K807" s="6" t="s">
        <v>4790</v>
      </c>
      <c r="L807" s="2" t="s">
        <v>3384</v>
      </c>
      <c r="M807" s="2" t="s">
        <v>3383</v>
      </c>
      <c r="N807" s="9" t="s">
        <v>3385</v>
      </c>
      <c r="O807" s="6" t="s">
        <v>84</v>
      </c>
      <c r="P807" s="6" t="s">
        <v>106</v>
      </c>
      <c r="Q807" s="6" t="s">
        <v>5050</v>
      </c>
      <c r="R807" s="6" t="s">
        <v>5802</v>
      </c>
    </row>
    <row r="808" customFormat="false" ht="23.85" hidden="false" customHeight="false" outlineLevel="0" collapsed="false">
      <c r="A808" s="6" t="s">
        <v>5050</v>
      </c>
      <c r="B808" s="6" t="s">
        <v>127</v>
      </c>
      <c r="C808" s="6" t="s">
        <v>5016</v>
      </c>
      <c r="D808" s="6" t="s">
        <v>2887</v>
      </c>
      <c r="E808" s="6" t="s">
        <v>2887</v>
      </c>
      <c r="F808" s="6" t="s">
        <v>2888</v>
      </c>
      <c r="G808" s="6" t="s">
        <v>507</v>
      </c>
      <c r="H808" s="6" t="s">
        <v>287</v>
      </c>
      <c r="I808" s="6" t="s">
        <v>4684</v>
      </c>
      <c r="J808" s="6" t="s">
        <v>642</v>
      </c>
      <c r="K808" s="6" t="s">
        <v>4790</v>
      </c>
      <c r="L808" s="2" t="s">
        <v>2891</v>
      </c>
      <c r="M808" s="2" t="s">
        <v>2890</v>
      </c>
      <c r="N808" s="9" t="s">
        <v>2892</v>
      </c>
      <c r="O808" s="6" t="s">
        <v>642</v>
      </c>
      <c r="P808" s="6" t="s">
        <v>85</v>
      </c>
      <c r="Q808" s="6" t="s">
        <v>5050</v>
      </c>
      <c r="R808" s="6" t="s">
        <v>5357</v>
      </c>
    </row>
    <row r="809" customFormat="false" ht="15" hidden="false" customHeight="false" outlineLevel="0" collapsed="false">
      <c r="A809" s="6" t="s">
        <v>5050</v>
      </c>
      <c r="B809" s="6" t="s">
        <v>127</v>
      </c>
      <c r="C809" s="6" t="s">
        <v>5016</v>
      </c>
      <c r="D809" s="6" t="s">
        <v>4178</v>
      </c>
      <c r="E809" s="6" t="s">
        <v>4178</v>
      </c>
      <c r="F809" s="6" t="s">
        <v>3525</v>
      </c>
      <c r="G809" s="6" t="s">
        <v>1598</v>
      </c>
      <c r="H809" s="6" t="s">
        <v>1445</v>
      </c>
      <c r="I809" s="6" t="s">
        <v>4684</v>
      </c>
      <c r="J809" s="6" t="s">
        <v>1561</v>
      </c>
      <c r="K809" s="6" t="s">
        <v>4679</v>
      </c>
      <c r="L809" s="2" t="s">
        <v>4181</v>
      </c>
      <c r="M809" s="2" t="s">
        <v>4180</v>
      </c>
      <c r="N809" s="9" t="s">
        <v>4182</v>
      </c>
      <c r="O809" s="6" t="s">
        <v>1561</v>
      </c>
      <c r="P809" s="6" t="s">
        <v>106</v>
      </c>
      <c r="Q809" s="6" t="s">
        <v>5050</v>
      </c>
      <c r="R809" s="6" t="s">
        <v>5802</v>
      </c>
    </row>
    <row r="810" customFormat="false" ht="23.85" hidden="false" customHeight="false" outlineLevel="0" collapsed="false">
      <c r="A810" s="6" t="s">
        <v>5050</v>
      </c>
      <c r="B810" s="6" t="s">
        <v>127</v>
      </c>
      <c r="C810" s="6" t="s">
        <v>5016</v>
      </c>
      <c r="D810" s="6" t="s">
        <v>4262</v>
      </c>
      <c r="E810" s="6" t="s">
        <v>4262</v>
      </c>
      <c r="F810" s="6" t="s">
        <v>4263</v>
      </c>
      <c r="G810" s="6" t="s">
        <v>1598</v>
      </c>
      <c r="H810" s="6" t="s">
        <v>1445</v>
      </c>
      <c r="I810" s="6" t="s">
        <v>4680</v>
      </c>
      <c r="J810" s="6" t="s">
        <v>440</v>
      </c>
      <c r="K810" s="6" t="s">
        <v>4790</v>
      </c>
      <c r="L810" s="2" t="s">
        <v>4265</v>
      </c>
      <c r="M810" s="2"/>
      <c r="N810" s="9" t="s">
        <v>4266</v>
      </c>
      <c r="O810" s="6" t="s">
        <v>440</v>
      </c>
      <c r="P810" s="6" t="s">
        <v>85</v>
      </c>
      <c r="Q810" s="6" t="s">
        <v>5050</v>
      </c>
      <c r="R810" s="6" t="s">
        <v>5802</v>
      </c>
    </row>
    <row r="811" customFormat="false" ht="15" hidden="false" customHeight="false" outlineLevel="0" collapsed="false">
      <c r="A811" s="6" t="s">
        <v>5050</v>
      </c>
      <c r="B811" s="6" t="s">
        <v>127</v>
      </c>
      <c r="C811" s="6" t="s">
        <v>5016</v>
      </c>
      <c r="D811" s="6" t="s">
        <v>3842</v>
      </c>
      <c r="E811" s="6" t="s">
        <v>3842</v>
      </c>
      <c r="F811" s="6" t="s">
        <v>3843</v>
      </c>
      <c r="G811" s="6" t="s">
        <v>1598</v>
      </c>
      <c r="H811" s="6" t="s">
        <v>1445</v>
      </c>
      <c r="I811" s="6" t="s">
        <v>4684</v>
      </c>
      <c r="J811" s="6" t="s">
        <v>5365</v>
      </c>
      <c r="K811" s="6" t="s">
        <v>4679</v>
      </c>
      <c r="L811" s="2" t="s">
        <v>3846</v>
      </c>
      <c r="M811" s="2" t="s">
        <v>3845</v>
      </c>
      <c r="N811" s="9" t="s">
        <v>3847</v>
      </c>
      <c r="O811" s="6" t="s">
        <v>1431</v>
      </c>
      <c r="P811" s="6" t="s">
        <v>106</v>
      </c>
      <c r="Q811" s="6" t="s">
        <v>5050</v>
      </c>
      <c r="R811" s="6" t="s">
        <v>5802</v>
      </c>
    </row>
    <row r="812" customFormat="false" ht="15" hidden="false" customHeight="false" outlineLevel="0" collapsed="false">
      <c r="A812" s="6" t="s">
        <v>5050</v>
      </c>
      <c r="B812" s="6" t="s">
        <v>127</v>
      </c>
      <c r="C812" s="6" t="s">
        <v>5016</v>
      </c>
      <c r="D812" s="6" t="s">
        <v>4424</v>
      </c>
      <c r="E812" s="6" t="s">
        <v>4424</v>
      </c>
      <c r="F812" s="6" t="s">
        <v>4425</v>
      </c>
      <c r="G812" s="6" t="s">
        <v>1598</v>
      </c>
      <c r="H812" s="6" t="s">
        <v>1445</v>
      </c>
      <c r="I812" s="6" t="s">
        <v>4684</v>
      </c>
      <c r="J812" s="6" t="s">
        <v>84</v>
      </c>
      <c r="K812" s="6" t="s">
        <v>4790</v>
      </c>
      <c r="L812" s="2" t="s">
        <v>4427</v>
      </c>
      <c r="M812" s="2"/>
      <c r="N812" s="9" t="s">
        <v>4428</v>
      </c>
      <c r="O812" s="6" t="s">
        <v>84</v>
      </c>
      <c r="P812" s="6" t="s">
        <v>85</v>
      </c>
      <c r="Q812" s="6" t="s">
        <v>5050</v>
      </c>
      <c r="R812" s="6" t="s">
        <v>5802</v>
      </c>
    </row>
    <row r="813" customFormat="false" ht="15" hidden="false" customHeight="false" outlineLevel="0" collapsed="false">
      <c r="A813" s="6" t="s">
        <v>5050</v>
      </c>
      <c r="B813" s="6" t="s">
        <v>127</v>
      </c>
      <c r="C813" s="6" t="s">
        <v>5016</v>
      </c>
      <c r="D813" s="6" t="s">
        <v>4439</v>
      </c>
      <c r="E813" s="6" t="s">
        <v>4439</v>
      </c>
      <c r="F813" s="6" t="s">
        <v>4119</v>
      </c>
      <c r="G813" s="6" t="s">
        <v>2312</v>
      </c>
      <c r="H813" s="6" t="s">
        <v>1445</v>
      </c>
      <c r="I813" s="6" t="s">
        <v>4684</v>
      </c>
      <c r="J813" s="6" t="s">
        <v>5365</v>
      </c>
      <c r="K813" s="6" t="s">
        <v>4679</v>
      </c>
      <c r="L813" s="2" t="s">
        <v>4441</v>
      </c>
      <c r="M813" s="2" t="s">
        <v>4440</v>
      </c>
      <c r="N813" s="9" t="s">
        <v>4442</v>
      </c>
      <c r="O813" s="6" t="s">
        <v>150</v>
      </c>
      <c r="P813" s="6" t="s">
        <v>106</v>
      </c>
      <c r="Q813" s="6" t="s">
        <v>5050</v>
      </c>
      <c r="R813" s="6" t="s">
        <v>5802</v>
      </c>
    </row>
    <row r="814" customFormat="false" ht="23.85" hidden="false" customHeight="false" outlineLevel="0" collapsed="false">
      <c r="A814" s="6" t="s">
        <v>5050</v>
      </c>
      <c r="B814" s="6" t="s">
        <v>127</v>
      </c>
      <c r="C814" s="6" t="s">
        <v>5016</v>
      </c>
      <c r="D814" s="6" t="s">
        <v>4541</v>
      </c>
      <c r="E814" s="6" t="s">
        <v>4541</v>
      </c>
      <c r="F814" s="6" t="s">
        <v>2169</v>
      </c>
      <c r="G814" s="6" t="s">
        <v>1215</v>
      </c>
      <c r="H814" s="6" t="s">
        <v>1445</v>
      </c>
      <c r="I814" s="6" t="s">
        <v>4684</v>
      </c>
      <c r="J814" s="6" t="s">
        <v>5365</v>
      </c>
      <c r="K814" s="6" t="s">
        <v>4790</v>
      </c>
      <c r="L814" s="2" t="s">
        <v>4542</v>
      </c>
      <c r="M814" s="2"/>
      <c r="N814" s="9" t="s">
        <v>4543</v>
      </c>
      <c r="O814" s="6" t="s">
        <v>1431</v>
      </c>
      <c r="P814" s="6" t="s">
        <v>106</v>
      </c>
      <c r="Q814" s="6" t="s">
        <v>5050</v>
      </c>
      <c r="R814" s="6" t="s">
        <v>5802</v>
      </c>
    </row>
    <row r="815" customFormat="false" ht="15" hidden="false" customHeight="false" outlineLevel="0" collapsed="false">
      <c r="A815" s="6" t="s">
        <v>5153</v>
      </c>
      <c r="B815" s="6" t="s">
        <v>127</v>
      </c>
      <c r="C815" s="6" t="s">
        <v>5006</v>
      </c>
      <c r="D815" s="6" t="s">
        <v>1557</v>
      </c>
      <c r="E815" s="6" t="s">
        <v>1557</v>
      </c>
      <c r="F815" s="6" t="s">
        <v>1557</v>
      </c>
      <c r="G815" s="6" t="s">
        <v>182</v>
      </c>
      <c r="H815" s="6" t="s">
        <v>77</v>
      </c>
      <c r="I815" s="6" t="s">
        <v>4706</v>
      </c>
      <c r="J815" s="6" t="s">
        <v>1853</v>
      </c>
      <c r="K815" s="6" t="s">
        <v>4679</v>
      </c>
      <c r="L815" s="2" t="s">
        <v>6061</v>
      </c>
      <c r="M815" s="2" t="s">
        <v>6062</v>
      </c>
      <c r="N815" s="9" t="s">
        <v>1563</v>
      </c>
      <c r="O815" s="6" t="s">
        <v>1853</v>
      </c>
      <c r="P815" s="6" t="s">
        <v>98</v>
      </c>
      <c r="Q815" s="6" t="s">
        <v>5153</v>
      </c>
      <c r="R815" s="6" t="s">
        <v>5368</v>
      </c>
    </row>
    <row r="816" customFormat="false" ht="15" hidden="false" customHeight="false" outlineLevel="0" collapsed="false">
      <c r="A816" s="6" t="s">
        <v>5153</v>
      </c>
      <c r="B816" s="6" t="s">
        <v>127</v>
      </c>
      <c r="C816" s="6" t="s">
        <v>5006</v>
      </c>
      <c r="D816" s="6" t="s">
        <v>4399</v>
      </c>
      <c r="E816" s="6" t="s">
        <v>4399</v>
      </c>
      <c r="F816" s="6" t="s">
        <v>4400</v>
      </c>
      <c r="G816" s="6" t="s">
        <v>1583</v>
      </c>
      <c r="H816" s="6" t="s">
        <v>1445</v>
      </c>
      <c r="I816" s="6" t="s">
        <v>4680</v>
      </c>
      <c r="J816" s="6" t="s">
        <v>143</v>
      </c>
      <c r="K816" s="6" t="s">
        <v>4790</v>
      </c>
      <c r="L816" s="2" t="s">
        <v>4403</v>
      </c>
      <c r="M816" s="2"/>
      <c r="N816" s="9" t="s">
        <v>4404</v>
      </c>
      <c r="O816" s="6" t="s">
        <v>143</v>
      </c>
      <c r="P816" s="6" t="s">
        <v>85</v>
      </c>
      <c r="Q816" s="6" t="s">
        <v>5153</v>
      </c>
      <c r="R816" s="6" t="s">
        <v>5922</v>
      </c>
    </row>
    <row r="817" customFormat="false" ht="23.85" hidden="false" customHeight="false" outlineLevel="0" collapsed="false">
      <c r="A817" s="6" t="s">
        <v>5202</v>
      </c>
      <c r="B817" s="6" t="s">
        <v>127</v>
      </c>
      <c r="C817" s="6" t="s">
        <v>5016</v>
      </c>
      <c r="D817" s="6" t="s">
        <v>1812</v>
      </c>
      <c r="E817" s="6" t="s">
        <v>1812</v>
      </c>
      <c r="F817" s="6" t="s">
        <v>1813</v>
      </c>
      <c r="G817" s="6" t="s">
        <v>164</v>
      </c>
      <c r="H817" s="6" t="s">
        <v>287</v>
      </c>
      <c r="I817" s="6" t="s">
        <v>4680</v>
      </c>
      <c r="J817" s="6" t="s">
        <v>226</v>
      </c>
      <c r="K817" s="6" t="s">
        <v>4790</v>
      </c>
      <c r="L817" s="2" t="s">
        <v>1815</v>
      </c>
      <c r="M817" s="2" t="s">
        <v>1346</v>
      </c>
      <c r="N817" s="9" t="s">
        <v>1816</v>
      </c>
      <c r="O817" s="6" t="s">
        <v>226</v>
      </c>
      <c r="P817" s="6" t="s">
        <v>85</v>
      </c>
      <c r="Q817" s="6" t="s">
        <v>5202</v>
      </c>
      <c r="R817" s="6" t="s">
        <v>5377</v>
      </c>
    </row>
    <row r="818" customFormat="false" ht="15" hidden="false" customHeight="false" outlineLevel="0" collapsed="false">
      <c r="A818" s="6" t="s">
        <v>5203</v>
      </c>
      <c r="B818" s="6" t="s">
        <v>127</v>
      </c>
      <c r="C818" s="6" t="s">
        <v>4682</v>
      </c>
      <c r="D818" s="6" t="s">
        <v>3412</v>
      </c>
      <c r="E818" s="6" t="s">
        <v>3412</v>
      </c>
      <c r="F818" s="6" t="s">
        <v>3413</v>
      </c>
      <c r="G818" s="6" t="s">
        <v>1583</v>
      </c>
      <c r="H818" s="6" t="s">
        <v>287</v>
      </c>
      <c r="I818" s="6" t="s">
        <v>4682</v>
      </c>
      <c r="J818" s="6" t="s">
        <v>461</v>
      </c>
      <c r="K818" s="6" t="s">
        <v>4790</v>
      </c>
      <c r="L818" s="2" t="s">
        <v>3415</v>
      </c>
      <c r="M818" s="2"/>
      <c r="N818" s="9" t="s">
        <v>3416</v>
      </c>
      <c r="O818" s="6" t="s">
        <v>461</v>
      </c>
      <c r="P818" s="6" t="s">
        <v>85</v>
      </c>
      <c r="Q818" s="6" t="s">
        <v>5203</v>
      </c>
      <c r="R818" s="6" t="s">
        <v>5377</v>
      </c>
    </row>
    <row r="819" customFormat="false" ht="15" hidden="false" customHeight="false" outlineLevel="0" collapsed="false">
      <c r="A819" s="6" t="s">
        <v>5204</v>
      </c>
      <c r="B819" s="6" t="s">
        <v>127</v>
      </c>
      <c r="C819" s="6" t="s">
        <v>5006</v>
      </c>
      <c r="D819" s="6" t="s">
        <v>1326</v>
      </c>
      <c r="E819" s="6" t="s">
        <v>1326</v>
      </c>
      <c r="F819" s="6" t="s">
        <v>467</v>
      </c>
      <c r="G819" s="6" t="s">
        <v>76</v>
      </c>
      <c r="H819" s="6" t="s">
        <v>287</v>
      </c>
      <c r="I819" s="6" t="s">
        <v>4706</v>
      </c>
      <c r="J819" s="6" t="s">
        <v>5366</v>
      </c>
      <c r="K819" s="6" t="s">
        <v>4790</v>
      </c>
      <c r="L819" s="2" t="s">
        <v>1330</v>
      </c>
      <c r="M819" s="2" t="s">
        <v>1329</v>
      </c>
      <c r="N819" s="9" t="s">
        <v>1331</v>
      </c>
      <c r="O819" s="6" t="s">
        <v>655</v>
      </c>
      <c r="P819" s="6" t="s">
        <v>85</v>
      </c>
      <c r="Q819" s="6" t="s">
        <v>5204</v>
      </c>
      <c r="R819" s="6" t="s">
        <v>5368</v>
      </c>
    </row>
    <row r="820" customFormat="false" ht="23.85" hidden="false" customHeight="false" outlineLevel="0" collapsed="false">
      <c r="A820" s="6" t="s">
        <v>5122</v>
      </c>
      <c r="B820" s="6" t="s">
        <v>127</v>
      </c>
      <c r="C820" s="6" t="s">
        <v>5016</v>
      </c>
      <c r="D820" s="6" t="s">
        <v>3210</v>
      </c>
      <c r="E820" s="6" t="s">
        <v>3210</v>
      </c>
      <c r="F820" s="6" t="s">
        <v>3211</v>
      </c>
      <c r="G820" s="6" t="s">
        <v>2312</v>
      </c>
      <c r="H820" s="6" t="s">
        <v>287</v>
      </c>
      <c r="I820" s="6" t="s">
        <v>4684</v>
      </c>
      <c r="J820" s="6" t="s">
        <v>5560</v>
      </c>
      <c r="K820" s="6" t="s">
        <v>4790</v>
      </c>
      <c r="L820" s="2" t="s">
        <v>3213</v>
      </c>
      <c r="M820" s="2"/>
      <c r="N820" s="9" t="s">
        <v>3214</v>
      </c>
      <c r="O820" s="6" t="s">
        <v>84</v>
      </c>
      <c r="P820" s="6" t="s">
        <v>106</v>
      </c>
      <c r="Q820" s="6" t="s">
        <v>5122</v>
      </c>
      <c r="R820" s="6" t="s">
        <v>5922</v>
      </c>
    </row>
    <row r="821" customFormat="false" ht="23.85" hidden="false" customHeight="false" outlineLevel="0" collapsed="false">
      <c r="A821" s="6" t="s">
        <v>5122</v>
      </c>
      <c r="B821" s="6" t="s">
        <v>127</v>
      </c>
      <c r="C821" s="6" t="s">
        <v>5016</v>
      </c>
      <c r="D821" s="6" t="s">
        <v>1375</v>
      </c>
      <c r="E821" s="6" t="s">
        <v>1375</v>
      </c>
      <c r="F821" s="6" t="s">
        <v>263</v>
      </c>
      <c r="G821" s="6" t="s">
        <v>76</v>
      </c>
      <c r="H821" s="6" t="s">
        <v>287</v>
      </c>
      <c r="I821" s="6" t="s">
        <v>4684</v>
      </c>
      <c r="J821" s="6" t="s">
        <v>5365</v>
      </c>
      <c r="K821" s="6" t="s">
        <v>4679</v>
      </c>
      <c r="L821" s="2" t="s">
        <v>6063</v>
      </c>
      <c r="M821" s="2" t="s">
        <v>6064</v>
      </c>
      <c r="N821" s="9" t="s">
        <v>1380</v>
      </c>
      <c r="O821" s="6" t="s">
        <v>655</v>
      </c>
      <c r="P821" s="6" t="s">
        <v>106</v>
      </c>
      <c r="Q821" s="6" t="s">
        <v>5122</v>
      </c>
      <c r="R821" s="6" t="s">
        <v>5922</v>
      </c>
    </row>
    <row r="822" customFormat="false" ht="15" hidden="false" customHeight="false" outlineLevel="0" collapsed="false">
      <c r="A822" s="6" t="s">
        <v>5122</v>
      </c>
      <c r="B822" s="6" t="s">
        <v>127</v>
      </c>
      <c r="C822" s="6" t="s">
        <v>5016</v>
      </c>
      <c r="D822" s="6" t="s">
        <v>4633</v>
      </c>
      <c r="E822" s="6" t="s">
        <v>4633</v>
      </c>
      <c r="F822" s="6" t="s">
        <v>4633</v>
      </c>
      <c r="G822" s="6" t="s">
        <v>2284</v>
      </c>
      <c r="H822" s="6" t="s">
        <v>1445</v>
      </c>
      <c r="I822" s="6" t="s">
        <v>4684</v>
      </c>
      <c r="J822" s="6" t="s">
        <v>5365</v>
      </c>
      <c r="K822" s="6" t="s">
        <v>4679</v>
      </c>
      <c r="L822" s="2" t="s">
        <v>4635</v>
      </c>
      <c r="M822" s="2"/>
      <c r="N822" s="9" t="s">
        <v>4636</v>
      </c>
      <c r="O822" s="6" t="s">
        <v>967</v>
      </c>
      <c r="P822" s="6" t="s">
        <v>106</v>
      </c>
      <c r="Q822" s="6" t="s">
        <v>5122</v>
      </c>
      <c r="R822" s="6" t="s">
        <v>5922</v>
      </c>
    </row>
    <row r="823" customFormat="false" ht="46.25" hidden="false" customHeight="false" outlineLevel="0" collapsed="false">
      <c r="A823" s="6" t="s">
        <v>5015</v>
      </c>
      <c r="B823" s="6" t="s">
        <v>127</v>
      </c>
      <c r="C823" s="6" t="s">
        <v>5016</v>
      </c>
      <c r="D823" s="6" t="s">
        <v>987</v>
      </c>
      <c r="E823" s="6" t="s">
        <v>5416</v>
      </c>
      <c r="F823" s="6" t="s">
        <v>5417</v>
      </c>
      <c r="G823" s="6" t="s">
        <v>76</v>
      </c>
      <c r="H823" s="6" t="s">
        <v>77</v>
      </c>
      <c r="I823" s="6" t="s">
        <v>4706</v>
      </c>
      <c r="J823" s="6" t="s">
        <v>511</v>
      </c>
      <c r="K823" s="6" t="s">
        <v>4790</v>
      </c>
      <c r="L823" s="2" t="s">
        <v>992</v>
      </c>
      <c r="M823" s="2" t="s">
        <v>6065</v>
      </c>
      <c r="N823" s="9" t="s">
        <v>6066</v>
      </c>
      <c r="O823" s="6" t="s">
        <v>97</v>
      </c>
      <c r="P823" s="6" t="s">
        <v>85</v>
      </c>
      <c r="Q823" s="6" t="s">
        <v>5015</v>
      </c>
      <c r="R823" s="6" t="s">
        <v>5886</v>
      </c>
    </row>
    <row r="824" customFormat="false" ht="23.85" hidden="false" customHeight="false" outlineLevel="0" collapsed="false">
      <c r="A824" s="6" t="s">
        <v>5015</v>
      </c>
      <c r="B824" s="6" t="s">
        <v>127</v>
      </c>
      <c r="C824" s="6" t="s">
        <v>5016</v>
      </c>
      <c r="D824" s="6" t="s">
        <v>1188</v>
      </c>
      <c r="E824" s="6" t="s">
        <v>1188</v>
      </c>
      <c r="F824" s="6" t="s">
        <v>1189</v>
      </c>
      <c r="G824" s="6" t="s">
        <v>153</v>
      </c>
      <c r="H824" s="6" t="s">
        <v>287</v>
      </c>
      <c r="I824" s="6" t="s">
        <v>4676</v>
      </c>
      <c r="J824" s="6" t="s">
        <v>5365</v>
      </c>
      <c r="K824" s="6" t="s">
        <v>4790</v>
      </c>
      <c r="L824" s="2" t="s">
        <v>1192</v>
      </c>
      <c r="M824" s="2" t="s">
        <v>1191</v>
      </c>
      <c r="N824" s="9" t="s">
        <v>1193</v>
      </c>
      <c r="O824" s="6" t="s">
        <v>332</v>
      </c>
      <c r="P824" s="6" t="s">
        <v>85</v>
      </c>
      <c r="Q824" s="6" t="s">
        <v>5015</v>
      </c>
      <c r="R824" s="6" t="s">
        <v>5886</v>
      </c>
    </row>
    <row r="825" customFormat="false" ht="15" hidden="false" customHeight="false" outlineLevel="0" collapsed="false">
      <c r="A825" s="6" t="s">
        <v>5015</v>
      </c>
      <c r="B825" s="6" t="s">
        <v>127</v>
      </c>
      <c r="C825" s="6" t="s">
        <v>5016</v>
      </c>
      <c r="D825" s="6" t="s">
        <v>1105</v>
      </c>
      <c r="E825" s="6" t="s">
        <v>1105</v>
      </c>
      <c r="F825" s="6" t="s">
        <v>1106</v>
      </c>
      <c r="G825" s="6" t="s">
        <v>507</v>
      </c>
      <c r="H825" s="6" t="s">
        <v>287</v>
      </c>
      <c r="I825" s="6" t="s">
        <v>4684</v>
      </c>
      <c r="J825" s="6" t="s">
        <v>5365</v>
      </c>
      <c r="K825" s="6" t="s">
        <v>4790</v>
      </c>
      <c r="L825" s="2" t="s">
        <v>6067</v>
      </c>
      <c r="M825" s="2"/>
      <c r="N825" s="9" t="s">
        <v>2402</v>
      </c>
      <c r="O825" s="6" t="s">
        <v>97</v>
      </c>
      <c r="P825" s="6" t="s">
        <v>106</v>
      </c>
      <c r="Q825" s="6" t="s">
        <v>5015</v>
      </c>
      <c r="R825" s="6" t="s">
        <v>5886</v>
      </c>
    </row>
    <row r="826" customFormat="false" ht="23.85" hidden="false" customHeight="false" outlineLevel="0" collapsed="false">
      <c r="A826" s="6" t="s">
        <v>5015</v>
      </c>
      <c r="B826" s="6" t="s">
        <v>127</v>
      </c>
      <c r="C826" s="6" t="s">
        <v>5006</v>
      </c>
      <c r="D826" s="6" t="s">
        <v>1727</v>
      </c>
      <c r="E826" s="6" t="s">
        <v>1727</v>
      </c>
      <c r="F826" s="6" t="s">
        <v>1728</v>
      </c>
      <c r="G826" s="6" t="s">
        <v>507</v>
      </c>
      <c r="H826" s="6" t="s">
        <v>287</v>
      </c>
      <c r="I826" s="6" t="s">
        <v>4676</v>
      </c>
      <c r="J826" s="6" t="s">
        <v>5365</v>
      </c>
      <c r="K826" s="6" t="s">
        <v>4790</v>
      </c>
      <c r="L826" s="2" t="s">
        <v>1730</v>
      </c>
      <c r="M826" s="2" t="s">
        <v>1729</v>
      </c>
      <c r="N826" s="9" t="s">
        <v>1731</v>
      </c>
      <c r="O826" s="6" t="s">
        <v>130</v>
      </c>
      <c r="P826" s="6" t="s">
        <v>106</v>
      </c>
      <c r="Q826" s="6" t="s">
        <v>5015</v>
      </c>
      <c r="R826" s="6" t="s">
        <v>5357</v>
      </c>
    </row>
    <row r="827" customFormat="false" ht="23.85" hidden="false" customHeight="false" outlineLevel="0" collapsed="false">
      <c r="A827" s="6" t="s">
        <v>5015</v>
      </c>
      <c r="B827" s="6" t="s">
        <v>127</v>
      </c>
      <c r="C827" s="6" t="s">
        <v>5006</v>
      </c>
      <c r="D827" s="6" t="s">
        <v>1727</v>
      </c>
      <c r="E827" s="6" t="s">
        <v>1727</v>
      </c>
      <c r="F827" s="6" t="s">
        <v>1727</v>
      </c>
      <c r="G827" s="6" t="s">
        <v>507</v>
      </c>
      <c r="H827" s="6" t="s">
        <v>287</v>
      </c>
      <c r="I827" s="6" t="s">
        <v>4684</v>
      </c>
      <c r="J827" s="6" t="s">
        <v>5365</v>
      </c>
      <c r="K827" s="6" t="s">
        <v>4790</v>
      </c>
      <c r="L827" s="2" t="s">
        <v>6068</v>
      </c>
      <c r="M827" s="2"/>
      <c r="N827" s="9" t="s">
        <v>1731</v>
      </c>
      <c r="O827" s="6" t="s">
        <v>130</v>
      </c>
      <c r="P827" s="6" t="s">
        <v>106</v>
      </c>
      <c r="Q827" s="6" t="s">
        <v>5015</v>
      </c>
      <c r="R827" s="6" t="s">
        <v>5922</v>
      </c>
    </row>
    <row r="828" customFormat="false" ht="15" hidden="false" customHeight="false" outlineLevel="0" collapsed="false">
      <c r="A828" s="6" t="s">
        <v>5015</v>
      </c>
      <c r="B828" s="6" t="s">
        <v>127</v>
      </c>
      <c r="C828" s="6" t="s">
        <v>5016</v>
      </c>
      <c r="D828" s="6" t="s">
        <v>2872</v>
      </c>
      <c r="E828" s="6" t="s">
        <v>2872</v>
      </c>
      <c r="F828" s="6" t="s">
        <v>1120</v>
      </c>
      <c r="G828" s="6" t="s">
        <v>507</v>
      </c>
      <c r="H828" s="6" t="s">
        <v>287</v>
      </c>
      <c r="I828" s="6" t="s">
        <v>4680</v>
      </c>
      <c r="J828" s="6" t="s">
        <v>5365</v>
      </c>
      <c r="K828" s="6" t="s">
        <v>4790</v>
      </c>
      <c r="L828" s="2" t="s">
        <v>2873</v>
      </c>
      <c r="M828" s="2"/>
      <c r="N828" s="9" t="s">
        <v>2402</v>
      </c>
      <c r="O828" s="6" t="s">
        <v>97</v>
      </c>
      <c r="P828" s="6" t="s">
        <v>106</v>
      </c>
      <c r="Q828" s="6" t="s">
        <v>5015</v>
      </c>
      <c r="R828" s="6" t="s">
        <v>5886</v>
      </c>
    </row>
    <row r="829" customFormat="false" ht="23.85" hidden="false" customHeight="false" outlineLevel="0" collapsed="false">
      <c r="A829" s="6" t="s">
        <v>5015</v>
      </c>
      <c r="B829" s="6" t="s">
        <v>127</v>
      </c>
      <c r="C829" s="6" t="s">
        <v>5016</v>
      </c>
      <c r="D829" s="6" t="s">
        <v>4655</v>
      </c>
      <c r="E829" s="6" t="s">
        <v>6069</v>
      </c>
      <c r="F829" s="6" t="s">
        <v>4655</v>
      </c>
      <c r="G829" s="6" t="s">
        <v>182</v>
      </c>
      <c r="H829" s="6" t="s">
        <v>287</v>
      </c>
      <c r="I829" s="6" t="s">
        <v>4676</v>
      </c>
      <c r="J829" s="6" t="s">
        <v>5365</v>
      </c>
      <c r="K829" s="6" t="s">
        <v>4790</v>
      </c>
      <c r="L829" s="2" t="s">
        <v>6070</v>
      </c>
      <c r="M829" s="2" t="s">
        <v>1191</v>
      </c>
      <c r="N829" s="9" t="s">
        <v>1193</v>
      </c>
      <c r="O829" s="6" t="s">
        <v>332</v>
      </c>
      <c r="P829" s="6" t="s">
        <v>85</v>
      </c>
      <c r="Q829" s="6" t="s">
        <v>5015</v>
      </c>
      <c r="R829" s="6" t="s">
        <v>5886</v>
      </c>
    </row>
    <row r="830" customFormat="false" ht="15" hidden="false" customHeight="false" outlineLevel="0" collapsed="false">
      <c r="A830" s="6" t="s">
        <v>5015</v>
      </c>
      <c r="B830" s="6" t="s">
        <v>127</v>
      </c>
      <c r="C830" s="6" t="s">
        <v>5006</v>
      </c>
      <c r="D830" s="6" t="s">
        <v>810</v>
      </c>
      <c r="E830" s="6" t="s">
        <v>810</v>
      </c>
      <c r="F830" s="6" t="s">
        <v>811</v>
      </c>
      <c r="G830" s="6" t="s">
        <v>239</v>
      </c>
      <c r="H830" s="6" t="s">
        <v>287</v>
      </c>
      <c r="I830" s="6" t="s">
        <v>4676</v>
      </c>
      <c r="J830" s="6" t="s">
        <v>5365</v>
      </c>
      <c r="K830" s="6" t="s">
        <v>4790</v>
      </c>
      <c r="L830" s="2" t="s">
        <v>6071</v>
      </c>
      <c r="M830" s="2" t="s">
        <v>813</v>
      </c>
      <c r="N830" s="9" t="s">
        <v>815</v>
      </c>
      <c r="O830" s="6" t="s">
        <v>130</v>
      </c>
      <c r="P830" s="6" t="s">
        <v>106</v>
      </c>
      <c r="Q830" s="6" t="s">
        <v>5015</v>
      </c>
      <c r="R830" s="6" t="s">
        <v>5368</v>
      </c>
    </row>
    <row r="831" customFormat="false" ht="15" hidden="false" customHeight="false" outlineLevel="0" collapsed="false">
      <c r="A831" s="6" t="s">
        <v>5015</v>
      </c>
      <c r="B831" s="6" t="s">
        <v>127</v>
      </c>
      <c r="C831" s="6" t="s">
        <v>5006</v>
      </c>
      <c r="D831" s="6" t="s">
        <v>810</v>
      </c>
      <c r="E831" s="6" t="s">
        <v>810</v>
      </c>
      <c r="F831" s="6" t="s">
        <v>811</v>
      </c>
      <c r="G831" s="6" t="s">
        <v>239</v>
      </c>
      <c r="H831" s="6" t="s">
        <v>287</v>
      </c>
      <c r="I831" s="6" t="s">
        <v>4684</v>
      </c>
      <c r="J831" s="6" t="s">
        <v>5365</v>
      </c>
      <c r="K831" s="6" t="s">
        <v>4790</v>
      </c>
      <c r="L831" s="2" t="s">
        <v>814</v>
      </c>
      <c r="M831" s="2"/>
      <c r="N831" s="9" t="s">
        <v>816</v>
      </c>
      <c r="O831" s="6" t="s">
        <v>160</v>
      </c>
      <c r="P831" s="6" t="s">
        <v>106</v>
      </c>
      <c r="Q831" s="6" t="s">
        <v>5015</v>
      </c>
      <c r="R831" s="6" t="s">
        <v>5922</v>
      </c>
    </row>
    <row r="832" customFormat="false" ht="23.85" hidden="false" customHeight="false" outlineLevel="0" collapsed="false">
      <c r="A832" s="6" t="s">
        <v>5015</v>
      </c>
      <c r="B832" s="6" t="s">
        <v>127</v>
      </c>
      <c r="C832" s="6" t="s">
        <v>5016</v>
      </c>
      <c r="D832" s="6" t="s">
        <v>414</v>
      </c>
      <c r="E832" s="6" t="s">
        <v>414</v>
      </c>
      <c r="F832" s="6" t="s">
        <v>134</v>
      </c>
      <c r="G832" s="6" t="s">
        <v>76</v>
      </c>
      <c r="H832" s="6" t="s">
        <v>287</v>
      </c>
      <c r="I832" s="6" t="s">
        <v>4684</v>
      </c>
      <c r="J832" s="6" t="s">
        <v>5365</v>
      </c>
      <c r="K832" s="6" t="s">
        <v>4679</v>
      </c>
      <c r="L832" s="2" t="s">
        <v>6072</v>
      </c>
      <c r="M832" s="2" t="s">
        <v>6073</v>
      </c>
      <c r="N832" s="9" t="s">
        <v>2149</v>
      </c>
      <c r="O832" s="6" t="s">
        <v>97</v>
      </c>
      <c r="P832" s="6" t="s">
        <v>106</v>
      </c>
      <c r="Q832" s="6" t="s">
        <v>5015</v>
      </c>
      <c r="R832" s="6" t="s">
        <v>5886</v>
      </c>
    </row>
    <row r="833" customFormat="false" ht="23.85" hidden="false" customHeight="false" outlineLevel="0" collapsed="false">
      <c r="A833" s="6" t="s">
        <v>5015</v>
      </c>
      <c r="B833" s="6" t="s">
        <v>127</v>
      </c>
      <c r="C833" s="6" t="s">
        <v>5006</v>
      </c>
      <c r="D833" s="6" t="s">
        <v>414</v>
      </c>
      <c r="E833" s="6" t="s">
        <v>414</v>
      </c>
      <c r="F833" s="6" t="s">
        <v>134</v>
      </c>
      <c r="G833" s="6" t="s">
        <v>76</v>
      </c>
      <c r="H833" s="6" t="s">
        <v>287</v>
      </c>
      <c r="I833" s="6" t="s">
        <v>4706</v>
      </c>
      <c r="J833" s="6" t="s">
        <v>5365</v>
      </c>
      <c r="K833" s="6" t="s">
        <v>4679</v>
      </c>
      <c r="L833" s="2" t="s">
        <v>6074</v>
      </c>
      <c r="M833" s="2" t="s">
        <v>6075</v>
      </c>
      <c r="N833" s="9" t="s">
        <v>2149</v>
      </c>
      <c r="O833" s="6" t="s">
        <v>97</v>
      </c>
      <c r="P833" s="6" t="s">
        <v>106</v>
      </c>
      <c r="Q833" s="6" t="s">
        <v>5015</v>
      </c>
      <c r="R833" s="6" t="s">
        <v>5377</v>
      </c>
    </row>
    <row r="834" customFormat="false" ht="15" hidden="false" customHeight="false" outlineLevel="0" collapsed="false">
      <c r="A834" s="6" t="s">
        <v>5015</v>
      </c>
      <c r="B834" s="6" t="s">
        <v>127</v>
      </c>
      <c r="C834" s="6" t="s">
        <v>5016</v>
      </c>
      <c r="D834" s="6" t="s">
        <v>2146</v>
      </c>
      <c r="E834" s="6" t="s">
        <v>2146</v>
      </c>
      <c r="F834" s="6" t="s">
        <v>1987</v>
      </c>
      <c r="G834" s="6" t="s">
        <v>239</v>
      </c>
      <c r="H834" s="6" t="s">
        <v>287</v>
      </c>
      <c r="I834" s="6" t="s">
        <v>4684</v>
      </c>
      <c r="J834" s="6" t="s">
        <v>5365</v>
      </c>
      <c r="K834" s="6" t="s">
        <v>4679</v>
      </c>
      <c r="L834" s="2" t="s">
        <v>2148</v>
      </c>
      <c r="M834" s="2"/>
      <c r="N834" s="9" t="s">
        <v>2149</v>
      </c>
      <c r="O834" s="6" t="s">
        <v>97</v>
      </c>
      <c r="P834" s="6" t="s">
        <v>106</v>
      </c>
      <c r="Q834" s="6" t="s">
        <v>5015</v>
      </c>
      <c r="R834" s="6" t="s">
        <v>5886</v>
      </c>
    </row>
    <row r="835" customFormat="false" ht="23.85" hidden="false" customHeight="false" outlineLevel="0" collapsed="false">
      <c r="A835" s="6" t="s">
        <v>5015</v>
      </c>
      <c r="B835" s="6" t="s">
        <v>127</v>
      </c>
      <c r="C835" s="6" t="s">
        <v>5016</v>
      </c>
      <c r="D835" s="6" t="s">
        <v>3459</v>
      </c>
      <c r="E835" s="6" t="s">
        <v>3459</v>
      </c>
      <c r="F835" s="6" t="s">
        <v>3460</v>
      </c>
      <c r="G835" s="6" t="s">
        <v>1215</v>
      </c>
      <c r="H835" s="6" t="s">
        <v>287</v>
      </c>
      <c r="I835" s="6" t="s">
        <v>4684</v>
      </c>
      <c r="J835" s="6" t="s">
        <v>97</v>
      </c>
      <c r="K835" s="6" t="s">
        <v>4790</v>
      </c>
      <c r="L835" s="2" t="s">
        <v>3462</v>
      </c>
      <c r="M835" s="2"/>
      <c r="N835" s="9" t="s">
        <v>3463</v>
      </c>
      <c r="O835" s="6" t="s">
        <v>97</v>
      </c>
      <c r="P835" s="6" t="s">
        <v>106</v>
      </c>
      <c r="Q835" s="6" t="s">
        <v>5015</v>
      </c>
      <c r="R835" s="6" t="s">
        <v>5886</v>
      </c>
    </row>
    <row r="836" customFormat="false" ht="23.85" hidden="false" customHeight="false" outlineLevel="0" collapsed="false">
      <c r="A836" s="6" t="s">
        <v>5015</v>
      </c>
      <c r="B836" s="6" t="s">
        <v>127</v>
      </c>
      <c r="C836" s="6" t="s">
        <v>5016</v>
      </c>
      <c r="D836" s="6" t="s">
        <v>2398</v>
      </c>
      <c r="E836" s="6" t="s">
        <v>2398</v>
      </c>
      <c r="F836" s="6" t="s">
        <v>2169</v>
      </c>
      <c r="G836" s="6" t="s">
        <v>507</v>
      </c>
      <c r="H836" s="6" t="s">
        <v>287</v>
      </c>
      <c r="I836" s="6" t="s">
        <v>4680</v>
      </c>
      <c r="J836" s="6" t="s">
        <v>5365</v>
      </c>
      <c r="K836" s="6" t="s">
        <v>4790</v>
      </c>
      <c r="L836" s="2" t="s">
        <v>2401</v>
      </c>
      <c r="M836" s="2" t="s">
        <v>2400</v>
      </c>
      <c r="N836" s="9" t="s">
        <v>2402</v>
      </c>
      <c r="O836" s="6" t="s">
        <v>97</v>
      </c>
      <c r="P836" s="6" t="s">
        <v>106</v>
      </c>
      <c r="Q836" s="6" t="s">
        <v>5015</v>
      </c>
      <c r="R836" s="6" t="s">
        <v>5886</v>
      </c>
    </row>
    <row r="837" customFormat="false" ht="23.85" hidden="false" customHeight="false" outlineLevel="0" collapsed="false">
      <c r="A837" s="6" t="s">
        <v>5015</v>
      </c>
      <c r="B837" s="6" t="s">
        <v>127</v>
      </c>
      <c r="C837" s="6" t="s">
        <v>5016</v>
      </c>
      <c r="D837" s="6" t="s">
        <v>2354</v>
      </c>
      <c r="E837" s="6" t="s">
        <v>2354</v>
      </c>
      <c r="F837" s="6" t="s">
        <v>2169</v>
      </c>
      <c r="G837" s="6" t="s">
        <v>1644</v>
      </c>
      <c r="H837" s="6" t="s">
        <v>287</v>
      </c>
      <c r="I837" s="6" t="s">
        <v>4676</v>
      </c>
      <c r="J837" s="6" t="s">
        <v>5365</v>
      </c>
      <c r="K837" s="6" t="s">
        <v>4790</v>
      </c>
      <c r="L837" s="2" t="s">
        <v>2355</v>
      </c>
      <c r="M837" s="2" t="s">
        <v>1191</v>
      </c>
      <c r="N837" s="9" t="s">
        <v>1193</v>
      </c>
      <c r="O837" s="6" t="s">
        <v>332</v>
      </c>
      <c r="P837" s="6" t="s">
        <v>85</v>
      </c>
      <c r="Q837" s="6" t="s">
        <v>5015</v>
      </c>
      <c r="R837" s="6" t="s">
        <v>5886</v>
      </c>
    </row>
    <row r="838" customFormat="false" ht="23.85" hidden="false" customHeight="false" outlineLevel="0" collapsed="false">
      <c r="A838" s="6" t="s">
        <v>5015</v>
      </c>
      <c r="B838" s="6" t="s">
        <v>127</v>
      </c>
      <c r="C838" s="6" t="s">
        <v>5006</v>
      </c>
      <c r="D838" s="6" t="s">
        <v>3473</v>
      </c>
      <c r="E838" s="6" t="s">
        <v>3473</v>
      </c>
      <c r="F838" s="6" t="s">
        <v>3474</v>
      </c>
      <c r="G838" s="6" t="s">
        <v>1598</v>
      </c>
      <c r="H838" s="6" t="s">
        <v>287</v>
      </c>
      <c r="I838" s="6" t="s">
        <v>4684</v>
      </c>
      <c r="J838" s="6" t="s">
        <v>5365</v>
      </c>
      <c r="K838" s="6" t="s">
        <v>4790</v>
      </c>
      <c r="L838" s="2" t="s">
        <v>3476</v>
      </c>
      <c r="M838" s="2"/>
      <c r="N838" s="9" t="s">
        <v>3477</v>
      </c>
      <c r="O838" s="6" t="s">
        <v>123</v>
      </c>
      <c r="P838" s="6" t="s">
        <v>106</v>
      </c>
      <c r="Q838" s="6" t="s">
        <v>5015</v>
      </c>
      <c r="R838" s="6" t="s">
        <v>5922</v>
      </c>
    </row>
    <row r="839" customFormat="false" ht="23.85" hidden="false" customHeight="false" outlineLevel="0" collapsed="false">
      <c r="A839" s="6" t="s">
        <v>5015</v>
      </c>
      <c r="B839" s="6" t="s">
        <v>127</v>
      </c>
      <c r="C839" s="6" t="s">
        <v>5016</v>
      </c>
      <c r="D839" s="6" t="s">
        <v>3815</v>
      </c>
      <c r="E839" s="6" t="s">
        <v>6076</v>
      </c>
      <c r="F839" s="6" t="s">
        <v>2774</v>
      </c>
      <c r="G839" s="6" t="s">
        <v>3000</v>
      </c>
      <c r="H839" s="6" t="s">
        <v>1445</v>
      </c>
      <c r="I839" s="6" t="s">
        <v>4684</v>
      </c>
      <c r="J839" s="6" t="s">
        <v>160</v>
      </c>
      <c r="K839" s="6" t="s">
        <v>4790</v>
      </c>
      <c r="L839" s="2" t="s">
        <v>6077</v>
      </c>
      <c r="M839" s="2" t="s">
        <v>6078</v>
      </c>
      <c r="N839" s="9" t="s">
        <v>6079</v>
      </c>
      <c r="O839" s="6" t="s">
        <v>160</v>
      </c>
      <c r="P839" s="6" t="s">
        <v>106</v>
      </c>
      <c r="Q839" s="6" t="s">
        <v>5015</v>
      </c>
      <c r="R839" s="6" t="s">
        <v>5886</v>
      </c>
    </row>
    <row r="840" customFormat="false" ht="23.85" hidden="false" customHeight="false" outlineLevel="0" collapsed="false">
      <c r="A840" s="6" t="s">
        <v>5015</v>
      </c>
      <c r="B840" s="6" t="s">
        <v>127</v>
      </c>
      <c r="C840" s="6" t="s">
        <v>5016</v>
      </c>
      <c r="D840" s="6" t="s">
        <v>3822</v>
      </c>
      <c r="E840" s="6" t="s">
        <v>6080</v>
      </c>
      <c r="F840" s="6" t="s">
        <v>3823</v>
      </c>
      <c r="G840" s="6" t="s">
        <v>1598</v>
      </c>
      <c r="H840" s="6" t="s">
        <v>1445</v>
      </c>
      <c r="I840" s="6" t="s">
        <v>4680</v>
      </c>
      <c r="J840" s="6" t="s">
        <v>5365</v>
      </c>
      <c r="K840" s="6" t="s">
        <v>4790</v>
      </c>
      <c r="L840" s="2" t="s">
        <v>6081</v>
      </c>
      <c r="M840" s="2" t="s">
        <v>6082</v>
      </c>
      <c r="N840" s="9" t="s">
        <v>6083</v>
      </c>
      <c r="O840" s="6" t="s">
        <v>461</v>
      </c>
      <c r="P840" s="6" t="s">
        <v>106</v>
      </c>
      <c r="Q840" s="6" t="s">
        <v>5015</v>
      </c>
      <c r="R840" s="6" t="s">
        <v>5886</v>
      </c>
    </row>
    <row r="841" customFormat="false" ht="15" hidden="false" customHeight="false" outlineLevel="0" collapsed="false">
      <c r="A841" s="6" t="s">
        <v>5015</v>
      </c>
      <c r="B841" s="6" t="s">
        <v>127</v>
      </c>
      <c r="C841" s="6" t="s">
        <v>5016</v>
      </c>
      <c r="D841" s="6" t="s">
        <v>3837</v>
      </c>
      <c r="E841" s="6" t="s">
        <v>6084</v>
      </c>
      <c r="F841" s="6" t="s">
        <v>3838</v>
      </c>
      <c r="G841" s="6" t="s">
        <v>1598</v>
      </c>
      <c r="H841" s="6" t="s">
        <v>1445</v>
      </c>
      <c r="I841" s="6" t="s">
        <v>4680</v>
      </c>
      <c r="J841" s="6" t="s">
        <v>5365</v>
      </c>
      <c r="K841" s="6" t="s">
        <v>4790</v>
      </c>
      <c r="L841" s="2" t="s">
        <v>6085</v>
      </c>
      <c r="M841" s="2" t="s">
        <v>6086</v>
      </c>
      <c r="N841" s="9" t="s">
        <v>2402</v>
      </c>
      <c r="O841" s="6" t="s">
        <v>97</v>
      </c>
      <c r="P841" s="6" t="s">
        <v>106</v>
      </c>
      <c r="Q841" s="6" t="s">
        <v>5015</v>
      </c>
      <c r="R841" s="6" t="s">
        <v>5886</v>
      </c>
    </row>
    <row r="842" customFormat="false" ht="23.85" hidden="false" customHeight="false" outlineLevel="0" collapsed="false">
      <c r="A842" s="6" t="s">
        <v>5015</v>
      </c>
      <c r="B842" s="6" t="s">
        <v>127</v>
      </c>
      <c r="C842" s="6" t="s">
        <v>5016</v>
      </c>
      <c r="D842" s="6" t="s">
        <v>3616</v>
      </c>
      <c r="E842" s="6" t="s">
        <v>3616</v>
      </c>
      <c r="F842" s="6" t="s">
        <v>3617</v>
      </c>
      <c r="G842" s="6" t="s">
        <v>507</v>
      </c>
      <c r="H842" s="6" t="s">
        <v>1445</v>
      </c>
      <c r="I842" s="6" t="s">
        <v>4684</v>
      </c>
      <c r="J842" s="6" t="s">
        <v>5365</v>
      </c>
      <c r="K842" s="6" t="s">
        <v>4790</v>
      </c>
      <c r="L842" s="2" t="s">
        <v>3619</v>
      </c>
      <c r="M842" s="2" t="s">
        <v>3618</v>
      </c>
      <c r="N842" s="9" t="s">
        <v>3620</v>
      </c>
      <c r="O842" s="6" t="s">
        <v>511</v>
      </c>
      <c r="P842" s="6" t="s">
        <v>106</v>
      </c>
      <c r="Q842" s="6" t="s">
        <v>5015</v>
      </c>
      <c r="R842" s="6" t="s">
        <v>5886</v>
      </c>
    </row>
    <row r="843" customFormat="false" ht="23.85" hidden="false" customHeight="false" outlineLevel="0" collapsed="false">
      <c r="A843" s="6" t="s">
        <v>5015</v>
      </c>
      <c r="B843" s="6" t="s">
        <v>127</v>
      </c>
      <c r="C843" s="6" t="s">
        <v>5016</v>
      </c>
      <c r="D843" s="6" t="s">
        <v>3552</v>
      </c>
      <c r="E843" s="6" t="s">
        <v>3552</v>
      </c>
      <c r="F843" s="6" t="s">
        <v>3553</v>
      </c>
      <c r="G843" s="6" t="s">
        <v>1644</v>
      </c>
      <c r="H843" s="6" t="s">
        <v>1445</v>
      </c>
      <c r="I843" s="6" t="s">
        <v>4676</v>
      </c>
      <c r="J843" s="6" t="s">
        <v>5365</v>
      </c>
      <c r="K843" s="6" t="s">
        <v>4790</v>
      </c>
      <c r="L843" s="2" t="s">
        <v>3554</v>
      </c>
      <c r="M843" s="2" t="s">
        <v>1191</v>
      </c>
      <c r="N843" s="9" t="s">
        <v>1193</v>
      </c>
      <c r="O843" s="6" t="s">
        <v>332</v>
      </c>
      <c r="P843" s="6" t="s">
        <v>85</v>
      </c>
      <c r="Q843" s="6" t="s">
        <v>5015</v>
      </c>
      <c r="R843" s="6" t="s">
        <v>5886</v>
      </c>
    </row>
    <row r="844" customFormat="false" ht="15" hidden="false" customHeight="false" outlineLevel="0" collapsed="false">
      <c r="A844" s="6" t="s">
        <v>5015</v>
      </c>
      <c r="B844" s="6" t="s">
        <v>127</v>
      </c>
      <c r="C844" s="6" t="s">
        <v>5016</v>
      </c>
      <c r="D844" s="6" t="s">
        <v>4321</v>
      </c>
      <c r="E844" s="6" t="s">
        <v>6087</v>
      </c>
      <c r="F844" s="6" t="s">
        <v>4322</v>
      </c>
      <c r="G844" s="6" t="s">
        <v>1598</v>
      </c>
      <c r="H844" s="6" t="s">
        <v>1445</v>
      </c>
      <c r="I844" s="6" t="s">
        <v>4684</v>
      </c>
      <c r="J844" s="6" t="s">
        <v>5365</v>
      </c>
      <c r="K844" s="6" t="s">
        <v>4790</v>
      </c>
      <c r="L844" s="2" t="s">
        <v>4323</v>
      </c>
      <c r="M844" s="2"/>
      <c r="N844" s="9" t="s">
        <v>2402</v>
      </c>
      <c r="O844" s="6" t="s">
        <v>97</v>
      </c>
      <c r="P844" s="6" t="s">
        <v>106</v>
      </c>
      <c r="Q844" s="6" t="s">
        <v>5015</v>
      </c>
      <c r="R844" s="6" t="s">
        <v>5886</v>
      </c>
    </row>
    <row r="845" customFormat="false" ht="23.85" hidden="false" customHeight="false" outlineLevel="0" collapsed="false">
      <c r="A845" s="6" t="s">
        <v>5015</v>
      </c>
      <c r="B845" s="6" t="s">
        <v>127</v>
      </c>
      <c r="C845" s="6" t="s">
        <v>5016</v>
      </c>
      <c r="D845" s="6" t="s">
        <v>4325</v>
      </c>
      <c r="E845" s="6" t="s">
        <v>4325</v>
      </c>
      <c r="F845" s="6" t="s">
        <v>4326</v>
      </c>
      <c r="G845" s="6" t="s">
        <v>1598</v>
      </c>
      <c r="H845" s="6" t="s">
        <v>1445</v>
      </c>
      <c r="I845" s="6" t="s">
        <v>4706</v>
      </c>
      <c r="J845" s="6" t="s">
        <v>5365</v>
      </c>
      <c r="K845" s="6" t="s">
        <v>4790</v>
      </c>
      <c r="L845" s="2" t="s">
        <v>4327</v>
      </c>
      <c r="M845" s="2"/>
      <c r="N845" s="9" t="s">
        <v>2149</v>
      </c>
      <c r="O845" s="6" t="s">
        <v>97</v>
      </c>
      <c r="P845" s="6" t="s">
        <v>106</v>
      </c>
      <c r="Q845" s="6" t="s">
        <v>5015</v>
      </c>
      <c r="R845" s="6" t="s">
        <v>5886</v>
      </c>
    </row>
    <row r="846" customFormat="false" ht="23.85" hidden="false" customHeight="false" outlineLevel="0" collapsed="false">
      <c r="A846" s="6" t="s">
        <v>5015</v>
      </c>
      <c r="B846" s="6" t="s">
        <v>127</v>
      </c>
      <c r="C846" s="6" t="s">
        <v>5016</v>
      </c>
      <c r="D846" s="6" t="s">
        <v>3573</v>
      </c>
      <c r="E846" s="6" t="s">
        <v>3573</v>
      </c>
      <c r="F846" s="6" t="s">
        <v>3542</v>
      </c>
      <c r="G846" s="6" t="s">
        <v>1598</v>
      </c>
      <c r="H846" s="6" t="s">
        <v>1445</v>
      </c>
      <c r="I846" s="6" t="s">
        <v>4706</v>
      </c>
      <c r="J846" s="6" t="s">
        <v>5365</v>
      </c>
      <c r="K846" s="6" t="s">
        <v>4790</v>
      </c>
      <c r="L846" s="2" t="s">
        <v>3575</v>
      </c>
      <c r="M846" s="2" t="s">
        <v>1191</v>
      </c>
      <c r="N846" s="9" t="s">
        <v>1193</v>
      </c>
      <c r="O846" s="6" t="s">
        <v>332</v>
      </c>
      <c r="P846" s="6" t="s">
        <v>85</v>
      </c>
      <c r="Q846" s="6" t="s">
        <v>5015</v>
      </c>
      <c r="R846" s="6" t="s">
        <v>5886</v>
      </c>
    </row>
    <row r="847" customFormat="false" ht="23.85" hidden="false" customHeight="false" outlineLevel="0" collapsed="false">
      <c r="A847" s="6" t="s">
        <v>5015</v>
      </c>
      <c r="B847" s="6" t="s">
        <v>127</v>
      </c>
      <c r="C847" s="6" t="s">
        <v>5016</v>
      </c>
      <c r="D847" s="6" t="s">
        <v>4485</v>
      </c>
      <c r="E847" s="6" t="s">
        <v>4485</v>
      </c>
      <c r="F847" s="6" t="s">
        <v>4486</v>
      </c>
      <c r="G847" s="6" t="s">
        <v>1644</v>
      </c>
      <c r="H847" s="6" t="s">
        <v>1445</v>
      </c>
      <c r="I847" s="6" t="s">
        <v>4706</v>
      </c>
      <c r="J847" s="6" t="s">
        <v>2841</v>
      </c>
      <c r="K847" s="6" t="s">
        <v>4679</v>
      </c>
      <c r="L847" s="2" t="s">
        <v>4489</v>
      </c>
      <c r="M847" s="2" t="s">
        <v>4488</v>
      </c>
      <c r="N847" s="9" t="s">
        <v>4490</v>
      </c>
      <c r="O847" s="6" t="s">
        <v>2841</v>
      </c>
      <c r="P847" s="6" t="s">
        <v>106</v>
      </c>
      <c r="Q847" s="6" t="s">
        <v>5015</v>
      </c>
      <c r="R847" s="6" t="s">
        <v>5886</v>
      </c>
    </row>
    <row r="848" customFormat="false" ht="15" hidden="false" customHeight="false" outlineLevel="0" collapsed="false">
      <c r="A848" s="6" t="s">
        <v>5015</v>
      </c>
      <c r="B848" s="6" t="s">
        <v>127</v>
      </c>
      <c r="C848" s="6" t="s">
        <v>5016</v>
      </c>
      <c r="D848" s="6" t="s">
        <v>4591</v>
      </c>
      <c r="E848" s="6" t="s">
        <v>4591</v>
      </c>
      <c r="F848" s="6" t="s">
        <v>2169</v>
      </c>
      <c r="G848" s="6" t="s">
        <v>1583</v>
      </c>
      <c r="H848" s="6" t="s">
        <v>1445</v>
      </c>
      <c r="I848" s="6" t="s">
        <v>4684</v>
      </c>
      <c r="J848" s="6" t="s">
        <v>5365</v>
      </c>
      <c r="K848" s="6" t="s">
        <v>4790</v>
      </c>
      <c r="L848" s="2" t="s">
        <v>4592</v>
      </c>
      <c r="M848" s="2"/>
      <c r="N848" s="9" t="s">
        <v>2402</v>
      </c>
      <c r="O848" s="6" t="s">
        <v>97</v>
      </c>
      <c r="P848" s="6" t="s">
        <v>106</v>
      </c>
      <c r="Q848" s="6" t="s">
        <v>5015</v>
      </c>
      <c r="R848" s="6" t="s">
        <v>5886</v>
      </c>
    </row>
    <row r="849" customFormat="false" ht="15" hidden="false" customHeight="false" outlineLevel="0" collapsed="false">
      <c r="A849" s="6" t="s">
        <v>5093</v>
      </c>
      <c r="B849" s="6" t="s">
        <v>127</v>
      </c>
      <c r="C849" s="6" t="s">
        <v>5006</v>
      </c>
      <c r="D849" s="6" t="s">
        <v>2426</v>
      </c>
      <c r="E849" s="6" t="s">
        <v>2426</v>
      </c>
      <c r="F849" s="6" t="s">
        <v>2426</v>
      </c>
      <c r="G849" s="6" t="s">
        <v>182</v>
      </c>
      <c r="H849" s="6" t="s">
        <v>287</v>
      </c>
      <c r="I849" s="6" t="s">
        <v>4676</v>
      </c>
      <c r="J849" s="6" t="s">
        <v>308</v>
      </c>
      <c r="K849" s="6" t="s">
        <v>4675</v>
      </c>
      <c r="L849" s="2" t="s">
        <v>2428</v>
      </c>
      <c r="M849" s="2"/>
      <c r="N849" s="9" t="s">
        <v>2429</v>
      </c>
      <c r="O849" s="6" t="s">
        <v>308</v>
      </c>
      <c r="P849" s="6" t="s">
        <v>85</v>
      </c>
      <c r="Q849" s="6" t="s">
        <v>5093</v>
      </c>
      <c r="R849" s="6" t="s">
        <v>5886</v>
      </c>
    </row>
    <row r="850" customFormat="false" ht="46.25" hidden="false" customHeight="false" outlineLevel="0" collapsed="false">
      <c r="A850" s="6" t="s">
        <v>5093</v>
      </c>
      <c r="B850" s="6" t="s">
        <v>127</v>
      </c>
      <c r="C850" s="6" t="s">
        <v>5006</v>
      </c>
      <c r="D850" s="6" t="s">
        <v>344</v>
      </c>
      <c r="E850" s="6" t="s">
        <v>344</v>
      </c>
      <c r="F850" s="6" t="s">
        <v>345</v>
      </c>
      <c r="G850" s="6" t="s">
        <v>239</v>
      </c>
      <c r="H850" s="6" t="s">
        <v>287</v>
      </c>
      <c r="I850" s="6" t="s">
        <v>4706</v>
      </c>
      <c r="J850" s="6" t="s">
        <v>504</v>
      </c>
      <c r="K850" s="6" t="s">
        <v>4790</v>
      </c>
      <c r="L850" s="2" t="s">
        <v>6088</v>
      </c>
      <c r="M850" s="2" t="s">
        <v>6089</v>
      </c>
      <c r="N850" s="9" t="s">
        <v>349</v>
      </c>
      <c r="O850" s="6" t="s">
        <v>504</v>
      </c>
      <c r="P850" s="6" t="s">
        <v>85</v>
      </c>
      <c r="Q850" s="6" t="s">
        <v>5093</v>
      </c>
      <c r="R850" s="6" t="s">
        <v>5922</v>
      </c>
    </row>
    <row r="851" customFormat="false" ht="23.85" hidden="false" customHeight="false" outlineLevel="0" collapsed="false">
      <c r="A851" s="6" t="s">
        <v>5093</v>
      </c>
      <c r="B851" s="6" t="s">
        <v>127</v>
      </c>
      <c r="C851" s="6" t="s">
        <v>5006</v>
      </c>
      <c r="D851" s="6" t="s">
        <v>2911</v>
      </c>
      <c r="E851" s="6" t="s">
        <v>2911</v>
      </c>
      <c r="F851" s="6" t="s">
        <v>2912</v>
      </c>
      <c r="G851" s="6" t="s">
        <v>1127</v>
      </c>
      <c r="H851" s="6" t="s">
        <v>287</v>
      </c>
      <c r="I851" s="6" t="s">
        <v>4715</v>
      </c>
      <c r="J851" s="6" t="s">
        <v>178</v>
      </c>
      <c r="K851" s="6" t="s">
        <v>4675</v>
      </c>
      <c r="L851" s="2" t="s">
        <v>2915</v>
      </c>
      <c r="M851" s="2" t="s">
        <v>2914</v>
      </c>
      <c r="N851" s="9" t="s">
        <v>2916</v>
      </c>
      <c r="O851" s="6" t="s">
        <v>178</v>
      </c>
      <c r="P851" s="6" t="s">
        <v>85</v>
      </c>
      <c r="Q851" s="6" t="s">
        <v>5093</v>
      </c>
      <c r="R851" s="6" t="s">
        <v>5886</v>
      </c>
    </row>
    <row r="852" customFormat="false" ht="15" hidden="false" customHeight="false" outlineLevel="0" collapsed="false">
      <c r="A852" s="6" t="s">
        <v>5093</v>
      </c>
      <c r="B852" s="6" t="s">
        <v>127</v>
      </c>
      <c r="C852" s="6" t="s">
        <v>5006</v>
      </c>
      <c r="D852" s="6" t="s">
        <v>2576</v>
      </c>
      <c r="E852" s="6" t="s">
        <v>2576</v>
      </c>
      <c r="F852" s="6" t="s">
        <v>2576</v>
      </c>
      <c r="G852" s="6" t="s">
        <v>626</v>
      </c>
      <c r="H852" s="6" t="s">
        <v>287</v>
      </c>
      <c r="I852" s="6" t="s">
        <v>4706</v>
      </c>
      <c r="J852" s="6" t="s">
        <v>256</v>
      </c>
      <c r="K852" s="6" t="s">
        <v>4675</v>
      </c>
      <c r="L852" s="2" t="s">
        <v>2578</v>
      </c>
      <c r="M852" s="2"/>
      <c r="N852" s="9" t="s">
        <v>2579</v>
      </c>
      <c r="O852" s="6" t="s">
        <v>256</v>
      </c>
      <c r="P852" s="6" t="s">
        <v>85</v>
      </c>
      <c r="Q852" s="6" t="s">
        <v>5093</v>
      </c>
      <c r="R852" s="6" t="s">
        <v>5886</v>
      </c>
    </row>
    <row r="853" customFormat="false" ht="15" hidden="false" customHeight="false" outlineLevel="0" collapsed="false">
      <c r="A853" s="6" t="s">
        <v>5205</v>
      </c>
      <c r="B853" s="6" t="s">
        <v>127</v>
      </c>
      <c r="C853" s="6" t="s">
        <v>4682</v>
      </c>
      <c r="D853" s="6" t="s">
        <v>3755</v>
      </c>
      <c r="E853" s="6" t="s">
        <v>3755</v>
      </c>
      <c r="F853" s="6" t="s">
        <v>3755</v>
      </c>
      <c r="G853" s="6" t="s">
        <v>182</v>
      </c>
      <c r="H853" s="6" t="s">
        <v>1445</v>
      </c>
      <c r="I853" s="6" t="s">
        <v>4682</v>
      </c>
      <c r="J853" s="6" t="s">
        <v>3738</v>
      </c>
      <c r="K853" s="6" t="s">
        <v>4679</v>
      </c>
      <c r="L853" s="2" t="s">
        <v>3758</v>
      </c>
      <c r="M853" s="2" t="s">
        <v>3757</v>
      </c>
      <c r="N853" s="9" t="s">
        <v>3759</v>
      </c>
      <c r="O853" s="6" t="s">
        <v>3738</v>
      </c>
      <c r="P853" s="6" t="s">
        <v>106</v>
      </c>
      <c r="Q853" s="6" t="s">
        <v>5205</v>
      </c>
      <c r="R853" s="6" t="s">
        <v>5368</v>
      </c>
    </row>
    <row r="854" customFormat="false" ht="23.85" hidden="false" customHeight="false" outlineLevel="0" collapsed="false">
      <c r="A854" s="6" t="s">
        <v>5206</v>
      </c>
      <c r="B854" s="6" t="s">
        <v>127</v>
      </c>
      <c r="C854" s="6" t="s">
        <v>5016</v>
      </c>
      <c r="D854" s="6" t="s">
        <v>2086</v>
      </c>
      <c r="E854" s="6" t="s">
        <v>6090</v>
      </c>
      <c r="F854" s="6" t="s">
        <v>406</v>
      </c>
      <c r="G854" s="6" t="s">
        <v>239</v>
      </c>
      <c r="H854" s="6" t="s">
        <v>287</v>
      </c>
      <c r="I854" s="6" t="s">
        <v>4680</v>
      </c>
      <c r="J854" s="6" t="s">
        <v>5365</v>
      </c>
      <c r="K854" s="6" t="s">
        <v>4790</v>
      </c>
      <c r="L854" s="2" t="s">
        <v>2089</v>
      </c>
      <c r="M854" s="2" t="s">
        <v>2088</v>
      </c>
      <c r="N854" s="9" t="s">
        <v>2090</v>
      </c>
      <c r="O854" s="6" t="s">
        <v>281</v>
      </c>
      <c r="P854" s="6" t="s">
        <v>106</v>
      </c>
      <c r="Q854" s="6" t="s">
        <v>5206</v>
      </c>
      <c r="R854" s="6" t="s">
        <v>5368</v>
      </c>
    </row>
    <row r="855" customFormat="false" ht="15" hidden="false" customHeight="false" outlineLevel="0" collapsed="false">
      <c r="A855" s="6" t="s">
        <v>5095</v>
      </c>
      <c r="B855" s="6" t="s">
        <v>127</v>
      </c>
      <c r="C855" s="6" t="s">
        <v>5016</v>
      </c>
      <c r="D855" s="6" t="s">
        <v>2761</v>
      </c>
      <c r="E855" s="6" t="s">
        <v>2761</v>
      </c>
      <c r="F855" s="6" t="s">
        <v>2762</v>
      </c>
      <c r="G855" s="6" t="s">
        <v>1598</v>
      </c>
      <c r="H855" s="6" t="s">
        <v>287</v>
      </c>
      <c r="I855" s="6" t="s">
        <v>4684</v>
      </c>
      <c r="J855" s="6" t="s">
        <v>873</v>
      </c>
      <c r="K855" s="6" t="s">
        <v>4679</v>
      </c>
      <c r="L855" s="2" t="s">
        <v>2765</v>
      </c>
      <c r="M855" s="2" t="s">
        <v>2764</v>
      </c>
      <c r="N855" s="9" t="s">
        <v>2766</v>
      </c>
      <c r="O855" s="6" t="s">
        <v>873</v>
      </c>
      <c r="P855" s="6" t="s">
        <v>106</v>
      </c>
      <c r="Q855" s="6" t="s">
        <v>5095</v>
      </c>
      <c r="R855" s="6" t="s">
        <v>5922</v>
      </c>
    </row>
    <row r="856" customFormat="false" ht="23.85" hidden="false" customHeight="false" outlineLevel="0" collapsed="false">
      <c r="A856" s="6" t="s">
        <v>5095</v>
      </c>
      <c r="B856" s="6" t="s">
        <v>127</v>
      </c>
      <c r="C856" s="6" t="s">
        <v>5016</v>
      </c>
      <c r="D856" s="6" t="s">
        <v>2878</v>
      </c>
      <c r="E856" s="6" t="s">
        <v>2878</v>
      </c>
      <c r="F856" s="6" t="s">
        <v>2879</v>
      </c>
      <c r="G856" s="6" t="s">
        <v>1127</v>
      </c>
      <c r="H856" s="6" t="s">
        <v>287</v>
      </c>
      <c r="I856" s="6" t="s">
        <v>4684</v>
      </c>
      <c r="J856" s="6" t="s">
        <v>5490</v>
      </c>
      <c r="K856" s="6" t="s">
        <v>4679</v>
      </c>
      <c r="L856" s="2" t="s">
        <v>2882</v>
      </c>
      <c r="M856" s="2" t="s">
        <v>2881</v>
      </c>
      <c r="N856" s="9" t="s">
        <v>2883</v>
      </c>
      <c r="O856" s="6" t="s">
        <v>1401</v>
      </c>
      <c r="P856" s="6" t="s">
        <v>106</v>
      </c>
      <c r="Q856" s="6" t="s">
        <v>5095</v>
      </c>
      <c r="R856" s="6" t="s">
        <v>5922</v>
      </c>
    </row>
    <row r="857" customFormat="false" ht="23.85" hidden="false" customHeight="false" outlineLevel="0" collapsed="false">
      <c r="A857" s="6" t="s">
        <v>5095</v>
      </c>
      <c r="B857" s="6" t="s">
        <v>127</v>
      </c>
      <c r="C857" s="6" t="s">
        <v>5016</v>
      </c>
      <c r="D857" s="6" t="s">
        <v>4613</v>
      </c>
      <c r="E857" s="6" t="s">
        <v>6091</v>
      </c>
      <c r="F857" s="6" t="s">
        <v>6092</v>
      </c>
      <c r="G857" s="6" t="s">
        <v>2284</v>
      </c>
      <c r="H857" s="6" t="s">
        <v>1445</v>
      </c>
      <c r="I857" s="6" t="s">
        <v>4684</v>
      </c>
      <c r="J857" s="6" t="s">
        <v>5490</v>
      </c>
      <c r="K857" s="6" t="s">
        <v>4790</v>
      </c>
      <c r="L857" s="2" t="s">
        <v>6093</v>
      </c>
      <c r="M857" s="2" t="s">
        <v>6094</v>
      </c>
      <c r="N857" s="9" t="s">
        <v>2883</v>
      </c>
      <c r="O857" s="6" t="s">
        <v>84</v>
      </c>
      <c r="P857" s="6" t="s">
        <v>85</v>
      </c>
      <c r="Q857" s="6" t="s">
        <v>5095</v>
      </c>
      <c r="R857" s="6" t="s">
        <v>5922</v>
      </c>
    </row>
    <row r="858" customFormat="false" ht="15" hidden="false" customHeight="false" outlineLevel="0" collapsed="false">
      <c r="A858" s="6" t="s">
        <v>5095</v>
      </c>
      <c r="B858" s="6" t="s">
        <v>127</v>
      </c>
      <c r="C858" s="6" t="s">
        <v>5016</v>
      </c>
      <c r="D858" s="6" t="s">
        <v>4190</v>
      </c>
      <c r="E858" s="6" t="s">
        <v>4190</v>
      </c>
      <c r="F858" s="6" t="s">
        <v>3542</v>
      </c>
      <c r="G858" s="6" t="s">
        <v>1215</v>
      </c>
      <c r="H858" s="6" t="s">
        <v>1445</v>
      </c>
      <c r="I858" s="6" t="s">
        <v>4684</v>
      </c>
      <c r="J858" s="6" t="s">
        <v>1636</v>
      </c>
      <c r="K858" s="6" t="s">
        <v>4679</v>
      </c>
      <c r="L858" s="2" t="s">
        <v>4192</v>
      </c>
      <c r="M858" s="2"/>
      <c r="N858" s="9" t="s">
        <v>4193</v>
      </c>
      <c r="O858" s="6" t="s">
        <v>1636</v>
      </c>
      <c r="P858" s="6" t="s">
        <v>106</v>
      </c>
      <c r="Q858" s="6" t="s">
        <v>5095</v>
      </c>
      <c r="R858" s="6" t="s">
        <v>5922</v>
      </c>
    </row>
    <row r="859" customFormat="false" ht="23.85" hidden="false" customHeight="false" outlineLevel="0" collapsed="false">
      <c r="A859" s="6" t="s">
        <v>5047</v>
      </c>
      <c r="B859" s="6" t="s">
        <v>127</v>
      </c>
      <c r="C859" s="6" t="s">
        <v>5006</v>
      </c>
      <c r="D859" s="6" t="s">
        <v>1479</v>
      </c>
      <c r="E859" s="6" t="s">
        <v>1479</v>
      </c>
      <c r="F859" s="6" t="s">
        <v>5605</v>
      </c>
      <c r="G859" s="6" t="s">
        <v>153</v>
      </c>
      <c r="H859" s="6" t="s">
        <v>77</v>
      </c>
      <c r="I859" s="6" t="s">
        <v>4706</v>
      </c>
      <c r="J859" s="6" t="s">
        <v>5365</v>
      </c>
      <c r="K859" s="6" t="s">
        <v>4726</v>
      </c>
      <c r="L859" s="2" t="s">
        <v>6095</v>
      </c>
      <c r="M859" s="2" t="s">
        <v>6096</v>
      </c>
      <c r="N859" s="9" t="s">
        <v>1497</v>
      </c>
      <c r="O859" s="6" t="s">
        <v>97</v>
      </c>
      <c r="P859" s="6" t="s">
        <v>98</v>
      </c>
      <c r="Q859" s="6" t="s">
        <v>5047</v>
      </c>
      <c r="R859" s="6" t="s">
        <v>5886</v>
      </c>
    </row>
    <row r="860" customFormat="false" ht="15" hidden="false" customHeight="false" outlineLevel="0" collapsed="false">
      <c r="A860" s="6" t="s">
        <v>5047</v>
      </c>
      <c r="B860" s="6" t="s">
        <v>127</v>
      </c>
      <c r="C860" s="6" t="s">
        <v>5006</v>
      </c>
      <c r="D860" s="6" t="s">
        <v>1492</v>
      </c>
      <c r="E860" s="6" t="s">
        <v>1492</v>
      </c>
      <c r="F860" s="6" t="s">
        <v>1493</v>
      </c>
      <c r="G860" s="6" t="s">
        <v>164</v>
      </c>
      <c r="H860" s="6" t="s">
        <v>77</v>
      </c>
      <c r="I860" s="6" t="s">
        <v>4706</v>
      </c>
      <c r="J860" s="6" t="s">
        <v>5365</v>
      </c>
      <c r="K860" s="6" t="s">
        <v>4679</v>
      </c>
      <c r="L860" s="2" t="s">
        <v>1496</v>
      </c>
      <c r="M860" s="2" t="s">
        <v>1495</v>
      </c>
      <c r="N860" s="9" t="s">
        <v>1497</v>
      </c>
      <c r="O860" s="6" t="s">
        <v>97</v>
      </c>
      <c r="P860" s="6" t="s">
        <v>98</v>
      </c>
      <c r="Q860" s="6" t="s">
        <v>5047</v>
      </c>
      <c r="R860" s="6" t="s">
        <v>5886</v>
      </c>
    </row>
    <row r="861" customFormat="false" ht="15" hidden="false" customHeight="false" outlineLevel="0" collapsed="false">
      <c r="A861" s="6" t="s">
        <v>5047</v>
      </c>
      <c r="B861" s="6" t="s">
        <v>127</v>
      </c>
      <c r="C861" s="6" t="s">
        <v>5006</v>
      </c>
      <c r="D861" s="6" t="s">
        <v>1519</v>
      </c>
      <c r="E861" s="6" t="s">
        <v>1519</v>
      </c>
      <c r="F861" s="6" t="s">
        <v>1493</v>
      </c>
      <c r="G861" s="6" t="s">
        <v>164</v>
      </c>
      <c r="H861" s="6" t="s">
        <v>77</v>
      </c>
      <c r="I861" s="6" t="s">
        <v>4706</v>
      </c>
      <c r="J861" s="6" t="s">
        <v>5365</v>
      </c>
      <c r="K861" s="6" t="s">
        <v>4679</v>
      </c>
      <c r="L861" s="2" t="s">
        <v>1521</v>
      </c>
      <c r="M861" s="2" t="s">
        <v>1520</v>
      </c>
      <c r="N861" s="9" t="s">
        <v>1497</v>
      </c>
      <c r="O861" s="6" t="s">
        <v>97</v>
      </c>
      <c r="P861" s="6" t="s">
        <v>98</v>
      </c>
      <c r="Q861" s="6" t="s">
        <v>5047</v>
      </c>
      <c r="R861" s="6" t="s">
        <v>5886</v>
      </c>
    </row>
    <row r="862" customFormat="false" ht="23.85" hidden="false" customHeight="false" outlineLevel="0" collapsed="false">
      <c r="A862" s="6" t="s">
        <v>5047</v>
      </c>
      <c r="B862" s="6" t="s">
        <v>127</v>
      </c>
      <c r="C862" s="6" t="s">
        <v>5006</v>
      </c>
      <c r="D862" s="6" t="s">
        <v>2754</v>
      </c>
      <c r="E862" s="6" t="s">
        <v>6097</v>
      </c>
      <c r="F862" s="6" t="s">
        <v>2755</v>
      </c>
      <c r="G862" s="6" t="s">
        <v>1583</v>
      </c>
      <c r="H862" s="6" t="s">
        <v>287</v>
      </c>
      <c r="I862" s="6" t="s">
        <v>4676</v>
      </c>
      <c r="J862" s="6" t="s">
        <v>511</v>
      </c>
      <c r="K862" s="6" t="s">
        <v>4790</v>
      </c>
      <c r="L862" s="2" t="s">
        <v>6098</v>
      </c>
      <c r="M862" s="2" t="s">
        <v>2757</v>
      </c>
      <c r="N862" s="9" t="s">
        <v>2759</v>
      </c>
      <c r="O862" s="6" t="s">
        <v>511</v>
      </c>
      <c r="P862" s="6" t="s">
        <v>85</v>
      </c>
      <c r="Q862" s="6" t="s">
        <v>5047</v>
      </c>
      <c r="R862" s="6" t="s">
        <v>5922</v>
      </c>
    </row>
    <row r="863" customFormat="false" ht="15" hidden="false" customHeight="false" outlineLevel="0" collapsed="false">
      <c r="A863" s="6" t="s">
        <v>5047</v>
      </c>
      <c r="B863" s="6" t="s">
        <v>127</v>
      </c>
      <c r="C863" s="6" t="s">
        <v>5006</v>
      </c>
      <c r="D863" s="6" t="s">
        <v>1971</v>
      </c>
      <c r="E863" s="6" t="s">
        <v>1971</v>
      </c>
      <c r="F863" s="6" t="s">
        <v>1972</v>
      </c>
      <c r="G863" s="6" t="s">
        <v>239</v>
      </c>
      <c r="H863" s="6" t="s">
        <v>287</v>
      </c>
      <c r="I863" s="6" t="s">
        <v>4684</v>
      </c>
      <c r="J863" s="6" t="s">
        <v>5365</v>
      </c>
      <c r="K863" s="6" t="s">
        <v>4790</v>
      </c>
      <c r="L863" s="2" t="s">
        <v>1974</v>
      </c>
      <c r="M863" s="2"/>
      <c r="N863" s="9" t="s">
        <v>1975</v>
      </c>
      <c r="O863" s="6" t="s">
        <v>308</v>
      </c>
      <c r="P863" s="6" t="s">
        <v>85</v>
      </c>
      <c r="Q863" s="6" t="s">
        <v>5047</v>
      </c>
      <c r="R863" s="6" t="s">
        <v>5922</v>
      </c>
    </row>
    <row r="864" customFormat="false" ht="23.85" hidden="false" customHeight="false" outlineLevel="0" collapsed="false">
      <c r="A864" s="6" t="s">
        <v>5047</v>
      </c>
      <c r="B864" s="6" t="s">
        <v>127</v>
      </c>
      <c r="C864" s="6" t="s">
        <v>5006</v>
      </c>
      <c r="D864" s="6" t="s">
        <v>1971</v>
      </c>
      <c r="E864" s="6" t="s">
        <v>1971</v>
      </c>
      <c r="F864" s="6" t="s">
        <v>1971</v>
      </c>
      <c r="G864" s="6" t="s">
        <v>239</v>
      </c>
      <c r="H864" s="6" t="s">
        <v>287</v>
      </c>
      <c r="I864" s="6" t="s">
        <v>4680</v>
      </c>
      <c r="J864" s="6" t="s">
        <v>5365</v>
      </c>
      <c r="K864" s="6" t="s">
        <v>4790</v>
      </c>
      <c r="L864" s="2" t="s">
        <v>6099</v>
      </c>
      <c r="M864" s="2"/>
      <c r="N864" s="9" t="s">
        <v>1975</v>
      </c>
      <c r="O864" s="6" t="s">
        <v>308</v>
      </c>
      <c r="P864" s="6" t="s">
        <v>106</v>
      </c>
      <c r="Q864" s="6" t="s">
        <v>5047</v>
      </c>
      <c r="R864" s="6" t="s">
        <v>5886</v>
      </c>
    </row>
    <row r="865" customFormat="false" ht="15" hidden="false" customHeight="false" outlineLevel="0" collapsed="false">
      <c r="A865" s="6" t="s">
        <v>5047</v>
      </c>
      <c r="B865" s="6" t="s">
        <v>127</v>
      </c>
      <c r="C865" s="6" t="s">
        <v>5006</v>
      </c>
      <c r="D865" s="6" t="s">
        <v>1986</v>
      </c>
      <c r="E865" s="6" t="s">
        <v>1986</v>
      </c>
      <c r="F865" s="6" t="s">
        <v>1987</v>
      </c>
      <c r="G865" s="6" t="s">
        <v>239</v>
      </c>
      <c r="H865" s="6" t="s">
        <v>287</v>
      </c>
      <c r="I865" s="6" t="s">
        <v>4706</v>
      </c>
      <c r="J865" s="6" t="s">
        <v>5365</v>
      </c>
      <c r="K865" s="6" t="s">
        <v>4679</v>
      </c>
      <c r="L865" s="2" t="s">
        <v>1988</v>
      </c>
      <c r="M865" s="2"/>
      <c r="N865" s="9" t="s">
        <v>1989</v>
      </c>
      <c r="O865" s="6" t="s">
        <v>97</v>
      </c>
      <c r="P865" s="6" t="s">
        <v>106</v>
      </c>
      <c r="Q865" s="6" t="s">
        <v>5047</v>
      </c>
      <c r="R865" s="6" t="s">
        <v>5886</v>
      </c>
    </row>
    <row r="866" customFormat="false" ht="23.85" hidden="false" customHeight="false" outlineLevel="0" collapsed="false">
      <c r="A866" s="6" t="s">
        <v>5047</v>
      </c>
      <c r="B866" s="6" t="s">
        <v>127</v>
      </c>
      <c r="C866" s="6" t="s">
        <v>5006</v>
      </c>
      <c r="D866" s="6" t="s">
        <v>3299</v>
      </c>
      <c r="E866" s="6" t="s">
        <v>3299</v>
      </c>
      <c r="F866" s="6" t="s">
        <v>3300</v>
      </c>
      <c r="G866" s="6" t="s">
        <v>1215</v>
      </c>
      <c r="H866" s="6" t="s">
        <v>287</v>
      </c>
      <c r="I866" s="6" t="s">
        <v>4706</v>
      </c>
      <c r="J866" s="6" t="s">
        <v>5365</v>
      </c>
      <c r="K866" s="6" t="s">
        <v>4726</v>
      </c>
      <c r="L866" s="2" t="s">
        <v>6100</v>
      </c>
      <c r="M866" s="2" t="s">
        <v>6101</v>
      </c>
      <c r="N866" s="9" t="s">
        <v>1989</v>
      </c>
      <c r="O866" s="6" t="s">
        <v>97</v>
      </c>
      <c r="P866" s="6" t="s">
        <v>98</v>
      </c>
      <c r="Q866" s="6" t="s">
        <v>5047</v>
      </c>
      <c r="R866" s="6" t="s">
        <v>5886</v>
      </c>
    </row>
    <row r="867" customFormat="false" ht="15" hidden="false" customHeight="false" outlineLevel="0" collapsed="false">
      <c r="A867" s="6" t="s">
        <v>5047</v>
      </c>
      <c r="B867" s="6" t="s">
        <v>127</v>
      </c>
      <c r="C867" s="6" t="s">
        <v>5006</v>
      </c>
      <c r="D867" s="6" t="s">
        <v>2864</v>
      </c>
      <c r="E867" s="6" t="s">
        <v>2864</v>
      </c>
      <c r="F867" s="6" t="s">
        <v>2865</v>
      </c>
      <c r="G867" s="6" t="s">
        <v>507</v>
      </c>
      <c r="H867" s="6" t="s">
        <v>287</v>
      </c>
      <c r="I867" s="6" t="s">
        <v>4706</v>
      </c>
      <c r="J867" s="6" t="s">
        <v>5365</v>
      </c>
      <c r="K867" s="6" t="s">
        <v>4679</v>
      </c>
      <c r="L867" s="2" t="s">
        <v>2866</v>
      </c>
      <c r="M867" s="2"/>
      <c r="N867" s="9" t="s">
        <v>1989</v>
      </c>
      <c r="O867" s="6" t="s">
        <v>97</v>
      </c>
      <c r="P867" s="6" t="s">
        <v>106</v>
      </c>
      <c r="Q867" s="6" t="s">
        <v>5047</v>
      </c>
      <c r="R867" s="6" t="s">
        <v>5886</v>
      </c>
    </row>
    <row r="868" customFormat="false" ht="15" hidden="false" customHeight="false" outlineLevel="0" collapsed="false">
      <c r="A868" s="6" t="s">
        <v>5047</v>
      </c>
      <c r="B868" s="6" t="s">
        <v>127</v>
      </c>
      <c r="C868" s="6" t="s">
        <v>5006</v>
      </c>
      <c r="D868" s="6" t="s">
        <v>2154</v>
      </c>
      <c r="E868" s="6" t="s">
        <v>2154</v>
      </c>
      <c r="F868" s="6" t="s">
        <v>2155</v>
      </c>
      <c r="G868" s="6" t="s">
        <v>239</v>
      </c>
      <c r="H868" s="6" t="s">
        <v>287</v>
      </c>
      <c r="I868" s="6" t="s">
        <v>4706</v>
      </c>
      <c r="J868" s="6" t="s">
        <v>5365</v>
      </c>
      <c r="K868" s="6" t="s">
        <v>4679</v>
      </c>
      <c r="L868" s="2" t="s">
        <v>2156</v>
      </c>
      <c r="M868" s="2"/>
      <c r="N868" s="9" t="s">
        <v>1989</v>
      </c>
      <c r="O868" s="6" t="s">
        <v>97</v>
      </c>
      <c r="P868" s="6" t="s">
        <v>106</v>
      </c>
      <c r="Q868" s="6" t="s">
        <v>5047</v>
      </c>
      <c r="R868" s="6" t="s">
        <v>5886</v>
      </c>
    </row>
    <row r="869" customFormat="false" ht="15" hidden="false" customHeight="false" outlineLevel="0" collapsed="false">
      <c r="A869" s="6" t="s">
        <v>5047</v>
      </c>
      <c r="B869" s="6" t="s">
        <v>127</v>
      </c>
      <c r="C869" s="6" t="s">
        <v>5006</v>
      </c>
      <c r="D869" s="6" t="s">
        <v>2930</v>
      </c>
      <c r="E869" s="6" t="s">
        <v>2930</v>
      </c>
      <c r="F869" s="6" t="s">
        <v>2931</v>
      </c>
      <c r="G869" s="6" t="s">
        <v>1127</v>
      </c>
      <c r="H869" s="6" t="s">
        <v>287</v>
      </c>
      <c r="I869" s="6" t="s">
        <v>4706</v>
      </c>
      <c r="J869" s="6" t="s">
        <v>5365</v>
      </c>
      <c r="K869" s="6" t="s">
        <v>4679</v>
      </c>
      <c r="L869" s="2" t="s">
        <v>2932</v>
      </c>
      <c r="M869" s="2"/>
      <c r="N869" s="9" t="s">
        <v>1989</v>
      </c>
      <c r="O869" s="6" t="s">
        <v>97</v>
      </c>
      <c r="P869" s="6" t="s">
        <v>106</v>
      </c>
      <c r="Q869" s="6" t="s">
        <v>5047</v>
      </c>
      <c r="R869" s="6" t="s">
        <v>5886</v>
      </c>
    </row>
    <row r="870" customFormat="false" ht="23.85" hidden="false" customHeight="false" outlineLevel="0" collapsed="false">
      <c r="A870" s="6" t="s">
        <v>4712</v>
      </c>
      <c r="B870" s="6" t="s">
        <v>127</v>
      </c>
      <c r="C870" s="6" t="s">
        <v>5006</v>
      </c>
      <c r="D870" s="6" t="s">
        <v>3219</v>
      </c>
      <c r="E870" s="6" t="s">
        <v>3219</v>
      </c>
      <c r="F870" s="6" t="s">
        <v>3220</v>
      </c>
      <c r="G870" s="6" t="s">
        <v>1583</v>
      </c>
      <c r="H870" s="6" t="s">
        <v>287</v>
      </c>
      <c r="I870" s="6" t="s">
        <v>5617</v>
      </c>
      <c r="J870" s="6" t="s">
        <v>5365</v>
      </c>
      <c r="K870" s="6" t="s">
        <v>4790</v>
      </c>
      <c r="L870" s="2" t="s">
        <v>3222</v>
      </c>
      <c r="M870" s="2"/>
      <c r="N870" s="9" t="s">
        <v>3223</v>
      </c>
      <c r="O870" s="6" t="s">
        <v>143</v>
      </c>
      <c r="P870" s="6" t="s">
        <v>106</v>
      </c>
      <c r="Q870" s="6" t="s">
        <v>4712</v>
      </c>
      <c r="R870" s="6" t="s">
        <v>5886</v>
      </c>
    </row>
    <row r="871" customFormat="false" ht="23.85" hidden="false" customHeight="false" outlineLevel="0" collapsed="false">
      <c r="A871" s="6" t="s">
        <v>4712</v>
      </c>
      <c r="B871" s="6" t="s">
        <v>127</v>
      </c>
      <c r="C871" s="6" t="s">
        <v>5006</v>
      </c>
      <c r="D871" s="6" t="s">
        <v>1498</v>
      </c>
      <c r="E871" s="6" t="s">
        <v>6102</v>
      </c>
      <c r="F871" s="6" t="s">
        <v>1499</v>
      </c>
      <c r="G871" s="6" t="s">
        <v>164</v>
      </c>
      <c r="H871" s="6" t="s">
        <v>287</v>
      </c>
      <c r="I871" s="6" t="s">
        <v>4706</v>
      </c>
      <c r="J871" s="6" t="s">
        <v>160</v>
      </c>
      <c r="K871" s="6" t="s">
        <v>4675</v>
      </c>
      <c r="L871" s="2" t="s">
        <v>4713</v>
      </c>
      <c r="M871" s="2" t="s">
        <v>4711</v>
      </c>
      <c r="N871" s="9" t="s">
        <v>1506</v>
      </c>
      <c r="O871" s="6" t="s">
        <v>160</v>
      </c>
      <c r="P871" s="6" t="s">
        <v>85</v>
      </c>
      <c r="Q871" s="6" t="s">
        <v>4712</v>
      </c>
      <c r="R871" s="6" t="s">
        <v>5433</v>
      </c>
    </row>
    <row r="872" customFormat="false" ht="23.85" hidden="false" customHeight="false" outlineLevel="0" collapsed="false">
      <c r="A872" s="6" t="s">
        <v>4712</v>
      </c>
      <c r="B872" s="6" t="s">
        <v>127</v>
      </c>
      <c r="C872" s="6" t="s">
        <v>5006</v>
      </c>
      <c r="D872" s="6" t="s">
        <v>1498</v>
      </c>
      <c r="E872" s="6" t="s">
        <v>6103</v>
      </c>
      <c r="F872" s="6" t="s">
        <v>6104</v>
      </c>
      <c r="G872" s="6" t="s">
        <v>164</v>
      </c>
      <c r="H872" s="6" t="s">
        <v>287</v>
      </c>
      <c r="I872" s="6" t="s">
        <v>4676</v>
      </c>
      <c r="J872" s="6" t="s">
        <v>160</v>
      </c>
      <c r="K872" s="6" t="s">
        <v>4675</v>
      </c>
      <c r="L872" s="2" t="s">
        <v>6105</v>
      </c>
      <c r="M872" s="2" t="s">
        <v>6106</v>
      </c>
      <c r="N872" s="9" t="s">
        <v>1506</v>
      </c>
      <c r="O872" s="6" t="s">
        <v>160</v>
      </c>
      <c r="P872" s="6" t="s">
        <v>85</v>
      </c>
      <c r="Q872" s="6" t="s">
        <v>4712</v>
      </c>
      <c r="R872" s="6" t="s">
        <v>5922</v>
      </c>
    </row>
    <row r="873" customFormat="false" ht="15" hidden="false" customHeight="false" outlineLevel="0" collapsed="false">
      <c r="A873" s="6" t="s">
        <v>4712</v>
      </c>
      <c r="B873" s="6" t="s">
        <v>127</v>
      </c>
      <c r="C873" s="6" t="s">
        <v>5006</v>
      </c>
      <c r="D873" s="6" t="s">
        <v>1151</v>
      </c>
      <c r="E873" s="6" t="s">
        <v>5779</v>
      </c>
      <c r="F873" s="6" t="s">
        <v>2169</v>
      </c>
      <c r="G873" s="6" t="s">
        <v>507</v>
      </c>
      <c r="H873" s="6" t="s">
        <v>287</v>
      </c>
      <c r="I873" s="6" t="s">
        <v>4706</v>
      </c>
      <c r="J873" s="6" t="s">
        <v>4071</v>
      </c>
      <c r="K873" s="6" t="s">
        <v>4679</v>
      </c>
      <c r="L873" s="2" t="s">
        <v>6107</v>
      </c>
      <c r="M873" s="2" t="s">
        <v>6108</v>
      </c>
      <c r="N873" s="9" t="s">
        <v>1156</v>
      </c>
      <c r="O873" s="6" t="s">
        <v>4071</v>
      </c>
      <c r="P873" s="6" t="s">
        <v>106</v>
      </c>
      <c r="Q873" s="6" t="s">
        <v>4712</v>
      </c>
      <c r="R873" s="6" t="s">
        <v>5886</v>
      </c>
    </row>
    <row r="874" customFormat="false" ht="15" hidden="false" customHeight="false" outlineLevel="0" collapsed="false">
      <c r="A874" s="6" t="s">
        <v>4712</v>
      </c>
      <c r="B874" s="6" t="s">
        <v>127</v>
      </c>
      <c r="C874" s="6" t="s">
        <v>5006</v>
      </c>
      <c r="D874" s="6" t="s">
        <v>2210</v>
      </c>
      <c r="E874" s="6" t="s">
        <v>2210</v>
      </c>
      <c r="F874" s="6" t="s">
        <v>811</v>
      </c>
      <c r="G874" s="6" t="s">
        <v>239</v>
      </c>
      <c r="H874" s="6" t="s">
        <v>287</v>
      </c>
      <c r="I874" s="6" t="s">
        <v>4706</v>
      </c>
      <c r="J874" s="6" t="s">
        <v>2214</v>
      </c>
      <c r="K874" s="6" t="s">
        <v>4679</v>
      </c>
      <c r="L874" s="2" t="s">
        <v>2213</v>
      </c>
      <c r="M874" s="2" t="s">
        <v>2212</v>
      </c>
      <c r="N874" s="9" t="s">
        <v>2215</v>
      </c>
      <c r="O874" s="6" t="s">
        <v>2214</v>
      </c>
      <c r="P874" s="6" t="s">
        <v>106</v>
      </c>
      <c r="Q874" s="6" t="s">
        <v>4712</v>
      </c>
      <c r="R874" s="6" t="s">
        <v>5368</v>
      </c>
    </row>
    <row r="875" customFormat="false" ht="23.85" hidden="false" customHeight="false" outlineLevel="0" collapsed="false">
      <c r="A875" s="6" t="s">
        <v>4712</v>
      </c>
      <c r="B875" s="6" t="s">
        <v>127</v>
      </c>
      <c r="C875" s="6" t="s">
        <v>5006</v>
      </c>
      <c r="D875" s="6" t="s">
        <v>4034</v>
      </c>
      <c r="E875" s="6" t="s">
        <v>4034</v>
      </c>
      <c r="F875" s="6" t="s">
        <v>2774</v>
      </c>
      <c r="G875" s="6" t="s">
        <v>3000</v>
      </c>
      <c r="H875" s="6" t="s">
        <v>1445</v>
      </c>
      <c r="I875" s="6" t="s">
        <v>4680</v>
      </c>
      <c r="J875" s="6" t="s">
        <v>5365</v>
      </c>
      <c r="K875" s="6" t="s">
        <v>4790</v>
      </c>
      <c r="L875" s="2" t="s">
        <v>4036</v>
      </c>
      <c r="M875" s="2"/>
      <c r="N875" s="9" t="s">
        <v>4037</v>
      </c>
      <c r="O875" s="6" t="s">
        <v>160</v>
      </c>
      <c r="P875" s="6" t="s">
        <v>106</v>
      </c>
      <c r="Q875" s="6" t="s">
        <v>4712</v>
      </c>
      <c r="R875" s="6" t="s">
        <v>5886</v>
      </c>
    </row>
    <row r="876" customFormat="false" ht="23.85" hidden="false" customHeight="false" outlineLevel="0" collapsed="false">
      <c r="A876" s="6" t="s">
        <v>4712</v>
      </c>
      <c r="B876" s="6" t="s">
        <v>127</v>
      </c>
      <c r="C876" s="6" t="s">
        <v>5006</v>
      </c>
      <c r="D876" s="6" t="s">
        <v>3507</v>
      </c>
      <c r="E876" s="6" t="s">
        <v>3507</v>
      </c>
      <c r="F876" s="6" t="s">
        <v>3507</v>
      </c>
      <c r="G876" s="6" t="s">
        <v>1598</v>
      </c>
      <c r="H876" s="6" t="s">
        <v>1445</v>
      </c>
      <c r="I876" s="6" t="s">
        <v>4676</v>
      </c>
      <c r="J876" s="6" t="s">
        <v>511</v>
      </c>
      <c r="K876" s="6" t="s">
        <v>4726</v>
      </c>
      <c r="L876" s="2" t="s">
        <v>6109</v>
      </c>
      <c r="M876" s="2" t="s">
        <v>6110</v>
      </c>
      <c r="N876" s="9" t="s">
        <v>3512</v>
      </c>
      <c r="O876" s="6" t="s">
        <v>511</v>
      </c>
      <c r="P876" s="6" t="s">
        <v>85</v>
      </c>
      <c r="Q876" s="6" t="s">
        <v>4712</v>
      </c>
      <c r="R876" s="6" t="s">
        <v>5886</v>
      </c>
    </row>
    <row r="877" customFormat="false" ht="15" hidden="false" customHeight="false" outlineLevel="0" collapsed="false">
      <c r="A877" s="6" t="s">
        <v>4712</v>
      </c>
      <c r="B877" s="6" t="s">
        <v>127</v>
      </c>
      <c r="C877" s="6" t="s">
        <v>5006</v>
      </c>
      <c r="D877" s="6" t="s">
        <v>3179</v>
      </c>
      <c r="E877" s="6" t="s">
        <v>3179</v>
      </c>
      <c r="F877" s="6" t="s">
        <v>3179</v>
      </c>
      <c r="G877" s="6" t="s">
        <v>239</v>
      </c>
      <c r="H877" s="6" t="s">
        <v>1445</v>
      </c>
      <c r="I877" s="6" t="s">
        <v>4706</v>
      </c>
      <c r="J877" s="6" t="s">
        <v>5365</v>
      </c>
      <c r="K877" s="6" t="s">
        <v>4790</v>
      </c>
      <c r="L877" s="2" t="s">
        <v>3181</v>
      </c>
      <c r="M877" s="2"/>
      <c r="N877" s="9" t="s">
        <v>3182</v>
      </c>
      <c r="O877" s="6" t="s">
        <v>389</v>
      </c>
      <c r="P877" s="6" t="s">
        <v>106</v>
      </c>
      <c r="Q877" s="6" t="s">
        <v>4712</v>
      </c>
      <c r="R877" s="6" t="s">
        <v>5886</v>
      </c>
    </row>
    <row r="878" customFormat="false" ht="15" hidden="false" customHeight="false" outlineLevel="0" collapsed="false">
      <c r="A878" s="6" t="s">
        <v>4712</v>
      </c>
      <c r="B878" s="6" t="s">
        <v>127</v>
      </c>
      <c r="C878" s="6" t="s">
        <v>5006</v>
      </c>
      <c r="D878" s="6" t="s">
        <v>4372</v>
      </c>
      <c r="E878" s="6" t="s">
        <v>4372</v>
      </c>
      <c r="F878" s="6" t="s">
        <v>4373</v>
      </c>
      <c r="G878" s="6" t="s">
        <v>1215</v>
      </c>
      <c r="H878" s="6" t="s">
        <v>1445</v>
      </c>
      <c r="I878" s="6" t="s">
        <v>4676</v>
      </c>
      <c r="J878" s="6" t="s">
        <v>517</v>
      </c>
      <c r="K878" s="6" t="s">
        <v>4790</v>
      </c>
      <c r="L878" s="2" t="s">
        <v>4375</v>
      </c>
      <c r="M878" s="2"/>
      <c r="N878" s="9" t="s">
        <v>4376</v>
      </c>
      <c r="O878" s="6" t="s">
        <v>517</v>
      </c>
      <c r="P878" s="6" t="s">
        <v>85</v>
      </c>
      <c r="Q878" s="6" t="s">
        <v>4712</v>
      </c>
      <c r="R878" s="6" t="s">
        <v>5922</v>
      </c>
    </row>
    <row r="879" customFormat="false" ht="23.85" hidden="false" customHeight="false" outlineLevel="0" collapsed="false">
      <c r="A879" s="6" t="s">
        <v>5207</v>
      </c>
      <c r="B879" s="6" t="s">
        <v>127</v>
      </c>
      <c r="C879" s="6" t="s">
        <v>5006</v>
      </c>
      <c r="D879" s="6" t="s">
        <v>2811</v>
      </c>
      <c r="E879" s="6" t="s">
        <v>2811</v>
      </c>
      <c r="F879" s="6" t="s">
        <v>2812</v>
      </c>
      <c r="G879" s="6" t="s">
        <v>1127</v>
      </c>
      <c r="H879" s="6" t="s">
        <v>287</v>
      </c>
      <c r="I879" s="6" t="s">
        <v>4680</v>
      </c>
      <c r="J879" s="6" t="s">
        <v>517</v>
      </c>
      <c r="K879" s="6" t="s">
        <v>4790</v>
      </c>
      <c r="L879" s="2" t="s">
        <v>2814</v>
      </c>
      <c r="M879" s="2"/>
      <c r="N879" s="9" t="s">
        <v>2815</v>
      </c>
      <c r="O879" s="6" t="s">
        <v>517</v>
      </c>
      <c r="P879" s="6" t="s">
        <v>85</v>
      </c>
      <c r="Q879" s="6" t="s">
        <v>5207</v>
      </c>
      <c r="R879" s="6" t="s">
        <v>5886</v>
      </c>
    </row>
    <row r="880" customFormat="false" ht="15" hidden="false" customHeight="false" outlineLevel="0" collapsed="false">
      <c r="A880" s="6" t="s">
        <v>5124</v>
      </c>
      <c r="B880" s="6" t="s">
        <v>127</v>
      </c>
      <c r="C880" s="6" t="s">
        <v>5006</v>
      </c>
      <c r="D880" s="6" t="s">
        <v>2551</v>
      </c>
      <c r="E880" s="6" t="s">
        <v>2551</v>
      </c>
      <c r="F880" s="6" t="s">
        <v>2551</v>
      </c>
      <c r="G880" s="6" t="s">
        <v>182</v>
      </c>
      <c r="H880" s="6" t="s">
        <v>287</v>
      </c>
      <c r="I880" s="6" t="s">
        <v>4676</v>
      </c>
      <c r="J880" s="6" t="s">
        <v>383</v>
      </c>
      <c r="K880" s="6" t="s">
        <v>4679</v>
      </c>
      <c r="L880" s="2" t="s">
        <v>2553</v>
      </c>
      <c r="M880" s="2"/>
      <c r="N880" s="9" t="s">
        <v>2554</v>
      </c>
      <c r="O880" s="6" t="s">
        <v>383</v>
      </c>
      <c r="P880" s="6" t="s">
        <v>85</v>
      </c>
      <c r="Q880" s="6" t="s">
        <v>5124</v>
      </c>
      <c r="R880" s="6" t="s">
        <v>5886</v>
      </c>
    </row>
    <row r="881" customFormat="false" ht="15" hidden="false" customHeight="false" outlineLevel="0" collapsed="false">
      <c r="A881" s="6" t="s">
        <v>5124</v>
      </c>
      <c r="B881" s="6" t="s">
        <v>127</v>
      </c>
      <c r="C881" s="6" t="s">
        <v>5006</v>
      </c>
      <c r="D881" s="6" t="s">
        <v>3501</v>
      </c>
      <c r="E881" s="6" t="s">
        <v>6111</v>
      </c>
      <c r="F881" s="6" t="s">
        <v>3501</v>
      </c>
      <c r="G881" s="6" t="s">
        <v>1583</v>
      </c>
      <c r="H881" s="6" t="s">
        <v>287</v>
      </c>
      <c r="I881" s="6" t="s">
        <v>4684</v>
      </c>
      <c r="J881" s="6" t="s">
        <v>97</v>
      </c>
      <c r="K881" s="6" t="s">
        <v>4675</v>
      </c>
      <c r="L881" s="2" t="s">
        <v>6112</v>
      </c>
      <c r="M881" s="2" t="s">
        <v>6113</v>
      </c>
      <c r="N881" s="9" t="s">
        <v>6114</v>
      </c>
      <c r="O881" s="6" t="s">
        <v>97</v>
      </c>
      <c r="P881" s="6" t="s">
        <v>85</v>
      </c>
      <c r="Q881" s="6" t="s">
        <v>5124</v>
      </c>
      <c r="R881" s="6" t="s">
        <v>5886</v>
      </c>
    </row>
    <row r="882" customFormat="false" ht="23.85" hidden="false" customHeight="false" outlineLevel="0" collapsed="false">
      <c r="A882" s="6" t="s">
        <v>5124</v>
      </c>
      <c r="B882" s="6" t="s">
        <v>127</v>
      </c>
      <c r="C882" s="6" t="s">
        <v>5006</v>
      </c>
      <c r="D882" s="6" t="s">
        <v>4201</v>
      </c>
      <c r="E882" s="6" t="s">
        <v>4201</v>
      </c>
      <c r="F882" s="6" t="s">
        <v>4202</v>
      </c>
      <c r="G882" s="6" t="s">
        <v>2312</v>
      </c>
      <c r="H882" s="6" t="s">
        <v>1445</v>
      </c>
      <c r="I882" s="6" t="s">
        <v>4680</v>
      </c>
      <c r="J882" s="6" t="s">
        <v>97</v>
      </c>
      <c r="K882" s="6" t="s">
        <v>4675</v>
      </c>
      <c r="L882" s="2" t="s">
        <v>4204</v>
      </c>
      <c r="M882" s="2"/>
      <c r="N882" s="9" t="s">
        <v>4205</v>
      </c>
      <c r="O882" s="6" t="s">
        <v>97</v>
      </c>
      <c r="P882" s="6" t="s">
        <v>106</v>
      </c>
      <c r="Q882" s="6" t="s">
        <v>5124</v>
      </c>
      <c r="R882" s="6" t="s">
        <v>5886</v>
      </c>
    </row>
    <row r="883" customFormat="false" ht="15" hidden="false" customHeight="false" outlineLevel="0" collapsed="false">
      <c r="A883" s="6" t="s">
        <v>5208</v>
      </c>
      <c r="B883" s="6" t="s">
        <v>127</v>
      </c>
      <c r="C883" s="6" t="s">
        <v>5016</v>
      </c>
      <c r="D883" s="6" t="s">
        <v>1001</v>
      </c>
      <c r="E883" s="6" t="s">
        <v>6115</v>
      </c>
      <c r="F883" s="6" t="s">
        <v>1002</v>
      </c>
      <c r="G883" s="6" t="s">
        <v>239</v>
      </c>
      <c r="H883" s="6" t="s">
        <v>77</v>
      </c>
      <c r="I883" s="6" t="s">
        <v>4684</v>
      </c>
      <c r="J883" s="6" t="s">
        <v>389</v>
      </c>
      <c r="K883" s="6" t="s">
        <v>4675</v>
      </c>
      <c r="L883" s="2" t="s">
        <v>1004</v>
      </c>
      <c r="M883" s="2"/>
      <c r="N883" s="9" t="s">
        <v>1005</v>
      </c>
      <c r="O883" s="6" t="s">
        <v>389</v>
      </c>
      <c r="P883" s="6" t="s">
        <v>85</v>
      </c>
      <c r="Q883" s="6" t="s">
        <v>5208</v>
      </c>
      <c r="R883" s="6" t="s">
        <v>5922</v>
      </c>
    </row>
    <row r="884" customFormat="false" ht="79.85" hidden="false" customHeight="false" outlineLevel="0" collapsed="false">
      <c r="A884" s="6" t="s">
        <v>4714</v>
      </c>
      <c r="B884" s="6" t="s">
        <v>127</v>
      </c>
      <c r="C884" s="6" t="s">
        <v>5006</v>
      </c>
      <c r="D884" s="6" t="s">
        <v>195</v>
      </c>
      <c r="E884" s="6" t="s">
        <v>195</v>
      </c>
      <c r="F884" s="6" t="s">
        <v>154</v>
      </c>
      <c r="G884" s="6" t="s">
        <v>153</v>
      </c>
      <c r="H884" s="6" t="s">
        <v>77</v>
      </c>
      <c r="I884" s="6" t="s">
        <v>4676</v>
      </c>
      <c r="J884" s="6" t="s">
        <v>123</v>
      </c>
      <c r="K884" s="6" t="s">
        <v>4675</v>
      </c>
      <c r="L884" s="2" t="s">
        <v>200</v>
      </c>
      <c r="M884" s="2" t="s">
        <v>6116</v>
      </c>
      <c r="N884" s="9" t="s">
        <v>201</v>
      </c>
      <c r="O884" s="6" t="s">
        <v>123</v>
      </c>
      <c r="P884" s="6" t="s">
        <v>85</v>
      </c>
      <c r="Q884" s="6" t="s">
        <v>6117</v>
      </c>
      <c r="R884" s="6" t="s">
        <v>5357</v>
      </c>
    </row>
    <row r="885" customFormat="false" ht="35.05" hidden="false" customHeight="false" outlineLevel="0" collapsed="false">
      <c r="A885" s="6" t="s">
        <v>4714</v>
      </c>
      <c r="B885" s="6" t="s">
        <v>127</v>
      </c>
      <c r="C885" s="6" t="s">
        <v>5006</v>
      </c>
      <c r="D885" s="6" t="s">
        <v>568</v>
      </c>
      <c r="E885" s="6" t="s">
        <v>568</v>
      </c>
      <c r="F885" s="6" t="s">
        <v>569</v>
      </c>
      <c r="G885" s="6" t="s">
        <v>239</v>
      </c>
      <c r="H885" s="6" t="s">
        <v>77</v>
      </c>
      <c r="I885" s="6" t="s">
        <v>4680</v>
      </c>
      <c r="J885" s="6" t="s">
        <v>5365</v>
      </c>
      <c r="K885" s="6" t="s">
        <v>4790</v>
      </c>
      <c r="L885" s="2" t="s">
        <v>573</v>
      </c>
      <c r="M885" s="2" t="s">
        <v>572</v>
      </c>
      <c r="N885" s="9" t="s">
        <v>574</v>
      </c>
      <c r="O885" s="6" t="s">
        <v>440</v>
      </c>
      <c r="P885" s="6" t="s">
        <v>85</v>
      </c>
      <c r="Q885" s="6" t="s">
        <v>6117</v>
      </c>
      <c r="R885" s="6" t="s">
        <v>5922</v>
      </c>
    </row>
    <row r="886" customFormat="false" ht="15" hidden="false" customHeight="false" outlineLevel="0" collapsed="false">
      <c r="A886" s="6" t="s">
        <v>4714</v>
      </c>
      <c r="B886" s="6" t="s">
        <v>127</v>
      </c>
      <c r="C886" s="6" t="s">
        <v>5006</v>
      </c>
      <c r="D886" s="6" t="s">
        <v>3205</v>
      </c>
      <c r="E886" s="6" t="s">
        <v>3205</v>
      </c>
      <c r="F886" s="6" t="s">
        <v>3206</v>
      </c>
      <c r="G886" s="6" t="s">
        <v>2312</v>
      </c>
      <c r="H886" s="6" t="s">
        <v>287</v>
      </c>
      <c r="I886" s="6" t="s">
        <v>4697</v>
      </c>
      <c r="J886" s="6" t="s">
        <v>461</v>
      </c>
      <c r="K886" s="6" t="s">
        <v>4675</v>
      </c>
      <c r="L886" s="2" t="s">
        <v>3208</v>
      </c>
      <c r="M886" s="2"/>
      <c r="N886" s="9" t="s">
        <v>3209</v>
      </c>
      <c r="O886" s="6" t="s">
        <v>461</v>
      </c>
      <c r="P886" s="6" t="s">
        <v>85</v>
      </c>
      <c r="Q886" s="6" t="s">
        <v>4714</v>
      </c>
      <c r="R886" s="6" t="s">
        <v>5886</v>
      </c>
    </row>
    <row r="887" customFormat="false" ht="15" hidden="false" customHeight="false" outlineLevel="0" collapsed="false">
      <c r="A887" s="6" t="s">
        <v>4714</v>
      </c>
      <c r="B887" s="6" t="s">
        <v>127</v>
      </c>
      <c r="C887" s="6" t="s">
        <v>5006</v>
      </c>
      <c r="D887" s="6" t="s">
        <v>2412</v>
      </c>
      <c r="E887" s="6" t="s">
        <v>2412</v>
      </c>
      <c r="F887" s="6" t="s">
        <v>2413</v>
      </c>
      <c r="G887" s="6" t="s">
        <v>626</v>
      </c>
      <c r="H887" s="6" t="s">
        <v>287</v>
      </c>
      <c r="I887" s="6" t="s">
        <v>4684</v>
      </c>
      <c r="J887" s="6" t="s">
        <v>517</v>
      </c>
      <c r="K887" s="6" t="s">
        <v>4790</v>
      </c>
      <c r="L887" s="2" t="s">
        <v>2415</v>
      </c>
      <c r="M887" s="2"/>
      <c r="N887" s="9" t="s">
        <v>2416</v>
      </c>
      <c r="O887" s="6" t="s">
        <v>517</v>
      </c>
      <c r="P887" s="6" t="s">
        <v>85</v>
      </c>
      <c r="Q887" s="6" t="s">
        <v>6117</v>
      </c>
      <c r="R887" s="6" t="s">
        <v>5922</v>
      </c>
    </row>
    <row r="888" customFormat="false" ht="15" hidden="false" customHeight="false" outlineLevel="0" collapsed="false">
      <c r="A888" s="6" t="s">
        <v>4714</v>
      </c>
      <c r="B888" s="6" t="s">
        <v>127</v>
      </c>
      <c r="C888" s="6" t="s">
        <v>5006</v>
      </c>
      <c r="D888" s="6" t="s">
        <v>1305</v>
      </c>
      <c r="E888" s="6" t="s">
        <v>1305</v>
      </c>
      <c r="F888" s="6" t="s">
        <v>345</v>
      </c>
      <c r="G888" s="6" t="s">
        <v>239</v>
      </c>
      <c r="H888" s="6" t="s">
        <v>287</v>
      </c>
      <c r="I888" s="6" t="s">
        <v>4676</v>
      </c>
      <c r="J888" s="6" t="s">
        <v>324</v>
      </c>
      <c r="K888" s="6" t="s">
        <v>4790</v>
      </c>
      <c r="L888" s="2" t="s">
        <v>1308</v>
      </c>
      <c r="M888" s="2"/>
      <c r="N888" s="9" t="s">
        <v>1309</v>
      </c>
      <c r="O888" s="6" t="s">
        <v>324</v>
      </c>
      <c r="P888" s="6" t="s">
        <v>85</v>
      </c>
      <c r="Q888" s="6" t="s">
        <v>6117</v>
      </c>
      <c r="R888" s="6" t="s">
        <v>5922</v>
      </c>
    </row>
    <row r="889" customFormat="false" ht="23.85" hidden="false" customHeight="false" outlineLevel="0" collapsed="false">
      <c r="A889" s="6" t="s">
        <v>4714</v>
      </c>
      <c r="B889" s="6" t="s">
        <v>127</v>
      </c>
      <c r="C889" s="6" t="s">
        <v>5006</v>
      </c>
      <c r="D889" s="6" t="s">
        <v>1305</v>
      </c>
      <c r="E889" s="6" t="s">
        <v>6118</v>
      </c>
      <c r="F889" s="6" t="s">
        <v>345</v>
      </c>
      <c r="G889" s="6" t="s">
        <v>239</v>
      </c>
      <c r="H889" s="6" t="s">
        <v>287</v>
      </c>
      <c r="I889" s="6" t="s">
        <v>4684</v>
      </c>
      <c r="J889" s="6" t="s">
        <v>324</v>
      </c>
      <c r="K889" s="6" t="s">
        <v>4790</v>
      </c>
      <c r="L889" s="2" t="s">
        <v>6119</v>
      </c>
      <c r="M889" s="2" t="s">
        <v>1307</v>
      </c>
      <c r="N889" s="9" t="s">
        <v>1310</v>
      </c>
      <c r="O889" s="6" t="s">
        <v>324</v>
      </c>
      <c r="P889" s="6" t="s">
        <v>85</v>
      </c>
      <c r="Q889" s="6" t="s">
        <v>6117</v>
      </c>
      <c r="R889" s="6" t="s">
        <v>5886</v>
      </c>
    </row>
    <row r="890" customFormat="false" ht="23.85" hidden="false" customHeight="false" outlineLevel="0" collapsed="false">
      <c r="A890" s="6" t="s">
        <v>4714</v>
      </c>
      <c r="B890" s="6" t="s">
        <v>127</v>
      </c>
      <c r="C890" s="6" t="s">
        <v>5006</v>
      </c>
      <c r="D890" s="6" t="s">
        <v>344</v>
      </c>
      <c r="E890" s="6" t="s">
        <v>344</v>
      </c>
      <c r="F890" s="6" t="s">
        <v>345</v>
      </c>
      <c r="G890" s="6" t="s">
        <v>239</v>
      </c>
      <c r="H890" s="6" t="s">
        <v>287</v>
      </c>
      <c r="I890" s="6" t="s">
        <v>4684</v>
      </c>
      <c r="J890" s="6" t="s">
        <v>324</v>
      </c>
      <c r="K890" s="6" t="s">
        <v>4790</v>
      </c>
      <c r="L890" s="2" t="s">
        <v>348</v>
      </c>
      <c r="M890" s="2" t="s">
        <v>6120</v>
      </c>
      <c r="N890" s="9" t="s">
        <v>1309</v>
      </c>
      <c r="O890" s="6" t="s">
        <v>324</v>
      </c>
      <c r="P890" s="6" t="s">
        <v>85</v>
      </c>
      <c r="Q890" s="6" t="s">
        <v>6117</v>
      </c>
      <c r="R890" s="6" t="s">
        <v>5922</v>
      </c>
    </row>
    <row r="891" customFormat="false" ht="23.85" hidden="false" customHeight="false" outlineLevel="0" collapsed="false">
      <c r="A891" s="6" t="s">
        <v>4714</v>
      </c>
      <c r="B891" s="6" t="s">
        <v>127</v>
      </c>
      <c r="C891" s="6" t="s">
        <v>5016</v>
      </c>
      <c r="D891" s="6" t="s">
        <v>344</v>
      </c>
      <c r="E891" s="6" t="s">
        <v>344</v>
      </c>
      <c r="F891" s="6" t="s">
        <v>345</v>
      </c>
      <c r="G891" s="6" t="s">
        <v>239</v>
      </c>
      <c r="H891" s="6" t="s">
        <v>287</v>
      </c>
      <c r="I891" s="6" t="s">
        <v>4680</v>
      </c>
      <c r="J891" s="6" t="s">
        <v>324</v>
      </c>
      <c r="K891" s="6" t="s">
        <v>4790</v>
      </c>
      <c r="L891" s="2" t="s">
        <v>6121</v>
      </c>
      <c r="M891" s="2" t="s">
        <v>6122</v>
      </c>
      <c r="N891" s="9" t="s">
        <v>1309</v>
      </c>
      <c r="O891" s="6" t="s">
        <v>324</v>
      </c>
      <c r="P891" s="6" t="s">
        <v>85</v>
      </c>
      <c r="Q891" s="6" t="s">
        <v>6117</v>
      </c>
      <c r="R891" s="6" t="s">
        <v>5377</v>
      </c>
    </row>
    <row r="892" customFormat="false" ht="23.85" hidden="false" customHeight="false" outlineLevel="0" collapsed="false">
      <c r="A892" s="6" t="s">
        <v>4714</v>
      </c>
      <c r="B892" s="6" t="s">
        <v>127</v>
      </c>
      <c r="C892" s="6" t="s">
        <v>5006</v>
      </c>
      <c r="D892" s="6" t="s">
        <v>3293</v>
      </c>
      <c r="E892" s="6" t="s">
        <v>6123</v>
      </c>
      <c r="F892" s="6" t="s">
        <v>3294</v>
      </c>
      <c r="G892" s="6" t="s">
        <v>1583</v>
      </c>
      <c r="H892" s="6" t="s">
        <v>287</v>
      </c>
      <c r="I892" s="6" t="s">
        <v>4676</v>
      </c>
      <c r="J892" s="6" t="s">
        <v>150</v>
      </c>
      <c r="K892" s="6" t="s">
        <v>4790</v>
      </c>
      <c r="L892" s="2" t="s">
        <v>3296</v>
      </c>
      <c r="M892" s="2"/>
      <c r="N892" s="9" t="s">
        <v>3297</v>
      </c>
      <c r="O892" s="6" t="s">
        <v>150</v>
      </c>
      <c r="P892" s="6" t="s">
        <v>85</v>
      </c>
      <c r="Q892" s="6" t="s">
        <v>6117</v>
      </c>
      <c r="R892" s="6" t="s">
        <v>5922</v>
      </c>
    </row>
    <row r="893" customFormat="false" ht="15" hidden="false" customHeight="false" outlineLevel="0" collapsed="false">
      <c r="A893" s="6" t="s">
        <v>4714</v>
      </c>
      <c r="B893" s="6" t="s">
        <v>127</v>
      </c>
      <c r="C893" s="6" t="s">
        <v>5006</v>
      </c>
      <c r="D893" s="6" t="s">
        <v>2028</v>
      </c>
      <c r="E893" s="6" t="s">
        <v>2028</v>
      </c>
      <c r="F893" s="6" t="s">
        <v>2028</v>
      </c>
      <c r="G893" s="6" t="s">
        <v>239</v>
      </c>
      <c r="H893" s="6" t="s">
        <v>287</v>
      </c>
      <c r="I893" s="6" t="s">
        <v>4715</v>
      </c>
      <c r="J893" s="6" t="s">
        <v>160</v>
      </c>
      <c r="K893" s="6" t="s">
        <v>4675</v>
      </c>
      <c r="L893" s="2" t="s">
        <v>2031</v>
      </c>
      <c r="M893" s="2" t="s">
        <v>2030</v>
      </c>
      <c r="N893" s="9" t="s">
        <v>2032</v>
      </c>
      <c r="O893" s="6" t="s">
        <v>160</v>
      </c>
      <c r="P893" s="6" t="s">
        <v>85</v>
      </c>
      <c r="Q893" s="6" t="s">
        <v>6117</v>
      </c>
      <c r="R893" s="6" t="s">
        <v>5433</v>
      </c>
    </row>
    <row r="894" customFormat="false" ht="23.85" hidden="false" customHeight="false" outlineLevel="0" collapsed="false">
      <c r="A894" s="6" t="s">
        <v>4714</v>
      </c>
      <c r="B894" s="6" t="s">
        <v>127</v>
      </c>
      <c r="C894" s="6" t="s">
        <v>5006</v>
      </c>
      <c r="D894" s="6" t="s">
        <v>3401</v>
      </c>
      <c r="E894" s="6" t="s">
        <v>3401</v>
      </c>
      <c r="F894" s="6" t="s">
        <v>3402</v>
      </c>
      <c r="G894" s="6" t="s">
        <v>1583</v>
      </c>
      <c r="H894" s="6" t="s">
        <v>287</v>
      </c>
      <c r="I894" s="6" t="s">
        <v>4680</v>
      </c>
      <c r="J894" s="6" t="s">
        <v>5365</v>
      </c>
      <c r="K894" s="6" t="s">
        <v>4679</v>
      </c>
      <c r="L894" s="2" t="s">
        <v>3404</v>
      </c>
      <c r="M894" s="2"/>
      <c r="N894" s="9" t="s">
        <v>3405</v>
      </c>
      <c r="O894" s="6" t="s">
        <v>504</v>
      </c>
      <c r="P894" s="6" t="s">
        <v>106</v>
      </c>
      <c r="Q894" s="6" t="s">
        <v>6117</v>
      </c>
      <c r="R894" s="6" t="s">
        <v>5886</v>
      </c>
    </row>
    <row r="895" customFormat="false" ht="23.85" hidden="false" customHeight="false" outlineLevel="0" collapsed="false">
      <c r="A895" s="6" t="s">
        <v>4714</v>
      </c>
      <c r="B895" s="6" t="s">
        <v>127</v>
      </c>
      <c r="C895" s="6" t="s">
        <v>5016</v>
      </c>
      <c r="D895" s="6" t="s">
        <v>1233</v>
      </c>
      <c r="E895" s="6" t="s">
        <v>6124</v>
      </c>
      <c r="F895" s="6" t="s">
        <v>429</v>
      </c>
      <c r="G895" s="6" t="s">
        <v>182</v>
      </c>
      <c r="H895" s="6" t="s">
        <v>287</v>
      </c>
      <c r="I895" s="6" t="s">
        <v>5617</v>
      </c>
      <c r="J895" s="6" t="s">
        <v>97</v>
      </c>
      <c r="K895" s="6" t="s">
        <v>4790</v>
      </c>
      <c r="L895" s="2" t="s">
        <v>1236</v>
      </c>
      <c r="M895" s="2" t="s">
        <v>6125</v>
      </c>
      <c r="N895" s="9" t="s">
        <v>1237</v>
      </c>
      <c r="O895" s="6" t="s">
        <v>97</v>
      </c>
      <c r="P895" s="6" t="s">
        <v>106</v>
      </c>
      <c r="Q895" s="6" t="s">
        <v>6117</v>
      </c>
      <c r="R895" s="6" t="s">
        <v>5377</v>
      </c>
    </row>
    <row r="896" customFormat="false" ht="23.85" hidden="false" customHeight="false" outlineLevel="0" collapsed="false">
      <c r="A896" s="6" t="s">
        <v>4714</v>
      </c>
      <c r="B896" s="6" t="s">
        <v>127</v>
      </c>
      <c r="C896" s="6" t="s">
        <v>5006</v>
      </c>
      <c r="D896" s="6" t="s">
        <v>1412</v>
      </c>
      <c r="E896" s="6" t="s">
        <v>1412</v>
      </c>
      <c r="F896" s="6" t="s">
        <v>467</v>
      </c>
      <c r="G896" s="6" t="s">
        <v>76</v>
      </c>
      <c r="H896" s="6" t="s">
        <v>287</v>
      </c>
      <c r="I896" s="6" t="s">
        <v>4706</v>
      </c>
      <c r="J896" s="6" t="s">
        <v>383</v>
      </c>
      <c r="K896" s="6" t="s">
        <v>4790</v>
      </c>
      <c r="L896" s="2" t="s">
        <v>1415</v>
      </c>
      <c r="M896" s="2" t="s">
        <v>6126</v>
      </c>
      <c r="N896" s="9" t="s">
        <v>1416</v>
      </c>
      <c r="O896" s="6" t="s">
        <v>383</v>
      </c>
      <c r="P896" s="6" t="s">
        <v>85</v>
      </c>
      <c r="Q896" s="6" t="s">
        <v>6127</v>
      </c>
      <c r="R896" s="6" t="s">
        <v>5368</v>
      </c>
    </row>
    <row r="897" customFormat="false" ht="23.85" hidden="false" customHeight="false" outlineLevel="0" collapsed="false">
      <c r="A897" s="6" t="s">
        <v>4714</v>
      </c>
      <c r="B897" s="6" t="s">
        <v>127</v>
      </c>
      <c r="C897" s="6" t="s">
        <v>5006</v>
      </c>
      <c r="D897" s="6" t="s">
        <v>1412</v>
      </c>
      <c r="E897" s="6" t="s">
        <v>6128</v>
      </c>
      <c r="F897" s="6" t="s">
        <v>134</v>
      </c>
      <c r="G897" s="6" t="s">
        <v>76</v>
      </c>
      <c r="H897" s="6" t="s">
        <v>287</v>
      </c>
      <c r="I897" s="6" t="s">
        <v>4676</v>
      </c>
      <c r="J897" s="6" t="s">
        <v>383</v>
      </c>
      <c r="K897" s="6" t="s">
        <v>4679</v>
      </c>
      <c r="L897" s="2" t="s">
        <v>6129</v>
      </c>
      <c r="M897" s="2" t="s">
        <v>6130</v>
      </c>
      <c r="N897" s="9" t="s">
        <v>1416</v>
      </c>
      <c r="O897" s="6" t="s">
        <v>383</v>
      </c>
      <c r="P897" s="6" t="s">
        <v>85</v>
      </c>
      <c r="Q897" s="6" t="s">
        <v>4714</v>
      </c>
      <c r="R897" s="6" t="s">
        <v>5886</v>
      </c>
    </row>
    <row r="898" customFormat="false" ht="15" hidden="false" customHeight="false" outlineLevel="0" collapsed="false">
      <c r="A898" s="6" t="s">
        <v>4714</v>
      </c>
      <c r="B898" s="6" t="s">
        <v>127</v>
      </c>
      <c r="C898" s="6" t="s">
        <v>5006</v>
      </c>
      <c r="D898" s="6" t="s">
        <v>4217</v>
      </c>
      <c r="E898" s="6" t="s">
        <v>4217</v>
      </c>
      <c r="F898" s="6" t="s">
        <v>4217</v>
      </c>
      <c r="G898" s="6" t="s">
        <v>1215</v>
      </c>
      <c r="H898" s="6" t="s">
        <v>1445</v>
      </c>
      <c r="I898" s="6" t="s">
        <v>4684</v>
      </c>
      <c r="J898" s="6" t="s">
        <v>1455</v>
      </c>
      <c r="K898" s="6" t="s">
        <v>4679</v>
      </c>
      <c r="L898" s="2" t="s">
        <v>4219</v>
      </c>
      <c r="M898" s="2"/>
      <c r="N898" s="9" t="s">
        <v>4220</v>
      </c>
      <c r="O898" s="6" t="s">
        <v>1455</v>
      </c>
      <c r="P898" s="6" t="s">
        <v>85</v>
      </c>
      <c r="Q898" s="6" t="s">
        <v>4714</v>
      </c>
      <c r="R898" s="6" t="s">
        <v>5886</v>
      </c>
    </row>
    <row r="899" customFormat="false" ht="15" hidden="false" customHeight="false" outlineLevel="0" collapsed="false">
      <c r="A899" s="6" t="s">
        <v>4714</v>
      </c>
      <c r="B899" s="6" t="s">
        <v>127</v>
      </c>
      <c r="C899" s="6" t="s">
        <v>5006</v>
      </c>
      <c r="D899" s="6" t="s">
        <v>4281</v>
      </c>
      <c r="E899" s="6" t="s">
        <v>4281</v>
      </c>
      <c r="F899" s="6" t="s">
        <v>4282</v>
      </c>
      <c r="G899" s="6" t="s">
        <v>1583</v>
      </c>
      <c r="H899" s="6" t="s">
        <v>1445</v>
      </c>
      <c r="I899" s="6" t="s">
        <v>4706</v>
      </c>
      <c r="J899" s="6" t="s">
        <v>281</v>
      </c>
      <c r="K899" s="6" t="s">
        <v>4675</v>
      </c>
      <c r="L899" s="2" t="s">
        <v>4284</v>
      </c>
      <c r="M899" s="2"/>
      <c r="N899" s="9" t="s">
        <v>4285</v>
      </c>
      <c r="O899" s="6" t="s">
        <v>281</v>
      </c>
      <c r="P899" s="6" t="s">
        <v>85</v>
      </c>
      <c r="Q899" s="6" t="s">
        <v>6117</v>
      </c>
      <c r="R899" s="6" t="s">
        <v>5886</v>
      </c>
    </row>
    <row r="900" customFormat="false" ht="15" hidden="false" customHeight="false" outlineLevel="0" collapsed="false">
      <c r="A900" s="6" t="s">
        <v>4714</v>
      </c>
      <c r="B900" s="6" t="s">
        <v>127</v>
      </c>
      <c r="C900" s="6" t="s">
        <v>5006</v>
      </c>
      <c r="D900" s="6" t="s">
        <v>4299</v>
      </c>
      <c r="E900" s="6" t="s">
        <v>4299</v>
      </c>
      <c r="F900" s="6" t="s">
        <v>4299</v>
      </c>
      <c r="G900" s="6" t="s">
        <v>1583</v>
      </c>
      <c r="H900" s="6" t="s">
        <v>1445</v>
      </c>
      <c r="I900" s="6" t="s">
        <v>4676</v>
      </c>
      <c r="J900" s="6" t="s">
        <v>308</v>
      </c>
      <c r="K900" s="6" t="s">
        <v>4675</v>
      </c>
      <c r="L900" s="2" t="s">
        <v>4302</v>
      </c>
      <c r="M900" s="2"/>
      <c r="N900" s="9" t="s">
        <v>4304</v>
      </c>
      <c r="O900" s="6" t="s">
        <v>308</v>
      </c>
      <c r="P900" s="6" t="s">
        <v>85</v>
      </c>
      <c r="Q900" s="6" t="s">
        <v>6117</v>
      </c>
      <c r="R900" s="6" t="s">
        <v>5886</v>
      </c>
    </row>
    <row r="901" customFormat="false" ht="15" hidden="false" customHeight="false" outlineLevel="0" collapsed="false">
      <c r="A901" s="6" t="s">
        <v>4714</v>
      </c>
      <c r="B901" s="6" t="s">
        <v>127</v>
      </c>
      <c r="C901" s="6" t="s">
        <v>5006</v>
      </c>
      <c r="D901" s="6" t="s">
        <v>420</v>
      </c>
      <c r="E901" s="6" t="s">
        <v>6131</v>
      </c>
      <c r="F901" s="6" t="s">
        <v>6132</v>
      </c>
      <c r="G901" s="6" t="s">
        <v>3000</v>
      </c>
      <c r="H901" s="6" t="s">
        <v>1445</v>
      </c>
      <c r="I901" s="6" t="s">
        <v>4732</v>
      </c>
      <c r="J901" s="6" t="s">
        <v>461</v>
      </c>
      <c r="K901" s="6" t="s">
        <v>4675</v>
      </c>
      <c r="L901" s="2" t="s">
        <v>6133</v>
      </c>
      <c r="M901" s="2"/>
      <c r="N901" s="9" t="s">
        <v>6134</v>
      </c>
      <c r="O901" s="6" t="s">
        <v>461</v>
      </c>
      <c r="P901" s="6" t="s">
        <v>85</v>
      </c>
      <c r="Q901" s="6" t="s">
        <v>6135</v>
      </c>
      <c r="R901" s="6" t="s">
        <v>5886</v>
      </c>
    </row>
    <row r="902" customFormat="false" ht="23.85" hidden="false" customHeight="false" outlineLevel="0" collapsed="false">
      <c r="A902" s="6" t="s">
        <v>5033</v>
      </c>
      <c r="B902" s="6" t="s">
        <v>127</v>
      </c>
      <c r="C902" s="6" t="s">
        <v>5016</v>
      </c>
      <c r="D902" s="6" t="s">
        <v>1512</v>
      </c>
      <c r="E902" s="6" t="s">
        <v>1512</v>
      </c>
      <c r="F902" s="6" t="s">
        <v>1513</v>
      </c>
      <c r="G902" s="6" t="s">
        <v>182</v>
      </c>
      <c r="H902" s="6" t="s">
        <v>77</v>
      </c>
      <c r="I902" s="6" t="s">
        <v>4684</v>
      </c>
      <c r="J902" s="6" t="s">
        <v>5365</v>
      </c>
      <c r="K902" s="6" t="s">
        <v>4790</v>
      </c>
      <c r="L902" s="2" t="s">
        <v>6136</v>
      </c>
      <c r="M902" s="2" t="s">
        <v>6137</v>
      </c>
      <c r="N902" s="9" t="s">
        <v>1517</v>
      </c>
      <c r="O902" s="6" t="s">
        <v>281</v>
      </c>
      <c r="P902" s="6" t="s">
        <v>106</v>
      </c>
      <c r="Q902" s="6" t="s">
        <v>5033</v>
      </c>
      <c r="R902" s="6" t="s">
        <v>5368</v>
      </c>
    </row>
    <row r="903" customFormat="false" ht="15" hidden="false" customHeight="false" outlineLevel="0" collapsed="false">
      <c r="A903" s="6" t="s">
        <v>5033</v>
      </c>
      <c r="B903" s="6" t="s">
        <v>127</v>
      </c>
      <c r="C903" s="6" t="s">
        <v>5016</v>
      </c>
      <c r="D903" s="6" t="s">
        <v>3337</v>
      </c>
      <c r="E903" s="6" t="s">
        <v>3337</v>
      </c>
      <c r="F903" s="6" t="s">
        <v>3337</v>
      </c>
      <c r="G903" s="6" t="s">
        <v>1215</v>
      </c>
      <c r="H903" s="6" t="s">
        <v>287</v>
      </c>
      <c r="I903" s="6" t="s">
        <v>4684</v>
      </c>
      <c r="J903" s="6" t="s">
        <v>5365</v>
      </c>
      <c r="K903" s="6" t="s">
        <v>4679</v>
      </c>
      <c r="L903" s="2" t="s">
        <v>6138</v>
      </c>
      <c r="M903" s="2"/>
      <c r="N903" s="9" t="s">
        <v>3342</v>
      </c>
      <c r="O903" s="6" t="s">
        <v>143</v>
      </c>
      <c r="P903" s="6" t="s">
        <v>98</v>
      </c>
      <c r="Q903" s="6" t="s">
        <v>5033</v>
      </c>
      <c r="R903" s="6" t="s">
        <v>5922</v>
      </c>
    </row>
    <row r="904" customFormat="false" ht="23.85" hidden="false" customHeight="false" outlineLevel="0" collapsed="false">
      <c r="A904" s="6" t="s">
        <v>5033</v>
      </c>
      <c r="B904" s="6" t="s">
        <v>127</v>
      </c>
      <c r="C904" s="6" t="s">
        <v>5016</v>
      </c>
      <c r="D904" s="6" t="s">
        <v>466</v>
      </c>
      <c r="E904" s="6" t="s">
        <v>466</v>
      </c>
      <c r="F904" s="6" t="s">
        <v>134</v>
      </c>
      <c r="G904" s="6" t="s">
        <v>76</v>
      </c>
      <c r="H904" s="6" t="s">
        <v>287</v>
      </c>
      <c r="I904" s="6" t="s">
        <v>4684</v>
      </c>
      <c r="J904" s="6" t="s">
        <v>5365</v>
      </c>
      <c r="K904" s="6" t="s">
        <v>4679</v>
      </c>
      <c r="L904" s="2" t="s">
        <v>6139</v>
      </c>
      <c r="M904" s="2" t="s">
        <v>6140</v>
      </c>
      <c r="N904" s="9" t="s">
        <v>3342</v>
      </c>
      <c r="O904" s="6" t="s">
        <v>143</v>
      </c>
      <c r="P904" s="6" t="s">
        <v>106</v>
      </c>
      <c r="Q904" s="6" t="s">
        <v>5033</v>
      </c>
      <c r="R904" s="6" t="s">
        <v>5922</v>
      </c>
    </row>
    <row r="905" customFormat="false" ht="23.85" hidden="false" customHeight="false" outlineLevel="0" collapsed="false">
      <c r="A905" s="6" t="s">
        <v>5033</v>
      </c>
      <c r="B905" s="6" t="s">
        <v>127</v>
      </c>
      <c r="C905" s="6" t="s">
        <v>5016</v>
      </c>
      <c r="D905" s="6" t="s">
        <v>3468</v>
      </c>
      <c r="E905" s="6" t="s">
        <v>3468</v>
      </c>
      <c r="F905" s="6" t="s">
        <v>3469</v>
      </c>
      <c r="G905" s="6" t="s">
        <v>1644</v>
      </c>
      <c r="H905" s="6" t="s">
        <v>287</v>
      </c>
      <c r="I905" s="6" t="s">
        <v>4684</v>
      </c>
      <c r="J905" s="6" t="s">
        <v>5560</v>
      </c>
      <c r="K905" s="6" t="s">
        <v>4790</v>
      </c>
      <c r="L905" s="2" t="s">
        <v>3471</v>
      </c>
      <c r="M905" s="2"/>
      <c r="N905" s="9" t="s">
        <v>3472</v>
      </c>
      <c r="O905" s="6" t="s">
        <v>178</v>
      </c>
      <c r="P905" s="6" t="s">
        <v>85</v>
      </c>
      <c r="Q905" s="6" t="s">
        <v>5033</v>
      </c>
      <c r="R905" s="6" t="s">
        <v>5922</v>
      </c>
    </row>
    <row r="906" customFormat="false" ht="15" hidden="false" customHeight="false" outlineLevel="0" collapsed="false">
      <c r="A906" s="6" t="s">
        <v>5033</v>
      </c>
      <c r="B906" s="6" t="s">
        <v>127</v>
      </c>
      <c r="C906" s="6" t="s">
        <v>5016</v>
      </c>
      <c r="D906" s="6" t="s">
        <v>3494</v>
      </c>
      <c r="E906" s="6" t="s">
        <v>3494</v>
      </c>
      <c r="F906" s="6" t="s">
        <v>3494</v>
      </c>
      <c r="G906" s="6" t="s">
        <v>1583</v>
      </c>
      <c r="H906" s="6" t="s">
        <v>287</v>
      </c>
      <c r="I906" s="6" t="s">
        <v>4684</v>
      </c>
      <c r="J906" s="6" t="s">
        <v>5365</v>
      </c>
      <c r="K906" s="6" t="s">
        <v>4679</v>
      </c>
      <c r="L906" s="2" t="s">
        <v>3496</v>
      </c>
      <c r="M906" s="2"/>
      <c r="N906" s="9" t="s">
        <v>3342</v>
      </c>
      <c r="O906" s="6" t="s">
        <v>143</v>
      </c>
      <c r="P906" s="6" t="s">
        <v>106</v>
      </c>
      <c r="Q906" s="6" t="s">
        <v>5033</v>
      </c>
      <c r="R906" s="6" t="s">
        <v>5922</v>
      </c>
    </row>
    <row r="907" customFormat="false" ht="15" hidden="false" customHeight="false" outlineLevel="0" collapsed="false">
      <c r="A907" s="6" t="s">
        <v>5033</v>
      </c>
      <c r="B907" s="6" t="s">
        <v>127</v>
      </c>
      <c r="C907" s="6" t="s">
        <v>5016</v>
      </c>
      <c r="D907" s="6" t="s">
        <v>3822</v>
      </c>
      <c r="E907" s="6" t="s">
        <v>3822</v>
      </c>
      <c r="F907" s="6" t="s">
        <v>3823</v>
      </c>
      <c r="G907" s="6" t="s">
        <v>1598</v>
      </c>
      <c r="H907" s="6" t="s">
        <v>1445</v>
      </c>
      <c r="I907" s="6" t="s">
        <v>4684</v>
      </c>
      <c r="J907" s="6" t="s">
        <v>5365</v>
      </c>
      <c r="K907" s="6" t="s">
        <v>4790</v>
      </c>
      <c r="L907" s="2" t="s">
        <v>6141</v>
      </c>
      <c r="M907" s="2" t="s">
        <v>6142</v>
      </c>
      <c r="N907" s="9" t="s">
        <v>3827</v>
      </c>
      <c r="O907" s="6" t="s">
        <v>389</v>
      </c>
      <c r="P907" s="6" t="s">
        <v>85</v>
      </c>
      <c r="Q907" s="6" t="s">
        <v>5033</v>
      </c>
      <c r="R907" s="6" t="s">
        <v>5922</v>
      </c>
    </row>
    <row r="908" customFormat="false" ht="23.85" hidden="false" customHeight="false" outlineLevel="0" collapsed="false">
      <c r="A908" s="6" t="s">
        <v>5033</v>
      </c>
      <c r="B908" s="6" t="s">
        <v>127</v>
      </c>
      <c r="C908" s="6" t="s">
        <v>5016</v>
      </c>
      <c r="D908" s="6" t="s">
        <v>3646</v>
      </c>
      <c r="E908" s="6" t="s">
        <v>3646</v>
      </c>
      <c r="F908" s="6" t="s">
        <v>3647</v>
      </c>
      <c r="G908" s="6" t="s">
        <v>153</v>
      </c>
      <c r="H908" s="6" t="s">
        <v>1445</v>
      </c>
      <c r="I908" s="6" t="s">
        <v>4684</v>
      </c>
      <c r="J908" s="6" t="s">
        <v>5365</v>
      </c>
      <c r="K908" s="6" t="s">
        <v>4790</v>
      </c>
      <c r="L908" s="2" t="s">
        <v>3648</v>
      </c>
      <c r="M908" s="2"/>
      <c r="N908" s="9" t="s">
        <v>3649</v>
      </c>
      <c r="O908" s="6" t="s">
        <v>97</v>
      </c>
      <c r="P908" s="6" t="s">
        <v>85</v>
      </c>
      <c r="Q908" s="6" t="s">
        <v>5033</v>
      </c>
      <c r="R908" s="6" t="s">
        <v>5922</v>
      </c>
    </row>
    <row r="909" customFormat="false" ht="15" hidden="false" customHeight="false" outlineLevel="0" collapsed="false">
      <c r="A909" s="6" t="s">
        <v>5033</v>
      </c>
      <c r="B909" s="6" t="s">
        <v>127</v>
      </c>
      <c r="C909" s="6" t="s">
        <v>5016</v>
      </c>
      <c r="D909" s="6" t="s">
        <v>4097</v>
      </c>
      <c r="E909" s="6" t="s">
        <v>4097</v>
      </c>
      <c r="F909" s="6" t="s">
        <v>6143</v>
      </c>
      <c r="G909" s="6" t="s">
        <v>90</v>
      </c>
      <c r="H909" s="6" t="s">
        <v>1445</v>
      </c>
      <c r="I909" s="6" t="s">
        <v>4684</v>
      </c>
      <c r="J909" s="6" t="s">
        <v>5477</v>
      </c>
      <c r="K909" s="6" t="s">
        <v>4679</v>
      </c>
      <c r="L909" s="2" t="s">
        <v>4100</v>
      </c>
      <c r="M909" s="2" t="s">
        <v>4099</v>
      </c>
      <c r="N909" s="9" t="s">
        <v>3342</v>
      </c>
      <c r="O909" s="6" t="s">
        <v>143</v>
      </c>
      <c r="P909" s="6" t="s">
        <v>106</v>
      </c>
      <c r="Q909" s="6" t="s">
        <v>5033</v>
      </c>
      <c r="R909" s="6" t="s">
        <v>5922</v>
      </c>
    </row>
    <row r="910" customFormat="false" ht="23.85" hidden="false" customHeight="false" outlineLevel="0" collapsed="false">
      <c r="A910" s="6" t="s">
        <v>5033</v>
      </c>
      <c r="B910" s="6" t="s">
        <v>127</v>
      </c>
      <c r="C910" s="6" t="s">
        <v>5016</v>
      </c>
      <c r="D910" s="6" t="s">
        <v>2742</v>
      </c>
      <c r="E910" s="6" t="s">
        <v>2742</v>
      </c>
      <c r="F910" s="6" t="s">
        <v>6144</v>
      </c>
      <c r="G910" s="6" t="s">
        <v>2284</v>
      </c>
      <c r="H910" s="6" t="s">
        <v>1445</v>
      </c>
      <c r="I910" s="6" t="s">
        <v>4684</v>
      </c>
      <c r="J910" s="6" t="s">
        <v>5365</v>
      </c>
      <c r="K910" s="6" t="s">
        <v>4790</v>
      </c>
      <c r="L910" s="2" t="s">
        <v>2746</v>
      </c>
      <c r="M910" s="2"/>
      <c r="N910" s="9" t="s">
        <v>2747</v>
      </c>
      <c r="O910" s="6" t="s">
        <v>97</v>
      </c>
      <c r="P910" s="6" t="s">
        <v>85</v>
      </c>
      <c r="Q910" s="6" t="s">
        <v>5033</v>
      </c>
      <c r="R910" s="6" t="s">
        <v>5922</v>
      </c>
    </row>
    <row r="911" customFormat="false" ht="23.85" hidden="false" customHeight="false" outlineLevel="0" collapsed="false">
      <c r="A911" s="6" t="s">
        <v>5033</v>
      </c>
      <c r="B911" s="6" t="s">
        <v>127</v>
      </c>
      <c r="C911" s="6" t="s">
        <v>5016</v>
      </c>
      <c r="D911" s="6" t="s">
        <v>2999</v>
      </c>
      <c r="E911" s="6" t="s">
        <v>2999</v>
      </c>
      <c r="F911" s="6" t="s">
        <v>3001</v>
      </c>
      <c r="G911" s="6" t="s">
        <v>3000</v>
      </c>
      <c r="H911" s="6" t="s">
        <v>1445</v>
      </c>
      <c r="I911" s="6" t="s">
        <v>4684</v>
      </c>
      <c r="J911" s="6" t="s">
        <v>5365</v>
      </c>
      <c r="K911" s="6" t="s">
        <v>4790</v>
      </c>
      <c r="L911" s="2" t="s">
        <v>3005</v>
      </c>
      <c r="M911" s="2" t="s">
        <v>6145</v>
      </c>
      <c r="N911" s="9" t="s">
        <v>6146</v>
      </c>
      <c r="O911" s="6" t="s">
        <v>97</v>
      </c>
      <c r="P911" s="6" t="s">
        <v>85</v>
      </c>
      <c r="Q911" s="6" t="s">
        <v>5033</v>
      </c>
      <c r="R911" s="6" t="s">
        <v>5922</v>
      </c>
    </row>
    <row r="912" customFormat="false" ht="23.85" hidden="false" customHeight="false" outlineLevel="0" collapsed="false">
      <c r="A912" s="6" t="s">
        <v>5033</v>
      </c>
      <c r="B912" s="6" t="s">
        <v>127</v>
      </c>
      <c r="C912" s="6" t="s">
        <v>5016</v>
      </c>
      <c r="D912" s="6" t="s">
        <v>3186</v>
      </c>
      <c r="E912" s="6" t="s">
        <v>3186</v>
      </c>
      <c r="F912" s="6" t="s">
        <v>481</v>
      </c>
      <c r="G912" s="6" t="s">
        <v>239</v>
      </c>
      <c r="H912" s="6" t="s">
        <v>1445</v>
      </c>
      <c r="I912" s="6" t="s">
        <v>4684</v>
      </c>
      <c r="J912" s="6" t="s">
        <v>5365</v>
      </c>
      <c r="K912" s="6" t="s">
        <v>4790</v>
      </c>
      <c r="L912" s="2" t="s">
        <v>3189</v>
      </c>
      <c r="M912" s="2" t="s">
        <v>3188</v>
      </c>
      <c r="N912" s="9" t="s">
        <v>3190</v>
      </c>
      <c r="O912" s="6" t="s">
        <v>143</v>
      </c>
      <c r="P912" s="6" t="s">
        <v>106</v>
      </c>
      <c r="Q912" s="6" t="s">
        <v>5033</v>
      </c>
      <c r="R912" s="6" t="s">
        <v>5368</v>
      </c>
    </row>
    <row r="913" customFormat="false" ht="23.85" hidden="false" customHeight="false" outlineLevel="0" collapsed="false">
      <c r="A913" s="6" t="s">
        <v>5033</v>
      </c>
      <c r="B913" s="6" t="s">
        <v>127</v>
      </c>
      <c r="C913" s="6" t="s">
        <v>5016</v>
      </c>
      <c r="D913" s="6" t="s">
        <v>4473</v>
      </c>
      <c r="E913" s="6" t="s">
        <v>4473</v>
      </c>
      <c r="F913" s="6" t="s">
        <v>3832</v>
      </c>
      <c r="G913" s="6" t="s">
        <v>1598</v>
      </c>
      <c r="H913" s="6" t="s">
        <v>1445</v>
      </c>
      <c r="I913" s="6" t="s">
        <v>4684</v>
      </c>
      <c r="J913" s="6" t="s">
        <v>461</v>
      </c>
      <c r="K913" s="6" t="s">
        <v>4790</v>
      </c>
      <c r="L913" s="2" t="s">
        <v>4475</v>
      </c>
      <c r="M913" s="2"/>
      <c r="N913" s="9" t="s">
        <v>4476</v>
      </c>
      <c r="O913" s="6" t="s">
        <v>461</v>
      </c>
      <c r="P913" s="6" t="s">
        <v>85</v>
      </c>
      <c r="Q913" s="6" t="s">
        <v>5033</v>
      </c>
      <c r="R913" s="6" t="s">
        <v>5922</v>
      </c>
    </row>
    <row r="914" customFormat="false" ht="23.85" hidden="false" customHeight="false" outlineLevel="0" collapsed="false">
      <c r="A914" s="6" t="s">
        <v>5033</v>
      </c>
      <c r="B914" s="6" t="s">
        <v>127</v>
      </c>
      <c r="C914" s="6" t="s">
        <v>5016</v>
      </c>
      <c r="D914" s="6" t="s">
        <v>3996</v>
      </c>
      <c r="E914" s="6" t="s">
        <v>3996</v>
      </c>
      <c r="F914" s="6" t="s">
        <v>3997</v>
      </c>
      <c r="G914" s="6" t="s">
        <v>507</v>
      </c>
      <c r="H914" s="6" t="s">
        <v>1445</v>
      </c>
      <c r="I914" s="6" t="s">
        <v>4684</v>
      </c>
      <c r="J914" s="6" t="s">
        <v>5365</v>
      </c>
      <c r="K914" s="6" t="s">
        <v>4790</v>
      </c>
      <c r="L914" s="2" t="s">
        <v>3998</v>
      </c>
      <c r="M914" s="2"/>
      <c r="N914" s="9" t="s">
        <v>3999</v>
      </c>
      <c r="O914" s="6" t="s">
        <v>160</v>
      </c>
      <c r="P914" s="6" t="s">
        <v>85</v>
      </c>
      <c r="Q914" s="6" t="s">
        <v>5033</v>
      </c>
      <c r="R914" s="6" t="s">
        <v>5922</v>
      </c>
    </row>
    <row r="915" customFormat="false" ht="23.85" hidden="false" customHeight="false" outlineLevel="0" collapsed="false">
      <c r="A915" s="6" t="s">
        <v>5033</v>
      </c>
      <c r="B915" s="6" t="s">
        <v>127</v>
      </c>
      <c r="C915" s="6" t="s">
        <v>5016</v>
      </c>
      <c r="D915" s="6" t="s">
        <v>4531</v>
      </c>
      <c r="E915" s="6" t="s">
        <v>4531</v>
      </c>
      <c r="F915" s="6" t="s">
        <v>3050</v>
      </c>
      <c r="G915" s="6" t="s">
        <v>3000</v>
      </c>
      <c r="H915" s="6" t="s">
        <v>1445</v>
      </c>
      <c r="I915" s="6" t="s">
        <v>4684</v>
      </c>
      <c r="J915" s="6" t="s">
        <v>5366</v>
      </c>
      <c r="K915" s="6" t="s">
        <v>4679</v>
      </c>
      <c r="L915" s="2" t="s">
        <v>4534</v>
      </c>
      <c r="M915" s="2" t="s">
        <v>4533</v>
      </c>
      <c r="N915" s="9" t="s">
        <v>3342</v>
      </c>
      <c r="O915" s="6" t="s">
        <v>143</v>
      </c>
      <c r="P915" s="6" t="s">
        <v>106</v>
      </c>
      <c r="Q915" s="6" t="s">
        <v>5033</v>
      </c>
      <c r="R915" s="6" t="s">
        <v>5922</v>
      </c>
    </row>
    <row r="916" customFormat="false" ht="15" hidden="false" customHeight="false" outlineLevel="0" collapsed="false">
      <c r="A916" s="6" t="s">
        <v>4728</v>
      </c>
      <c r="B916" s="6" t="s">
        <v>127</v>
      </c>
      <c r="C916" s="6" t="s">
        <v>5006</v>
      </c>
      <c r="D916" s="6" t="s">
        <v>3215</v>
      </c>
      <c r="E916" s="6" t="s">
        <v>3215</v>
      </c>
      <c r="F916" s="6" t="s">
        <v>3216</v>
      </c>
      <c r="G916" s="6" t="s">
        <v>1583</v>
      </c>
      <c r="H916" s="6" t="s">
        <v>287</v>
      </c>
      <c r="I916" s="6" t="s">
        <v>4706</v>
      </c>
      <c r="J916" s="6" t="s">
        <v>97</v>
      </c>
      <c r="K916" s="6" t="s">
        <v>4675</v>
      </c>
      <c r="L916" s="2" t="s">
        <v>3217</v>
      </c>
      <c r="M916" s="2"/>
      <c r="N916" s="9" t="s">
        <v>3218</v>
      </c>
      <c r="O916" s="6" t="s">
        <v>97</v>
      </c>
      <c r="P916" s="6" t="s">
        <v>85</v>
      </c>
      <c r="Q916" s="6" t="s">
        <v>4728</v>
      </c>
      <c r="R916" s="6" t="s">
        <v>5886</v>
      </c>
    </row>
    <row r="917" customFormat="false" ht="15" hidden="false" customHeight="false" outlineLevel="0" collapsed="false">
      <c r="A917" s="6" t="s">
        <v>4728</v>
      </c>
      <c r="B917" s="6" t="s">
        <v>127</v>
      </c>
      <c r="C917" s="6" t="s">
        <v>5006</v>
      </c>
      <c r="D917" s="6" t="s">
        <v>1343</v>
      </c>
      <c r="E917" s="6" t="s">
        <v>1343</v>
      </c>
      <c r="F917" s="6" t="s">
        <v>1344</v>
      </c>
      <c r="G917" s="6" t="s">
        <v>239</v>
      </c>
      <c r="H917" s="6" t="s">
        <v>287</v>
      </c>
      <c r="I917" s="6" t="s">
        <v>4676</v>
      </c>
      <c r="J917" s="6" t="s">
        <v>150</v>
      </c>
      <c r="K917" s="6" t="s">
        <v>4790</v>
      </c>
      <c r="L917" s="2" t="s">
        <v>1347</v>
      </c>
      <c r="M917" s="2" t="s">
        <v>1346</v>
      </c>
      <c r="N917" s="9" t="s">
        <v>1348</v>
      </c>
      <c r="O917" s="6" t="s">
        <v>150</v>
      </c>
      <c r="P917" s="6" t="s">
        <v>85</v>
      </c>
      <c r="Q917" s="6" t="s">
        <v>4728</v>
      </c>
      <c r="R917" s="6" t="s">
        <v>5886</v>
      </c>
    </row>
    <row r="918" customFormat="false" ht="15" hidden="false" customHeight="false" outlineLevel="0" collapsed="false">
      <c r="A918" s="6" t="s">
        <v>4728</v>
      </c>
      <c r="B918" s="6" t="s">
        <v>127</v>
      </c>
      <c r="C918" s="6" t="s">
        <v>5006</v>
      </c>
      <c r="D918" s="6" t="s">
        <v>3364</v>
      </c>
      <c r="E918" s="6" t="s">
        <v>3364</v>
      </c>
      <c r="F918" s="6" t="s">
        <v>3364</v>
      </c>
      <c r="G918" s="6" t="s">
        <v>1215</v>
      </c>
      <c r="H918" s="6" t="s">
        <v>287</v>
      </c>
      <c r="I918" s="6" t="s">
        <v>4676</v>
      </c>
      <c r="J918" s="6" t="s">
        <v>123</v>
      </c>
      <c r="K918" s="6" t="s">
        <v>4675</v>
      </c>
      <c r="L918" s="2" t="s">
        <v>3366</v>
      </c>
      <c r="M918" s="2"/>
      <c r="N918" s="9" t="s">
        <v>3367</v>
      </c>
      <c r="O918" s="6" t="s">
        <v>123</v>
      </c>
      <c r="P918" s="6" t="s">
        <v>85</v>
      </c>
      <c r="Q918" s="6" t="s">
        <v>4728</v>
      </c>
      <c r="R918" s="6" t="s">
        <v>5886</v>
      </c>
    </row>
    <row r="919" customFormat="false" ht="23.85" hidden="false" customHeight="false" outlineLevel="0" collapsed="false">
      <c r="A919" s="6" t="s">
        <v>4728</v>
      </c>
      <c r="B919" s="6" t="s">
        <v>127</v>
      </c>
      <c r="C919" s="6" t="s">
        <v>5006</v>
      </c>
      <c r="D919" s="6" t="s">
        <v>2386</v>
      </c>
      <c r="E919" s="6" t="s">
        <v>2386</v>
      </c>
      <c r="F919" s="6" t="s">
        <v>2387</v>
      </c>
      <c r="G919" s="6" t="s">
        <v>507</v>
      </c>
      <c r="H919" s="6" t="s">
        <v>287</v>
      </c>
      <c r="I919" s="6" t="s">
        <v>4706</v>
      </c>
      <c r="J919" s="6" t="s">
        <v>967</v>
      </c>
      <c r="K919" s="6" t="s">
        <v>4790</v>
      </c>
      <c r="L919" s="2" t="s">
        <v>6147</v>
      </c>
      <c r="M919" s="2" t="s">
        <v>6148</v>
      </c>
      <c r="N919" s="9" t="s">
        <v>2391</v>
      </c>
      <c r="O919" s="6" t="s">
        <v>967</v>
      </c>
      <c r="P919" s="6" t="s">
        <v>85</v>
      </c>
      <c r="Q919" s="6" t="s">
        <v>4728</v>
      </c>
      <c r="R919" s="6" t="s">
        <v>5357</v>
      </c>
    </row>
    <row r="920" customFormat="false" ht="15" hidden="false" customHeight="false" outlineLevel="0" collapsed="false">
      <c r="A920" s="6" t="s">
        <v>4728</v>
      </c>
      <c r="B920" s="6" t="s">
        <v>127</v>
      </c>
      <c r="C920" s="6" t="s">
        <v>5006</v>
      </c>
      <c r="D920" s="6" t="s">
        <v>2545</v>
      </c>
      <c r="E920" s="6" t="s">
        <v>2545</v>
      </c>
      <c r="F920" s="6" t="s">
        <v>2546</v>
      </c>
      <c r="G920" s="6" t="s">
        <v>182</v>
      </c>
      <c r="H920" s="6" t="s">
        <v>287</v>
      </c>
      <c r="I920" s="6" t="s">
        <v>4715</v>
      </c>
      <c r="J920" s="6" t="s">
        <v>2000</v>
      </c>
      <c r="K920" s="6" t="s">
        <v>4679</v>
      </c>
      <c r="L920" s="2" t="s">
        <v>2549</v>
      </c>
      <c r="M920" s="2" t="s">
        <v>2548</v>
      </c>
      <c r="N920" s="9" t="s">
        <v>2550</v>
      </c>
      <c r="O920" s="6" t="s">
        <v>2000</v>
      </c>
      <c r="P920" s="6" t="s">
        <v>106</v>
      </c>
      <c r="Q920" s="6" t="s">
        <v>4728</v>
      </c>
      <c r="R920" s="6" t="s">
        <v>5368</v>
      </c>
    </row>
    <row r="921" customFormat="false" ht="15" hidden="false" customHeight="false" outlineLevel="0" collapsed="false">
      <c r="A921" s="6" t="s">
        <v>4728</v>
      </c>
      <c r="B921" s="6" t="s">
        <v>127</v>
      </c>
      <c r="C921" s="6" t="s">
        <v>5006</v>
      </c>
      <c r="D921" s="6" t="s">
        <v>3433</v>
      </c>
      <c r="E921" s="6" t="s">
        <v>3433</v>
      </c>
      <c r="F921" s="6" t="s">
        <v>3434</v>
      </c>
      <c r="G921" s="6" t="s">
        <v>1583</v>
      </c>
      <c r="H921" s="6" t="s">
        <v>287</v>
      </c>
      <c r="I921" s="6" t="s">
        <v>4676</v>
      </c>
      <c r="J921" s="6" t="s">
        <v>130</v>
      </c>
      <c r="K921" s="6" t="s">
        <v>4675</v>
      </c>
      <c r="L921" s="2" t="s">
        <v>3435</v>
      </c>
      <c r="M921" s="2"/>
      <c r="N921" s="9" t="s">
        <v>3436</v>
      </c>
      <c r="O921" s="6" t="s">
        <v>130</v>
      </c>
      <c r="P921" s="6" t="s">
        <v>85</v>
      </c>
      <c r="Q921" s="6" t="s">
        <v>4728</v>
      </c>
      <c r="R921" s="6" t="s">
        <v>5922</v>
      </c>
    </row>
    <row r="922" customFormat="false" ht="23.85" hidden="false" customHeight="false" outlineLevel="0" collapsed="false">
      <c r="A922" s="6" t="s">
        <v>4728</v>
      </c>
      <c r="B922" s="6" t="s">
        <v>127</v>
      </c>
      <c r="C922" s="6" t="s">
        <v>5006</v>
      </c>
      <c r="D922" s="6" t="s">
        <v>3163</v>
      </c>
      <c r="E922" s="6" t="s">
        <v>6149</v>
      </c>
      <c r="F922" s="6" t="s">
        <v>3163</v>
      </c>
      <c r="G922" s="6" t="s">
        <v>239</v>
      </c>
      <c r="H922" s="6" t="s">
        <v>1445</v>
      </c>
      <c r="I922" s="6" t="s">
        <v>4706</v>
      </c>
      <c r="J922" s="6" t="s">
        <v>160</v>
      </c>
      <c r="K922" s="6" t="s">
        <v>4675</v>
      </c>
      <c r="L922" s="2" t="s">
        <v>3166</v>
      </c>
      <c r="M922" s="2" t="s">
        <v>3165</v>
      </c>
      <c r="N922" s="9" t="s">
        <v>3167</v>
      </c>
      <c r="O922" s="6" t="s">
        <v>160</v>
      </c>
      <c r="P922" s="6" t="s">
        <v>85</v>
      </c>
      <c r="Q922" s="6" t="s">
        <v>4728</v>
      </c>
      <c r="R922" s="6" t="s">
        <v>5433</v>
      </c>
    </row>
    <row r="923" customFormat="false" ht="15" hidden="false" customHeight="false" outlineLevel="0" collapsed="false">
      <c r="A923" s="6" t="s">
        <v>4728</v>
      </c>
      <c r="B923" s="6" t="s">
        <v>127</v>
      </c>
      <c r="C923" s="6" t="s">
        <v>4682</v>
      </c>
      <c r="D923" s="6" t="s">
        <v>2261</v>
      </c>
      <c r="E923" s="6" t="s">
        <v>2261</v>
      </c>
      <c r="F923" s="6" t="s">
        <v>2261</v>
      </c>
      <c r="G923" s="6" t="s">
        <v>239</v>
      </c>
      <c r="H923" s="6" t="s">
        <v>1445</v>
      </c>
      <c r="I923" s="6" t="s">
        <v>4682</v>
      </c>
      <c r="J923" s="6" t="s">
        <v>2265</v>
      </c>
      <c r="K923" s="6" t="s">
        <v>4679</v>
      </c>
      <c r="L923" s="2" t="s">
        <v>2264</v>
      </c>
      <c r="M923" s="2" t="s">
        <v>2263</v>
      </c>
      <c r="N923" s="9" t="s">
        <v>2266</v>
      </c>
      <c r="O923" s="6" t="s">
        <v>2265</v>
      </c>
      <c r="P923" s="6" t="s">
        <v>98</v>
      </c>
      <c r="Q923" s="6" t="s">
        <v>4728</v>
      </c>
      <c r="R923" s="6" t="s">
        <v>5368</v>
      </c>
    </row>
    <row r="924" customFormat="false" ht="23.85" hidden="false" customHeight="false" outlineLevel="0" collapsed="false">
      <c r="A924" s="6" t="s">
        <v>5210</v>
      </c>
      <c r="B924" s="6" t="s">
        <v>127</v>
      </c>
      <c r="C924" s="6" t="s">
        <v>5006</v>
      </c>
      <c r="D924" s="6" t="s">
        <v>1699</v>
      </c>
      <c r="E924" s="6" t="s">
        <v>1699</v>
      </c>
      <c r="F924" s="6" t="s">
        <v>1700</v>
      </c>
      <c r="G924" s="6" t="s">
        <v>507</v>
      </c>
      <c r="H924" s="6" t="s">
        <v>287</v>
      </c>
      <c r="I924" s="6" t="s">
        <v>4715</v>
      </c>
      <c r="J924" s="6" t="s">
        <v>226</v>
      </c>
      <c r="K924" s="6" t="s">
        <v>4790</v>
      </c>
      <c r="L924" s="2" t="s">
        <v>1703</v>
      </c>
      <c r="M924" s="2" t="s">
        <v>6150</v>
      </c>
      <c r="N924" s="9" t="s">
        <v>1704</v>
      </c>
      <c r="O924" s="6" t="s">
        <v>226</v>
      </c>
      <c r="P924" s="6" t="s">
        <v>85</v>
      </c>
      <c r="Q924" s="6" t="s">
        <v>5210</v>
      </c>
      <c r="R924" s="6" t="s">
        <v>5357</v>
      </c>
    </row>
    <row r="925" customFormat="false" ht="15" hidden="false" customHeight="false" outlineLevel="0" collapsed="false">
      <c r="A925" s="6" t="s">
        <v>5155</v>
      </c>
      <c r="B925" s="6" t="s">
        <v>127</v>
      </c>
      <c r="C925" s="6" t="s">
        <v>5016</v>
      </c>
      <c r="D925" s="6" t="s">
        <v>1912</v>
      </c>
      <c r="E925" s="6" t="s">
        <v>1912</v>
      </c>
      <c r="F925" s="6" t="s">
        <v>1913</v>
      </c>
      <c r="G925" s="6" t="s">
        <v>153</v>
      </c>
      <c r="H925" s="6" t="s">
        <v>287</v>
      </c>
      <c r="I925" s="6" t="s">
        <v>4680</v>
      </c>
      <c r="J925" s="6" t="s">
        <v>411</v>
      </c>
      <c r="K925" s="6" t="s">
        <v>4679</v>
      </c>
      <c r="L925" s="2" t="s">
        <v>1916</v>
      </c>
      <c r="M925" s="2" t="s">
        <v>1915</v>
      </c>
      <c r="N925" s="9" t="s">
        <v>1917</v>
      </c>
      <c r="O925" s="6" t="s">
        <v>411</v>
      </c>
      <c r="P925" s="6" t="s">
        <v>106</v>
      </c>
      <c r="Q925" s="6" t="s">
        <v>5155</v>
      </c>
      <c r="R925" s="6" t="s">
        <v>5357</v>
      </c>
    </row>
    <row r="926" customFormat="false" ht="15" hidden="false" customHeight="false" outlineLevel="0" collapsed="false">
      <c r="A926" s="6" t="s">
        <v>5155</v>
      </c>
      <c r="B926" s="6" t="s">
        <v>127</v>
      </c>
      <c r="C926" s="6" t="s">
        <v>5016</v>
      </c>
      <c r="D926" s="6" t="s">
        <v>2958</v>
      </c>
      <c r="E926" s="6" t="s">
        <v>6151</v>
      </c>
      <c r="F926" s="6" t="s">
        <v>6152</v>
      </c>
      <c r="G926" s="6" t="s">
        <v>1644</v>
      </c>
      <c r="H926" s="6" t="s">
        <v>1445</v>
      </c>
      <c r="I926" s="6" t="s">
        <v>4684</v>
      </c>
      <c r="J926" s="6" t="s">
        <v>5365</v>
      </c>
      <c r="K926" s="6" t="s">
        <v>4790</v>
      </c>
      <c r="L926" s="2" t="s">
        <v>2963</v>
      </c>
      <c r="M926" s="2"/>
      <c r="N926" s="9" t="s">
        <v>2778</v>
      </c>
      <c r="O926" s="6" t="s">
        <v>504</v>
      </c>
      <c r="P926" s="6" t="s">
        <v>85</v>
      </c>
      <c r="Q926" s="6" t="s">
        <v>5155</v>
      </c>
      <c r="R926" s="6" t="s">
        <v>5922</v>
      </c>
    </row>
    <row r="927" customFormat="false" ht="23.85" hidden="false" customHeight="false" outlineLevel="0" collapsed="false">
      <c r="A927" s="6" t="s">
        <v>5098</v>
      </c>
      <c r="B927" s="6" t="s">
        <v>127</v>
      </c>
      <c r="C927" s="6" t="s">
        <v>5006</v>
      </c>
      <c r="D927" s="6" t="s">
        <v>3201</v>
      </c>
      <c r="E927" s="6" t="s">
        <v>3201</v>
      </c>
      <c r="F927" s="6" t="s">
        <v>3201</v>
      </c>
      <c r="G927" s="6" t="s">
        <v>1215</v>
      </c>
      <c r="H927" s="6" t="s">
        <v>287</v>
      </c>
      <c r="I927" s="6" t="s">
        <v>4680</v>
      </c>
      <c r="J927" s="6" t="s">
        <v>160</v>
      </c>
      <c r="K927" s="6" t="s">
        <v>4675</v>
      </c>
      <c r="L927" s="2" t="s">
        <v>3203</v>
      </c>
      <c r="M927" s="2"/>
      <c r="N927" s="9" t="s">
        <v>3204</v>
      </c>
      <c r="O927" s="6" t="s">
        <v>160</v>
      </c>
      <c r="P927" s="6" t="s">
        <v>85</v>
      </c>
      <c r="Q927" s="6" t="s">
        <v>5098</v>
      </c>
      <c r="R927" s="6" t="s">
        <v>5886</v>
      </c>
    </row>
    <row r="928" customFormat="false" ht="23.85" hidden="false" customHeight="false" outlineLevel="0" collapsed="false">
      <c r="A928" s="6" t="s">
        <v>5098</v>
      </c>
      <c r="B928" s="6" t="s">
        <v>127</v>
      </c>
      <c r="C928" s="6" t="s">
        <v>5006</v>
      </c>
      <c r="D928" s="6" t="s">
        <v>1869</v>
      </c>
      <c r="E928" s="6" t="s">
        <v>1869</v>
      </c>
      <c r="F928" s="6" t="s">
        <v>1870</v>
      </c>
      <c r="G928" s="6" t="s">
        <v>182</v>
      </c>
      <c r="H928" s="6" t="s">
        <v>287</v>
      </c>
      <c r="I928" s="6" t="s">
        <v>4706</v>
      </c>
      <c r="J928" s="6" t="s">
        <v>1874</v>
      </c>
      <c r="K928" s="6" t="s">
        <v>4679</v>
      </c>
      <c r="L928" s="2" t="s">
        <v>1873</v>
      </c>
      <c r="M928" s="2" t="s">
        <v>1872</v>
      </c>
      <c r="N928" s="9" t="s">
        <v>1875</v>
      </c>
      <c r="O928" s="6" t="s">
        <v>1874</v>
      </c>
      <c r="P928" s="6" t="s">
        <v>106</v>
      </c>
      <c r="Q928" s="6" t="s">
        <v>5098</v>
      </c>
      <c r="R928" s="6" t="s">
        <v>5886</v>
      </c>
    </row>
    <row r="929" customFormat="false" ht="15" hidden="false" customHeight="false" outlineLevel="0" collapsed="false">
      <c r="A929" s="6" t="s">
        <v>5098</v>
      </c>
      <c r="B929" s="6" t="s">
        <v>127</v>
      </c>
      <c r="C929" s="6" t="s">
        <v>5006</v>
      </c>
      <c r="D929" s="6" t="s">
        <v>4149</v>
      </c>
      <c r="E929" s="6" t="s">
        <v>4149</v>
      </c>
      <c r="F929" s="6" t="s">
        <v>6153</v>
      </c>
      <c r="G929" s="6" t="s">
        <v>1598</v>
      </c>
      <c r="H929" s="6" t="s">
        <v>1445</v>
      </c>
      <c r="I929" s="6" t="s">
        <v>4676</v>
      </c>
      <c r="J929" s="6" t="s">
        <v>143</v>
      </c>
      <c r="K929" s="6" t="s">
        <v>4790</v>
      </c>
      <c r="L929" s="2" t="s">
        <v>4152</v>
      </c>
      <c r="M929" s="2"/>
      <c r="N929" s="9" t="s">
        <v>4154</v>
      </c>
      <c r="O929" s="6" t="s">
        <v>143</v>
      </c>
      <c r="P929" s="6" t="s">
        <v>85</v>
      </c>
      <c r="Q929" s="6" t="s">
        <v>5098</v>
      </c>
      <c r="R929" s="6" t="s">
        <v>5922</v>
      </c>
    </row>
    <row r="930" customFormat="false" ht="23.85" hidden="false" customHeight="false" outlineLevel="0" collapsed="false">
      <c r="A930" s="6" t="s">
        <v>5098</v>
      </c>
      <c r="B930" s="6" t="s">
        <v>127</v>
      </c>
      <c r="C930" s="6" t="s">
        <v>5006</v>
      </c>
      <c r="D930" s="6" t="s">
        <v>3784</v>
      </c>
      <c r="E930" s="6" t="s">
        <v>3784</v>
      </c>
      <c r="F930" s="6" t="s">
        <v>3785</v>
      </c>
      <c r="G930" s="6" t="s">
        <v>153</v>
      </c>
      <c r="H930" s="6" t="s">
        <v>1445</v>
      </c>
      <c r="I930" s="6" t="s">
        <v>4680</v>
      </c>
      <c r="J930" s="6" t="s">
        <v>160</v>
      </c>
      <c r="K930" s="6" t="s">
        <v>4675</v>
      </c>
      <c r="L930" s="2" t="s">
        <v>3786</v>
      </c>
      <c r="M930" s="2"/>
      <c r="N930" s="9" t="s">
        <v>3787</v>
      </c>
      <c r="O930" s="6" t="s">
        <v>160</v>
      </c>
      <c r="P930" s="6" t="s">
        <v>85</v>
      </c>
      <c r="Q930" s="6" t="s">
        <v>5098</v>
      </c>
      <c r="R930" s="6" t="s">
        <v>5886</v>
      </c>
    </row>
    <row r="931" customFormat="false" ht="15" hidden="false" customHeight="false" outlineLevel="0" collapsed="false">
      <c r="A931" s="6" t="s">
        <v>5156</v>
      </c>
      <c r="B931" s="6" t="s">
        <v>127</v>
      </c>
      <c r="C931" s="6" t="s">
        <v>5016</v>
      </c>
      <c r="D931" s="6" t="s">
        <v>2773</v>
      </c>
      <c r="E931" s="6" t="s">
        <v>2773</v>
      </c>
      <c r="F931" s="6" t="s">
        <v>2774</v>
      </c>
      <c r="G931" s="6" t="s">
        <v>1644</v>
      </c>
      <c r="H931" s="6" t="s">
        <v>287</v>
      </c>
      <c r="I931" s="6" t="s">
        <v>5617</v>
      </c>
      <c r="J931" s="6" t="s">
        <v>5365</v>
      </c>
      <c r="K931" s="6" t="s">
        <v>4790</v>
      </c>
      <c r="L931" s="2" t="s">
        <v>2777</v>
      </c>
      <c r="M931" s="2" t="s">
        <v>2776</v>
      </c>
      <c r="N931" s="9" t="s">
        <v>2778</v>
      </c>
      <c r="O931" s="6" t="s">
        <v>504</v>
      </c>
      <c r="P931" s="6" t="s">
        <v>85</v>
      </c>
      <c r="Q931" s="6" t="s">
        <v>5156</v>
      </c>
      <c r="R931" s="6" t="s">
        <v>5922</v>
      </c>
    </row>
    <row r="932" customFormat="false" ht="15" hidden="false" customHeight="false" outlineLevel="0" collapsed="false">
      <c r="A932" s="6" t="s">
        <v>5156</v>
      </c>
      <c r="B932" s="6" t="s">
        <v>127</v>
      </c>
      <c r="C932" s="6" t="s">
        <v>5006</v>
      </c>
      <c r="D932" s="6" t="s">
        <v>3485</v>
      </c>
      <c r="E932" s="6" t="s">
        <v>3485</v>
      </c>
      <c r="F932" s="6" t="s">
        <v>3486</v>
      </c>
      <c r="G932" s="6" t="s">
        <v>1583</v>
      </c>
      <c r="H932" s="6" t="s">
        <v>287</v>
      </c>
      <c r="I932" s="6" t="s">
        <v>4706</v>
      </c>
      <c r="J932" s="6" t="s">
        <v>5365</v>
      </c>
      <c r="K932" s="6" t="s">
        <v>4790</v>
      </c>
      <c r="L932" s="2" t="s">
        <v>3488</v>
      </c>
      <c r="M932" s="2"/>
      <c r="N932" s="9" t="s">
        <v>2778</v>
      </c>
      <c r="O932" s="6" t="s">
        <v>504</v>
      </c>
      <c r="P932" s="6" t="s">
        <v>85</v>
      </c>
      <c r="Q932" s="6" t="s">
        <v>5156</v>
      </c>
      <c r="R932" s="6" t="s">
        <v>5922</v>
      </c>
    </row>
    <row r="933" customFormat="false" ht="15" hidden="false" customHeight="false" outlineLevel="0" collapsed="false">
      <c r="A933" s="6" t="s">
        <v>5211</v>
      </c>
      <c r="B933" s="6" t="s">
        <v>127</v>
      </c>
      <c r="C933" s="6" t="s">
        <v>4682</v>
      </c>
      <c r="D933" s="6" t="s">
        <v>1058</v>
      </c>
      <c r="E933" s="6" t="s">
        <v>1058</v>
      </c>
      <c r="F933" s="6" t="s">
        <v>1058</v>
      </c>
      <c r="G933" s="6" t="s">
        <v>90</v>
      </c>
      <c r="H933" s="6" t="s">
        <v>77</v>
      </c>
      <c r="I933" s="6" t="s">
        <v>4682</v>
      </c>
      <c r="J933" s="6" t="s">
        <v>517</v>
      </c>
      <c r="K933" s="6" t="s">
        <v>4790</v>
      </c>
      <c r="L933" s="2" t="s">
        <v>1061</v>
      </c>
      <c r="M933" s="2" t="s">
        <v>1060</v>
      </c>
      <c r="N933" s="9" t="s">
        <v>1062</v>
      </c>
      <c r="O933" s="6" t="s">
        <v>517</v>
      </c>
      <c r="P933" s="6" t="s">
        <v>85</v>
      </c>
      <c r="Q933" s="6" t="s">
        <v>5211</v>
      </c>
      <c r="R933" s="6" t="s">
        <v>5922</v>
      </c>
    </row>
    <row r="934" customFormat="false" ht="15" hidden="false" customHeight="false" outlineLevel="0" collapsed="false">
      <c r="A934" s="6" t="s">
        <v>4777</v>
      </c>
      <c r="B934" s="6" t="s">
        <v>127</v>
      </c>
      <c r="C934" s="6" t="s">
        <v>4682</v>
      </c>
      <c r="D934" s="6" t="s">
        <v>2512</v>
      </c>
      <c r="E934" s="6" t="s">
        <v>2512</v>
      </c>
      <c r="F934" s="6" t="s">
        <v>2513</v>
      </c>
      <c r="G934" s="6" t="s">
        <v>164</v>
      </c>
      <c r="H934" s="6" t="s">
        <v>287</v>
      </c>
      <c r="I934" s="6" t="s">
        <v>4682</v>
      </c>
      <c r="J934" s="6" t="s">
        <v>178</v>
      </c>
      <c r="K934" s="6" t="s">
        <v>4675</v>
      </c>
      <c r="L934" s="2" t="s">
        <v>2516</v>
      </c>
      <c r="M934" s="2" t="s">
        <v>2515</v>
      </c>
      <c r="N934" s="9" t="s">
        <v>2517</v>
      </c>
      <c r="O934" s="6" t="s">
        <v>178</v>
      </c>
      <c r="P934" s="6" t="s">
        <v>85</v>
      </c>
      <c r="Q934" s="6" t="s">
        <v>4777</v>
      </c>
      <c r="R934" s="6" t="s">
        <v>5433</v>
      </c>
    </row>
    <row r="935" customFormat="false" ht="23.85" hidden="false" customHeight="false" outlineLevel="0" collapsed="false">
      <c r="A935" s="6" t="s">
        <v>5213</v>
      </c>
      <c r="B935" s="6" t="s">
        <v>127</v>
      </c>
      <c r="C935" s="6" t="s">
        <v>5016</v>
      </c>
      <c r="D935" s="6" t="s">
        <v>1272</v>
      </c>
      <c r="E935" s="6" t="s">
        <v>1272</v>
      </c>
      <c r="F935" s="6" t="s">
        <v>1273</v>
      </c>
      <c r="G935" s="6" t="s">
        <v>118</v>
      </c>
      <c r="H935" s="6" t="s">
        <v>287</v>
      </c>
      <c r="I935" s="6" t="s">
        <v>4684</v>
      </c>
      <c r="J935" s="6" t="s">
        <v>1162</v>
      </c>
      <c r="K935" s="6" t="s">
        <v>4679</v>
      </c>
      <c r="L935" s="2" t="s">
        <v>6154</v>
      </c>
      <c r="M935" s="2" t="s">
        <v>6155</v>
      </c>
      <c r="N935" s="9" t="s">
        <v>1278</v>
      </c>
      <c r="O935" s="6" t="s">
        <v>1162</v>
      </c>
      <c r="P935" s="6" t="s">
        <v>106</v>
      </c>
      <c r="Q935" s="6" t="s">
        <v>5213</v>
      </c>
      <c r="R935" s="6" t="s">
        <v>5357</v>
      </c>
    </row>
    <row r="936" customFormat="false" ht="15" hidden="false" customHeight="false" outlineLevel="0" collapsed="false">
      <c r="A936" s="6" t="s">
        <v>5214</v>
      </c>
      <c r="B936" s="6" t="s">
        <v>127</v>
      </c>
      <c r="C936" s="6" t="s">
        <v>5016</v>
      </c>
      <c r="D936" s="6" t="s">
        <v>2057</v>
      </c>
      <c r="E936" s="6" t="s">
        <v>2057</v>
      </c>
      <c r="F936" s="6" t="s">
        <v>2058</v>
      </c>
      <c r="G936" s="6" t="s">
        <v>118</v>
      </c>
      <c r="H936" s="6" t="s">
        <v>287</v>
      </c>
      <c r="I936" s="6" t="s">
        <v>4684</v>
      </c>
      <c r="J936" s="6" t="s">
        <v>1162</v>
      </c>
      <c r="K936" s="6" t="s">
        <v>4790</v>
      </c>
      <c r="L936" s="2" t="s">
        <v>2061</v>
      </c>
      <c r="M936" s="2" t="s">
        <v>2060</v>
      </c>
      <c r="N936" s="9" t="s">
        <v>2062</v>
      </c>
      <c r="O936" s="6" t="s">
        <v>1162</v>
      </c>
      <c r="P936" s="6" t="s">
        <v>85</v>
      </c>
      <c r="Q936" s="6" t="s">
        <v>5214</v>
      </c>
      <c r="R936" s="6" t="s">
        <v>5377</v>
      </c>
    </row>
    <row r="937" customFormat="false" ht="15" hidden="false" customHeight="false" outlineLevel="0" collapsed="false">
      <c r="A937" s="6" t="s">
        <v>4787</v>
      </c>
      <c r="B937" s="6" t="s">
        <v>127</v>
      </c>
      <c r="C937" s="6" t="s">
        <v>5016</v>
      </c>
      <c r="D937" s="6" t="s">
        <v>2754</v>
      </c>
      <c r="E937" s="6" t="s">
        <v>2754</v>
      </c>
      <c r="F937" s="6" t="s">
        <v>6097</v>
      </c>
      <c r="G937" s="6" t="s">
        <v>1583</v>
      </c>
      <c r="H937" s="6" t="s">
        <v>287</v>
      </c>
      <c r="I937" s="6" t="s">
        <v>4684</v>
      </c>
      <c r="J937" s="6" t="s">
        <v>5365</v>
      </c>
      <c r="K937" s="6" t="s">
        <v>4790</v>
      </c>
      <c r="L937" s="2" t="s">
        <v>2758</v>
      </c>
      <c r="M937" s="2"/>
      <c r="N937" s="9" t="s">
        <v>1881</v>
      </c>
      <c r="O937" s="6" t="s">
        <v>256</v>
      </c>
      <c r="P937" s="6" t="s">
        <v>85</v>
      </c>
      <c r="Q937" s="6" t="s">
        <v>4787</v>
      </c>
      <c r="R937" s="6" t="s">
        <v>5922</v>
      </c>
    </row>
    <row r="938" customFormat="false" ht="23.85" hidden="false" customHeight="false" outlineLevel="0" collapsed="false">
      <c r="A938" s="6" t="s">
        <v>4787</v>
      </c>
      <c r="B938" s="6" t="s">
        <v>127</v>
      </c>
      <c r="C938" s="6" t="s">
        <v>5016</v>
      </c>
      <c r="D938" s="6" t="s">
        <v>3227</v>
      </c>
      <c r="E938" s="6" t="s">
        <v>3227</v>
      </c>
      <c r="F938" s="6" t="s">
        <v>3228</v>
      </c>
      <c r="G938" s="6" t="s">
        <v>1583</v>
      </c>
      <c r="H938" s="6" t="s">
        <v>287</v>
      </c>
      <c r="I938" s="6" t="s">
        <v>4684</v>
      </c>
      <c r="J938" s="6" t="s">
        <v>411</v>
      </c>
      <c r="K938" s="6" t="s">
        <v>4790</v>
      </c>
      <c r="L938" s="2" t="s">
        <v>3230</v>
      </c>
      <c r="M938" s="2" t="s">
        <v>3229</v>
      </c>
      <c r="N938" s="9" t="s">
        <v>3231</v>
      </c>
      <c r="O938" s="6" t="s">
        <v>411</v>
      </c>
      <c r="P938" s="6" t="s">
        <v>85</v>
      </c>
      <c r="Q938" s="6" t="s">
        <v>4787</v>
      </c>
      <c r="R938" s="6" t="s">
        <v>5922</v>
      </c>
    </row>
    <row r="939" customFormat="false" ht="46.25" hidden="false" customHeight="false" outlineLevel="0" collapsed="false">
      <c r="A939" s="6" t="s">
        <v>4787</v>
      </c>
      <c r="B939" s="6" t="s">
        <v>127</v>
      </c>
      <c r="C939" s="6" t="s">
        <v>5016</v>
      </c>
      <c r="D939" s="6" t="s">
        <v>817</v>
      </c>
      <c r="E939" s="6" t="s">
        <v>817</v>
      </c>
      <c r="F939" s="6" t="s">
        <v>818</v>
      </c>
      <c r="G939" s="6" t="s">
        <v>118</v>
      </c>
      <c r="H939" s="6" t="s">
        <v>287</v>
      </c>
      <c r="I939" s="6" t="s">
        <v>4684</v>
      </c>
      <c r="J939" s="6" t="s">
        <v>1162</v>
      </c>
      <c r="K939" s="6" t="s">
        <v>4790</v>
      </c>
      <c r="L939" s="2" t="s">
        <v>821</v>
      </c>
      <c r="M939" s="2" t="s">
        <v>820</v>
      </c>
      <c r="N939" s="9" t="s">
        <v>822</v>
      </c>
      <c r="O939" s="6" t="s">
        <v>130</v>
      </c>
      <c r="P939" s="6" t="s">
        <v>85</v>
      </c>
      <c r="Q939" s="6" t="s">
        <v>4787</v>
      </c>
      <c r="R939" s="6" t="s">
        <v>5357</v>
      </c>
    </row>
    <row r="940" customFormat="false" ht="35.05" hidden="false" customHeight="false" outlineLevel="0" collapsed="false">
      <c r="A940" s="6" t="s">
        <v>4787</v>
      </c>
      <c r="B940" s="6" t="s">
        <v>127</v>
      </c>
      <c r="C940" s="6" t="s">
        <v>5016</v>
      </c>
      <c r="D940" s="6" t="s">
        <v>700</v>
      </c>
      <c r="E940" s="6" t="s">
        <v>6156</v>
      </c>
      <c r="F940" s="6" t="s">
        <v>701</v>
      </c>
      <c r="G940" s="6" t="s">
        <v>153</v>
      </c>
      <c r="H940" s="6" t="s">
        <v>287</v>
      </c>
      <c r="I940" s="6" t="s">
        <v>4684</v>
      </c>
      <c r="J940" s="6" t="s">
        <v>5365</v>
      </c>
      <c r="K940" s="6" t="s">
        <v>4790</v>
      </c>
      <c r="L940" s="2" t="s">
        <v>704</v>
      </c>
      <c r="M940" s="2" t="s">
        <v>6157</v>
      </c>
      <c r="N940" s="9" t="s">
        <v>705</v>
      </c>
      <c r="O940" s="6" t="s">
        <v>160</v>
      </c>
      <c r="P940" s="6" t="s">
        <v>85</v>
      </c>
      <c r="Q940" s="6" t="s">
        <v>4787</v>
      </c>
      <c r="R940" s="6" t="s">
        <v>5922</v>
      </c>
    </row>
    <row r="941" customFormat="false" ht="15" hidden="false" customHeight="false" outlineLevel="0" collapsed="false">
      <c r="A941" s="6" t="s">
        <v>4787</v>
      </c>
      <c r="B941" s="6" t="s">
        <v>127</v>
      </c>
      <c r="C941" s="6" t="s">
        <v>5016</v>
      </c>
      <c r="D941" s="6" t="s">
        <v>1876</v>
      </c>
      <c r="E941" s="6" t="s">
        <v>1876</v>
      </c>
      <c r="F941" s="6" t="s">
        <v>1877</v>
      </c>
      <c r="G941" s="6" t="s">
        <v>182</v>
      </c>
      <c r="H941" s="6" t="s">
        <v>287</v>
      </c>
      <c r="I941" s="6" t="s">
        <v>4684</v>
      </c>
      <c r="J941" s="6" t="s">
        <v>5365</v>
      </c>
      <c r="K941" s="6" t="s">
        <v>4790</v>
      </c>
      <c r="L941" s="2" t="s">
        <v>1880</v>
      </c>
      <c r="M941" s="2"/>
      <c r="N941" s="9" t="s">
        <v>1881</v>
      </c>
      <c r="O941" s="6" t="s">
        <v>256</v>
      </c>
      <c r="P941" s="6" t="s">
        <v>85</v>
      </c>
      <c r="Q941" s="6" t="s">
        <v>4787</v>
      </c>
      <c r="R941" s="6" t="s">
        <v>5922</v>
      </c>
    </row>
    <row r="942" customFormat="false" ht="23.85" hidden="false" customHeight="false" outlineLevel="0" collapsed="false">
      <c r="A942" s="6" t="s">
        <v>4787</v>
      </c>
      <c r="B942" s="6" t="s">
        <v>127</v>
      </c>
      <c r="C942" s="6" t="s">
        <v>5016</v>
      </c>
      <c r="D942" s="6" t="s">
        <v>3822</v>
      </c>
      <c r="E942" s="6" t="s">
        <v>3822</v>
      </c>
      <c r="F942" s="6" t="s">
        <v>3823</v>
      </c>
      <c r="G942" s="6" t="s">
        <v>1598</v>
      </c>
      <c r="H942" s="6" t="s">
        <v>1445</v>
      </c>
      <c r="I942" s="6" t="s">
        <v>4684</v>
      </c>
      <c r="J942" s="6" t="s">
        <v>5365</v>
      </c>
      <c r="K942" s="6" t="s">
        <v>4790</v>
      </c>
      <c r="L942" s="2" t="s">
        <v>3826</v>
      </c>
      <c r="M942" s="2" t="s">
        <v>6158</v>
      </c>
      <c r="N942" s="9" t="s">
        <v>1881</v>
      </c>
      <c r="O942" s="6" t="s">
        <v>256</v>
      </c>
      <c r="P942" s="6" t="s">
        <v>85</v>
      </c>
      <c r="Q942" s="6" t="s">
        <v>4787</v>
      </c>
      <c r="R942" s="6" t="s">
        <v>5922</v>
      </c>
    </row>
    <row r="943" customFormat="false" ht="15" hidden="false" customHeight="false" outlineLevel="0" collapsed="false">
      <c r="A943" s="6" t="s">
        <v>4787</v>
      </c>
      <c r="B943" s="6" t="s">
        <v>127</v>
      </c>
      <c r="C943" s="6" t="s">
        <v>5016</v>
      </c>
      <c r="D943" s="6" t="s">
        <v>4118</v>
      </c>
      <c r="E943" s="6" t="s">
        <v>4118</v>
      </c>
      <c r="F943" s="6" t="s">
        <v>4119</v>
      </c>
      <c r="G943" s="6" t="s">
        <v>1598</v>
      </c>
      <c r="H943" s="6" t="s">
        <v>1445</v>
      </c>
      <c r="I943" s="6" t="s">
        <v>4684</v>
      </c>
      <c r="J943" s="6" t="s">
        <v>5365</v>
      </c>
      <c r="K943" s="6" t="s">
        <v>4790</v>
      </c>
      <c r="L943" s="2" t="s">
        <v>4120</v>
      </c>
      <c r="M943" s="2"/>
      <c r="N943" s="9" t="s">
        <v>1881</v>
      </c>
      <c r="O943" s="6" t="s">
        <v>256</v>
      </c>
      <c r="P943" s="6" t="s">
        <v>85</v>
      </c>
      <c r="Q943" s="6" t="s">
        <v>4787</v>
      </c>
      <c r="R943" s="6" t="s">
        <v>5922</v>
      </c>
    </row>
    <row r="944" customFormat="false" ht="23.85" hidden="false" customHeight="false" outlineLevel="0" collapsed="false">
      <c r="A944" s="6" t="s">
        <v>4787</v>
      </c>
      <c r="B944" s="6" t="s">
        <v>127</v>
      </c>
      <c r="C944" s="6" t="s">
        <v>5016</v>
      </c>
      <c r="D944" s="6" t="s">
        <v>4124</v>
      </c>
      <c r="E944" s="6" t="s">
        <v>4124</v>
      </c>
      <c r="F944" s="6" t="s">
        <v>4125</v>
      </c>
      <c r="G944" s="6" t="s">
        <v>1598</v>
      </c>
      <c r="H944" s="6" t="s">
        <v>1445</v>
      </c>
      <c r="I944" s="6" t="s">
        <v>4684</v>
      </c>
      <c r="J944" s="6" t="s">
        <v>5365</v>
      </c>
      <c r="K944" s="6" t="s">
        <v>4790</v>
      </c>
      <c r="L944" s="2" t="s">
        <v>4127</v>
      </c>
      <c r="M944" s="2" t="s">
        <v>4126</v>
      </c>
      <c r="N944" s="9" t="s">
        <v>4128</v>
      </c>
      <c r="O944" s="6" t="s">
        <v>308</v>
      </c>
      <c r="P944" s="6" t="s">
        <v>106</v>
      </c>
      <c r="Q944" s="6" t="s">
        <v>4787</v>
      </c>
      <c r="R944" s="6" t="s">
        <v>5922</v>
      </c>
    </row>
    <row r="945" customFormat="false" ht="15" hidden="false" customHeight="false" outlineLevel="0" collapsed="false">
      <c r="A945" s="6" t="s">
        <v>4787</v>
      </c>
      <c r="B945" s="6" t="s">
        <v>127</v>
      </c>
      <c r="C945" s="6" t="s">
        <v>5016</v>
      </c>
      <c r="D945" s="6" t="s">
        <v>3914</v>
      </c>
      <c r="E945" s="6" t="s">
        <v>3914</v>
      </c>
      <c r="F945" s="6" t="s">
        <v>3914</v>
      </c>
      <c r="G945" s="6" t="s">
        <v>507</v>
      </c>
      <c r="H945" s="6" t="s">
        <v>1445</v>
      </c>
      <c r="I945" s="6" t="s">
        <v>4680</v>
      </c>
      <c r="J945" s="6" t="s">
        <v>256</v>
      </c>
      <c r="K945" s="6" t="s">
        <v>4675</v>
      </c>
      <c r="L945" s="2" t="s">
        <v>3917</v>
      </c>
      <c r="M945" s="2" t="s">
        <v>3916</v>
      </c>
      <c r="N945" s="9" t="s">
        <v>3918</v>
      </c>
      <c r="O945" s="6" t="s">
        <v>256</v>
      </c>
      <c r="P945" s="6" t="s">
        <v>85</v>
      </c>
      <c r="Q945" s="6" t="s">
        <v>4787</v>
      </c>
      <c r="R945" s="6" t="s">
        <v>5922</v>
      </c>
    </row>
    <row r="946" customFormat="false" ht="15" hidden="false" customHeight="false" outlineLevel="0" collapsed="false">
      <c r="A946" s="6" t="s">
        <v>4787</v>
      </c>
      <c r="B946" s="6" t="s">
        <v>127</v>
      </c>
      <c r="C946" s="6" t="s">
        <v>5016</v>
      </c>
      <c r="D946" s="6" t="s">
        <v>4392</v>
      </c>
      <c r="E946" s="6" t="s">
        <v>4392</v>
      </c>
      <c r="F946" s="6" t="s">
        <v>3849</v>
      </c>
      <c r="G946" s="6" t="s">
        <v>1215</v>
      </c>
      <c r="H946" s="6" t="s">
        <v>1445</v>
      </c>
      <c r="I946" s="6" t="s">
        <v>4684</v>
      </c>
      <c r="J946" s="6" t="s">
        <v>411</v>
      </c>
      <c r="K946" s="6" t="s">
        <v>4790</v>
      </c>
      <c r="L946" s="2" t="s">
        <v>4393</v>
      </c>
      <c r="M946" s="2"/>
      <c r="N946" s="9" t="s">
        <v>4394</v>
      </c>
      <c r="O946" s="6" t="s">
        <v>411</v>
      </c>
      <c r="P946" s="6" t="s">
        <v>85</v>
      </c>
      <c r="Q946" s="6" t="s">
        <v>4787</v>
      </c>
      <c r="R946" s="6" t="s">
        <v>5922</v>
      </c>
    </row>
    <row r="947" customFormat="false" ht="15" hidden="false" customHeight="false" outlineLevel="0" collapsed="false">
      <c r="A947" s="6" t="s">
        <v>4787</v>
      </c>
      <c r="B947" s="6" t="s">
        <v>127</v>
      </c>
      <c r="C947" s="6" t="s">
        <v>5016</v>
      </c>
      <c r="D947" s="6" t="s">
        <v>3957</v>
      </c>
      <c r="E947" s="6" t="s">
        <v>3957</v>
      </c>
      <c r="F947" s="6" t="s">
        <v>3958</v>
      </c>
      <c r="G947" s="6" t="s">
        <v>507</v>
      </c>
      <c r="H947" s="6" t="s">
        <v>1445</v>
      </c>
      <c r="I947" s="6" t="s">
        <v>4684</v>
      </c>
      <c r="J947" s="6" t="s">
        <v>5365</v>
      </c>
      <c r="K947" s="6" t="s">
        <v>4790</v>
      </c>
      <c r="L947" s="2" t="s">
        <v>3959</v>
      </c>
      <c r="M947" s="2"/>
      <c r="N947" s="9" t="s">
        <v>1881</v>
      </c>
      <c r="O947" s="6" t="s">
        <v>256</v>
      </c>
      <c r="P947" s="6" t="s">
        <v>85</v>
      </c>
      <c r="Q947" s="6" t="s">
        <v>4787</v>
      </c>
      <c r="R947" s="6" t="s">
        <v>5922</v>
      </c>
    </row>
    <row r="948" customFormat="false" ht="23.85" hidden="false" customHeight="false" outlineLevel="0" collapsed="false">
      <c r="A948" s="6" t="s">
        <v>4787</v>
      </c>
      <c r="B948" s="6" t="s">
        <v>127</v>
      </c>
      <c r="C948" s="6" t="s">
        <v>5016</v>
      </c>
      <c r="D948" s="6" t="s">
        <v>4452</v>
      </c>
      <c r="E948" s="6" t="s">
        <v>4452</v>
      </c>
      <c r="F948" s="6" t="s">
        <v>4453</v>
      </c>
      <c r="G948" s="6" t="s">
        <v>1598</v>
      </c>
      <c r="H948" s="6" t="s">
        <v>1445</v>
      </c>
      <c r="I948" s="6" t="s">
        <v>4684</v>
      </c>
      <c r="J948" s="6" t="s">
        <v>5365</v>
      </c>
      <c r="K948" s="6" t="s">
        <v>4790</v>
      </c>
      <c r="L948" s="2" t="s">
        <v>4454</v>
      </c>
      <c r="M948" s="2"/>
      <c r="N948" s="9" t="s">
        <v>4455</v>
      </c>
      <c r="O948" s="6" t="s">
        <v>332</v>
      </c>
      <c r="P948" s="6" t="s">
        <v>106</v>
      </c>
      <c r="Q948" s="6" t="s">
        <v>4787</v>
      </c>
      <c r="R948" s="6" t="s">
        <v>5922</v>
      </c>
    </row>
    <row r="949" customFormat="false" ht="23.85" hidden="false" customHeight="false" outlineLevel="0" collapsed="false">
      <c r="A949" s="6" t="s">
        <v>4787</v>
      </c>
      <c r="B949" s="6" t="s">
        <v>127</v>
      </c>
      <c r="C949" s="6" t="s">
        <v>5016</v>
      </c>
      <c r="D949" s="6" t="s">
        <v>4538</v>
      </c>
      <c r="E949" s="6" t="s">
        <v>4538</v>
      </c>
      <c r="F949" s="6" t="s">
        <v>4539</v>
      </c>
      <c r="G949" s="6" t="s">
        <v>1583</v>
      </c>
      <c r="H949" s="6" t="s">
        <v>1445</v>
      </c>
      <c r="I949" s="6" t="s">
        <v>4684</v>
      </c>
      <c r="J949" s="6" t="s">
        <v>5365</v>
      </c>
      <c r="K949" s="6" t="s">
        <v>4790</v>
      </c>
      <c r="L949" s="2" t="s">
        <v>4540</v>
      </c>
      <c r="M949" s="2"/>
      <c r="N949" s="9" t="s">
        <v>1881</v>
      </c>
      <c r="O949" s="6" t="s">
        <v>256</v>
      </c>
      <c r="P949" s="6" t="s">
        <v>85</v>
      </c>
      <c r="Q949" s="6" t="s">
        <v>4787</v>
      </c>
      <c r="R949" s="6" t="s">
        <v>5922</v>
      </c>
    </row>
    <row r="950" customFormat="false" ht="15" hidden="false" customHeight="false" outlineLevel="0" collapsed="false">
      <c r="A950" s="6" t="s">
        <v>4787</v>
      </c>
      <c r="B950" s="6" t="s">
        <v>127</v>
      </c>
      <c r="C950" s="6" t="s">
        <v>5016</v>
      </c>
      <c r="D950" s="6" t="s">
        <v>4644</v>
      </c>
      <c r="E950" s="6" t="s">
        <v>4644</v>
      </c>
      <c r="F950" s="6" t="s">
        <v>4645</v>
      </c>
      <c r="G950" s="6" t="s">
        <v>2284</v>
      </c>
      <c r="H950" s="6" t="s">
        <v>1445</v>
      </c>
      <c r="I950" s="6" t="s">
        <v>4684</v>
      </c>
      <c r="J950" s="6" t="s">
        <v>5365</v>
      </c>
      <c r="K950" s="6" t="s">
        <v>4790</v>
      </c>
      <c r="L950" s="2" t="s">
        <v>4647</v>
      </c>
      <c r="M950" s="2"/>
      <c r="N950" s="9" t="s">
        <v>1881</v>
      </c>
      <c r="O950" s="6" t="s">
        <v>256</v>
      </c>
      <c r="P950" s="6" t="s">
        <v>85</v>
      </c>
      <c r="Q950" s="6" t="s">
        <v>4787</v>
      </c>
      <c r="R950" s="6" t="s">
        <v>5922</v>
      </c>
    </row>
    <row r="951" customFormat="false" ht="15" hidden="false" customHeight="false" outlineLevel="0" collapsed="false">
      <c r="A951" s="6" t="s">
        <v>4787</v>
      </c>
      <c r="B951" s="6" t="s">
        <v>127</v>
      </c>
      <c r="C951" s="6" t="s">
        <v>5016</v>
      </c>
      <c r="D951" s="6" t="s">
        <v>3797</v>
      </c>
      <c r="E951" s="6" t="s">
        <v>3797</v>
      </c>
      <c r="F951" s="6" t="s">
        <v>3798</v>
      </c>
      <c r="G951" s="6" t="s">
        <v>182</v>
      </c>
      <c r="H951" s="6" t="s">
        <v>1445</v>
      </c>
      <c r="I951" s="6" t="s">
        <v>4684</v>
      </c>
      <c r="J951" s="6" t="s">
        <v>5365</v>
      </c>
      <c r="K951" s="6" t="s">
        <v>4790</v>
      </c>
      <c r="L951" s="2" t="s">
        <v>3801</v>
      </c>
      <c r="M951" s="2" t="s">
        <v>3800</v>
      </c>
      <c r="N951" s="9" t="s">
        <v>1881</v>
      </c>
      <c r="O951" s="6" t="s">
        <v>256</v>
      </c>
      <c r="P951" s="6" t="s">
        <v>85</v>
      </c>
      <c r="Q951" s="6" t="s">
        <v>4787</v>
      </c>
      <c r="R951" s="6" t="s">
        <v>5922</v>
      </c>
    </row>
    <row r="952" customFormat="false" ht="15" hidden="false" customHeight="false" outlineLevel="0" collapsed="false">
      <c r="A952" s="6" t="s">
        <v>4787</v>
      </c>
      <c r="B952" s="6" t="s">
        <v>127</v>
      </c>
      <c r="C952" s="6" t="s">
        <v>5016</v>
      </c>
      <c r="D952" s="6" t="s">
        <v>4599</v>
      </c>
      <c r="E952" s="6" t="s">
        <v>4599</v>
      </c>
      <c r="F952" s="6" t="s">
        <v>4599</v>
      </c>
      <c r="G952" s="6" t="s">
        <v>1215</v>
      </c>
      <c r="H952" s="6" t="s">
        <v>1445</v>
      </c>
      <c r="I952" s="6" t="s">
        <v>4684</v>
      </c>
      <c r="J952" s="6" t="s">
        <v>178</v>
      </c>
      <c r="K952" s="6" t="s">
        <v>4675</v>
      </c>
      <c r="L952" s="2" t="s">
        <v>4602</v>
      </c>
      <c r="M952" s="2" t="s">
        <v>4786</v>
      </c>
      <c r="N952" s="9" t="s">
        <v>4603</v>
      </c>
      <c r="O952" s="6" t="s">
        <v>178</v>
      </c>
      <c r="P952" s="6" t="s">
        <v>85</v>
      </c>
      <c r="Q952" s="6" t="s">
        <v>4787</v>
      </c>
      <c r="R952" s="6" t="s">
        <v>5433</v>
      </c>
    </row>
    <row r="953" customFormat="false" ht="23.85" hidden="false" customHeight="false" outlineLevel="0" collapsed="false">
      <c r="A953" s="6" t="s">
        <v>4787</v>
      </c>
      <c r="B953" s="6" t="s">
        <v>127</v>
      </c>
      <c r="C953" s="6" t="s">
        <v>5016</v>
      </c>
      <c r="D953" s="6" t="s">
        <v>4599</v>
      </c>
      <c r="E953" s="6" t="s">
        <v>4599</v>
      </c>
      <c r="F953" s="6" t="s">
        <v>6159</v>
      </c>
      <c r="G953" s="6" t="s">
        <v>1215</v>
      </c>
      <c r="H953" s="6" t="s">
        <v>1445</v>
      </c>
      <c r="I953" s="6" t="s">
        <v>4680</v>
      </c>
      <c r="J953" s="6" t="s">
        <v>178</v>
      </c>
      <c r="K953" s="6" t="s">
        <v>4675</v>
      </c>
      <c r="L953" s="2" t="s">
        <v>6160</v>
      </c>
      <c r="M953" s="2" t="s">
        <v>6161</v>
      </c>
      <c r="N953" s="9" t="s">
        <v>4604</v>
      </c>
      <c r="O953" s="6" t="s">
        <v>178</v>
      </c>
      <c r="P953" s="6" t="s">
        <v>85</v>
      </c>
      <c r="Q953" s="6" t="s">
        <v>4787</v>
      </c>
      <c r="R953" s="6" t="s">
        <v>5922</v>
      </c>
    </row>
    <row r="954" customFormat="false" ht="15" hidden="false" customHeight="false" outlineLevel="0" collapsed="false">
      <c r="A954" s="6" t="s">
        <v>5158</v>
      </c>
      <c r="B954" s="6" t="s">
        <v>127</v>
      </c>
      <c r="C954" s="6" t="s">
        <v>5016</v>
      </c>
      <c r="D954" s="6" t="s">
        <v>4048</v>
      </c>
      <c r="E954" s="6" t="s">
        <v>4048</v>
      </c>
      <c r="F954" s="6" t="s">
        <v>4049</v>
      </c>
      <c r="G954" s="6" t="s">
        <v>2312</v>
      </c>
      <c r="H954" s="6" t="s">
        <v>1445</v>
      </c>
      <c r="I954" s="6" t="s">
        <v>4684</v>
      </c>
      <c r="J954" s="6" t="s">
        <v>5365</v>
      </c>
      <c r="K954" s="6" t="s">
        <v>4679</v>
      </c>
      <c r="L954" s="2" t="s">
        <v>4051</v>
      </c>
      <c r="M954" s="2"/>
      <c r="N954" s="9" t="s">
        <v>4052</v>
      </c>
      <c r="O954" s="6" t="s">
        <v>2166</v>
      </c>
      <c r="P954" s="6" t="s">
        <v>106</v>
      </c>
      <c r="Q954" s="6" t="s">
        <v>5158</v>
      </c>
      <c r="R954" s="6" t="s">
        <v>5922</v>
      </c>
    </row>
    <row r="955" customFormat="false" ht="15" hidden="false" customHeight="false" outlineLevel="0" collapsed="false">
      <c r="A955" s="6" t="s">
        <v>5158</v>
      </c>
      <c r="B955" s="6" t="s">
        <v>127</v>
      </c>
      <c r="C955" s="6" t="s">
        <v>5016</v>
      </c>
      <c r="D955" s="6" t="s">
        <v>4564</v>
      </c>
      <c r="E955" s="6" t="s">
        <v>4564</v>
      </c>
      <c r="F955" s="6" t="s">
        <v>4565</v>
      </c>
      <c r="G955" s="6" t="s">
        <v>1583</v>
      </c>
      <c r="H955" s="6" t="s">
        <v>1445</v>
      </c>
      <c r="I955" s="6" t="s">
        <v>4684</v>
      </c>
      <c r="J955" s="6" t="s">
        <v>866</v>
      </c>
      <c r="K955" s="6" t="s">
        <v>4679</v>
      </c>
      <c r="L955" s="2" t="s">
        <v>4568</v>
      </c>
      <c r="M955" s="2" t="s">
        <v>4567</v>
      </c>
      <c r="N955" s="9" t="s">
        <v>4569</v>
      </c>
      <c r="O955" s="6" t="s">
        <v>866</v>
      </c>
      <c r="P955" s="6" t="s">
        <v>106</v>
      </c>
      <c r="Q955" s="6" t="s">
        <v>5158</v>
      </c>
      <c r="R955" s="6" t="s">
        <v>5922</v>
      </c>
    </row>
    <row r="956" customFormat="false" ht="15" hidden="false" customHeight="false" outlineLevel="0" collapsed="false">
      <c r="A956" s="6" t="s">
        <v>4738</v>
      </c>
      <c r="B956" s="6" t="s">
        <v>127</v>
      </c>
      <c r="C956" s="6" t="s">
        <v>5016</v>
      </c>
      <c r="D956" s="6" t="s">
        <v>2002</v>
      </c>
      <c r="E956" s="6" t="s">
        <v>2002</v>
      </c>
      <c r="F956" s="6" t="s">
        <v>2002</v>
      </c>
      <c r="G956" s="6" t="s">
        <v>76</v>
      </c>
      <c r="H956" s="6" t="s">
        <v>287</v>
      </c>
      <c r="I956" s="6" t="s">
        <v>4680</v>
      </c>
      <c r="J956" s="6" t="s">
        <v>256</v>
      </c>
      <c r="K956" s="6" t="s">
        <v>4675</v>
      </c>
      <c r="L956" s="2" t="s">
        <v>2005</v>
      </c>
      <c r="M956" s="2" t="s">
        <v>2004</v>
      </c>
      <c r="N956" s="9" t="s">
        <v>2006</v>
      </c>
      <c r="O956" s="6" t="s">
        <v>256</v>
      </c>
      <c r="P956" s="6" t="s">
        <v>85</v>
      </c>
      <c r="Q956" s="6" t="s">
        <v>4738</v>
      </c>
      <c r="R956" s="6" t="s">
        <v>5433</v>
      </c>
    </row>
    <row r="957" customFormat="false" ht="23.85" hidden="false" customHeight="false" outlineLevel="0" collapsed="false">
      <c r="A957" s="6" t="s">
        <v>4804</v>
      </c>
      <c r="B957" s="6" t="s">
        <v>127</v>
      </c>
      <c r="C957" s="6" t="s">
        <v>5016</v>
      </c>
      <c r="D957" s="6" t="s">
        <v>1795</v>
      </c>
      <c r="E957" s="6" t="s">
        <v>1795</v>
      </c>
      <c r="F957" s="6" t="s">
        <v>1796</v>
      </c>
      <c r="G957" s="6" t="s">
        <v>153</v>
      </c>
      <c r="H957" s="6" t="s">
        <v>287</v>
      </c>
      <c r="I957" s="6" t="s">
        <v>4684</v>
      </c>
      <c r="J957" s="6" t="s">
        <v>448</v>
      </c>
      <c r="K957" s="6" t="s">
        <v>4790</v>
      </c>
      <c r="L957" s="2" t="s">
        <v>6162</v>
      </c>
      <c r="M957" s="2" t="s">
        <v>6163</v>
      </c>
      <c r="N957" s="9" t="s">
        <v>1800</v>
      </c>
      <c r="O957" s="6" t="s">
        <v>448</v>
      </c>
      <c r="P957" s="6" t="s">
        <v>85</v>
      </c>
      <c r="Q957" s="6" t="s">
        <v>4804</v>
      </c>
      <c r="R957" s="6" t="s">
        <v>5357</v>
      </c>
    </row>
    <row r="958" customFormat="false" ht="35.05" hidden="false" customHeight="false" outlineLevel="0" collapsed="false">
      <c r="A958" s="6" t="s">
        <v>4804</v>
      </c>
      <c r="B958" s="6" t="s">
        <v>127</v>
      </c>
      <c r="C958" s="6" t="s">
        <v>5016</v>
      </c>
      <c r="D958" s="6" t="s">
        <v>326</v>
      </c>
      <c r="E958" s="6" t="s">
        <v>326</v>
      </c>
      <c r="F958" s="6" t="s">
        <v>327</v>
      </c>
      <c r="G958" s="6" t="s">
        <v>239</v>
      </c>
      <c r="H958" s="6" t="s">
        <v>287</v>
      </c>
      <c r="I958" s="6" t="s">
        <v>4680</v>
      </c>
      <c r="J958" s="6" t="s">
        <v>332</v>
      </c>
      <c r="K958" s="6" t="s">
        <v>4790</v>
      </c>
      <c r="L958" s="2" t="s">
        <v>331</v>
      </c>
      <c r="M958" s="2" t="s">
        <v>6164</v>
      </c>
      <c r="N958" s="9" t="s">
        <v>333</v>
      </c>
      <c r="O958" s="6" t="s">
        <v>332</v>
      </c>
      <c r="P958" s="6" t="s">
        <v>85</v>
      </c>
      <c r="Q958" s="6" t="s">
        <v>4804</v>
      </c>
      <c r="R958" s="6" t="s">
        <v>5922</v>
      </c>
    </row>
    <row r="959" customFormat="false" ht="23.85" hidden="false" customHeight="false" outlineLevel="0" collapsed="false">
      <c r="A959" s="6" t="s">
        <v>4804</v>
      </c>
      <c r="B959" s="6" t="s">
        <v>127</v>
      </c>
      <c r="C959" s="6" t="s">
        <v>5016</v>
      </c>
      <c r="D959" s="6" t="s">
        <v>420</v>
      </c>
      <c r="E959" s="6" t="s">
        <v>420</v>
      </c>
      <c r="F959" s="6" t="s">
        <v>421</v>
      </c>
      <c r="G959" s="6" t="s">
        <v>239</v>
      </c>
      <c r="H959" s="6" t="s">
        <v>287</v>
      </c>
      <c r="I959" s="6" t="s">
        <v>4684</v>
      </c>
      <c r="J959" s="6" t="s">
        <v>5365</v>
      </c>
      <c r="K959" s="6" t="s">
        <v>4790</v>
      </c>
      <c r="L959" s="2" t="s">
        <v>425</v>
      </c>
      <c r="M959" s="2" t="s">
        <v>6165</v>
      </c>
      <c r="N959" s="9" t="s">
        <v>6166</v>
      </c>
      <c r="O959" s="6" t="s">
        <v>97</v>
      </c>
      <c r="P959" s="6" t="s">
        <v>85</v>
      </c>
      <c r="Q959" s="6" t="s">
        <v>4804</v>
      </c>
      <c r="R959" s="6" t="s">
        <v>5922</v>
      </c>
    </row>
    <row r="960" customFormat="false" ht="15" hidden="false" customHeight="false" outlineLevel="0" collapsed="false">
      <c r="A960" s="6" t="s">
        <v>4804</v>
      </c>
      <c r="B960" s="6" t="s">
        <v>127</v>
      </c>
      <c r="C960" s="6" t="s">
        <v>5016</v>
      </c>
      <c r="D960" s="6" t="s">
        <v>2601</v>
      </c>
      <c r="E960" s="6" t="s">
        <v>2601</v>
      </c>
      <c r="F960" s="6" t="s">
        <v>2419</v>
      </c>
      <c r="G960" s="6" t="s">
        <v>153</v>
      </c>
      <c r="H960" s="6" t="s">
        <v>1445</v>
      </c>
      <c r="I960" s="6" t="s">
        <v>4684</v>
      </c>
      <c r="J960" s="6" t="s">
        <v>5365</v>
      </c>
      <c r="K960" s="6" t="s">
        <v>4790</v>
      </c>
      <c r="L960" s="2" t="s">
        <v>3635</v>
      </c>
      <c r="M960" s="2"/>
      <c r="N960" s="9" t="s">
        <v>3636</v>
      </c>
      <c r="O960" s="6" t="s">
        <v>332</v>
      </c>
      <c r="P960" s="6" t="s">
        <v>98</v>
      </c>
      <c r="Q960" s="6" t="s">
        <v>4804</v>
      </c>
      <c r="R960" s="6" t="s">
        <v>5922</v>
      </c>
    </row>
    <row r="961" customFormat="false" ht="23.85" hidden="false" customHeight="false" outlineLevel="0" collapsed="false">
      <c r="A961" s="6" t="s">
        <v>4804</v>
      </c>
      <c r="B961" s="6" t="s">
        <v>127</v>
      </c>
      <c r="C961" s="6" t="s">
        <v>5016</v>
      </c>
      <c r="D961" s="6" t="s">
        <v>2988</v>
      </c>
      <c r="E961" s="6" t="s">
        <v>2988</v>
      </c>
      <c r="F961" s="6" t="s">
        <v>2989</v>
      </c>
      <c r="G961" s="6" t="s">
        <v>626</v>
      </c>
      <c r="H961" s="6" t="s">
        <v>1445</v>
      </c>
      <c r="I961" s="6" t="s">
        <v>4684</v>
      </c>
      <c r="J961" s="6" t="s">
        <v>5365</v>
      </c>
      <c r="K961" s="6" t="s">
        <v>4679</v>
      </c>
      <c r="L961" s="2" t="s">
        <v>6167</v>
      </c>
      <c r="M961" s="2" t="s">
        <v>6168</v>
      </c>
      <c r="N961" s="9" t="s">
        <v>2778</v>
      </c>
      <c r="O961" s="6" t="s">
        <v>504</v>
      </c>
      <c r="P961" s="6" t="s">
        <v>106</v>
      </c>
      <c r="Q961" s="6" t="s">
        <v>4804</v>
      </c>
      <c r="R961" s="6" t="s">
        <v>5922</v>
      </c>
    </row>
    <row r="962" customFormat="false" ht="23.85" hidden="false" customHeight="false" outlineLevel="0" collapsed="false">
      <c r="A962" s="6" t="s">
        <v>4804</v>
      </c>
      <c r="B962" s="6" t="s">
        <v>127</v>
      </c>
      <c r="C962" s="6" t="s">
        <v>5016</v>
      </c>
      <c r="D962" s="6" t="s">
        <v>3760</v>
      </c>
      <c r="E962" s="6" t="s">
        <v>3760</v>
      </c>
      <c r="F962" s="6" t="s">
        <v>3761</v>
      </c>
      <c r="G962" s="6" t="s">
        <v>182</v>
      </c>
      <c r="H962" s="6" t="s">
        <v>1445</v>
      </c>
      <c r="I962" s="6" t="s">
        <v>4680</v>
      </c>
      <c r="J962" s="6" t="s">
        <v>308</v>
      </c>
      <c r="K962" s="6" t="s">
        <v>4675</v>
      </c>
      <c r="L962" s="2" t="s">
        <v>3765</v>
      </c>
      <c r="M962" s="2" t="s">
        <v>4803</v>
      </c>
      <c r="N962" s="9" t="s">
        <v>3766</v>
      </c>
      <c r="O962" s="6" t="s">
        <v>308</v>
      </c>
      <c r="P962" s="6" t="s">
        <v>85</v>
      </c>
      <c r="Q962" s="6" t="s">
        <v>4804</v>
      </c>
      <c r="R962" s="6" t="s">
        <v>5433</v>
      </c>
    </row>
    <row r="963" customFormat="false" ht="23.85" hidden="false" customHeight="false" outlineLevel="0" collapsed="false">
      <c r="A963" s="6" t="s">
        <v>5160</v>
      </c>
      <c r="B963" s="6" t="s">
        <v>127</v>
      </c>
      <c r="C963" s="6" t="s">
        <v>5006</v>
      </c>
      <c r="D963" s="6" t="s">
        <v>1897</v>
      </c>
      <c r="E963" s="6" t="s">
        <v>1897</v>
      </c>
      <c r="F963" s="6" t="s">
        <v>263</v>
      </c>
      <c r="G963" s="6" t="s">
        <v>182</v>
      </c>
      <c r="H963" s="6" t="s">
        <v>287</v>
      </c>
      <c r="I963" s="6" t="s">
        <v>4676</v>
      </c>
      <c r="J963" s="6" t="s">
        <v>5365</v>
      </c>
      <c r="K963" s="6" t="s">
        <v>4790</v>
      </c>
      <c r="L963" s="2" t="s">
        <v>6169</v>
      </c>
      <c r="M963" s="2" t="s">
        <v>6170</v>
      </c>
      <c r="N963" s="9" t="s">
        <v>1901</v>
      </c>
      <c r="O963" s="6" t="s">
        <v>1943</v>
      </c>
      <c r="P963" s="6" t="s">
        <v>106</v>
      </c>
      <c r="Q963" s="6" t="s">
        <v>5161</v>
      </c>
      <c r="R963" s="6" t="s">
        <v>5368</v>
      </c>
    </row>
    <row r="964" customFormat="false" ht="35.05" hidden="false" customHeight="false" outlineLevel="0" collapsed="false">
      <c r="A964" s="6" t="s">
        <v>5160</v>
      </c>
      <c r="B964" s="6" t="s">
        <v>127</v>
      </c>
      <c r="C964" s="6" t="s">
        <v>5006</v>
      </c>
      <c r="D964" s="6" t="s">
        <v>1498</v>
      </c>
      <c r="E964" s="6" t="s">
        <v>6171</v>
      </c>
      <c r="F964" s="6" t="s">
        <v>6104</v>
      </c>
      <c r="G964" s="6" t="s">
        <v>164</v>
      </c>
      <c r="H964" s="6" t="s">
        <v>1445</v>
      </c>
      <c r="I964" s="6" t="s">
        <v>4706</v>
      </c>
      <c r="J964" s="6" t="s">
        <v>324</v>
      </c>
      <c r="K964" s="6" t="s">
        <v>4790</v>
      </c>
      <c r="L964" s="2" t="s">
        <v>6172</v>
      </c>
      <c r="M964" s="2" t="s">
        <v>6173</v>
      </c>
      <c r="N964" s="9" t="s">
        <v>1505</v>
      </c>
      <c r="O964" s="6" t="s">
        <v>324</v>
      </c>
      <c r="P964" s="6" t="s">
        <v>85</v>
      </c>
      <c r="Q964" s="6" t="s">
        <v>5160</v>
      </c>
      <c r="R964" s="6" t="s">
        <v>5922</v>
      </c>
    </row>
    <row r="965" customFormat="false" ht="35.05" hidden="false" customHeight="false" outlineLevel="0" collapsed="false">
      <c r="A965" s="6" t="s">
        <v>4762</v>
      </c>
      <c r="B965" s="6" t="s">
        <v>127</v>
      </c>
      <c r="C965" s="6" t="s">
        <v>5006</v>
      </c>
      <c r="D965" s="6" t="s">
        <v>917</v>
      </c>
      <c r="E965" s="6" t="s">
        <v>917</v>
      </c>
      <c r="F965" s="6" t="s">
        <v>918</v>
      </c>
      <c r="G965" s="6" t="s">
        <v>164</v>
      </c>
      <c r="H965" s="6" t="s">
        <v>77</v>
      </c>
      <c r="I965" s="6" t="s">
        <v>4676</v>
      </c>
      <c r="J965" s="6" t="s">
        <v>517</v>
      </c>
      <c r="K965" s="6" t="s">
        <v>4790</v>
      </c>
      <c r="L965" s="2" t="s">
        <v>921</v>
      </c>
      <c r="M965" s="2" t="s">
        <v>920</v>
      </c>
      <c r="N965" s="9" t="s">
        <v>922</v>
      </c>
      <c r="O965" s="6" t="s">
        <v>517</v>
      </c>
      <c r="P965" s="6" t="s">
        <v>85</v>
      </c>
      <c r="Q965" s="6" t="s">
        <v>4762</v>
      </c>
      <c r="R965" s="6" t="s">
        <v>5368</v>
      </c>
    </row>
    <row r="966" customFormat="false" ht="23.85" hidden="false" customHeight="false" outlineLevel="0" collapsed="false">
      <c r="A966" s="6" t="s">
        <v>4762</v>
      </c>
      <c r="B966" s="6" t="s">
        <v>127</v>
      </c>
      <c r="C966" s="6" t="s">
        <v>5006</v>
      </c>
      <c r="D966" s="6" t="s">
        <v>1135</v>
      </c>
      <c r="E966" s="6" t="s">
        <v>1135</v>
      </c>
      <c r="F966" s="6" t="s">
        <v>1136</v>
      </c>
      <c r="G966" s="6" t="s">
        <v>507</v>
      </c>
      <c r="H966" s="6" t="s">
        <v>287</v>
      </c>
      <c r="I966" s="6" t="s">
        <v>4684</v>
      </c>
      <c r="J966" s="6" t="s">
        <v>5365</v>
      </c>
      <c r="K966" s="6" t="s">
        <v>4679</v>
      </c>
      <c r="L966" s="2" t="s">
        <v>1139</v>
      </c>
      <c r="M966" s="2" t="s">
        <v>1138</v>
      </c>
      <c r="N966" s="9" t="s">
        <v>1140</v>
      </c>
      <c r="O966" s="6" t="s">
        <v>440</v>
      </c>
      <c r="P966" s="6" t="s">
        <v>106</v>
      </c>
      <c r="Q966" s="6" t="s">
        <v>4762</v>
      </c>
      <c r="R966" s="6" t="s">
        <v>5357</v>
      </c>
    </row>
    <row r="967" customFormat="false" ht="23.85" hidden="false" customHeight="false" outlineLevel="0" collapsed="false">
      <c r="A967" s="6" t="s">
        <v>4762</v>
      </c>
      <c r="B967" s="6" t="s">
        <v>127</v>
      </c>
      <c r="C967" s="6" t="s">
        <v>5006</v>
      </c>
      <c r="D967" s="6" t="s">
        <v>2112</v>
      </c>
      <c r="E967" s="6" t="s">
        <v>2112</v>
      </c>
      <c r="F967" s="6" t="s">
        <v>2113</v>
      </c>
      <c r="G967" s="6" t="s">
        <v>118</v>
      </c>
      <c r="H967" s="6" t="s">
        <v>287</v>
      </c>
      <c r="I967" s="6" t="s">
        <v>4676</v>
      </c>
      <c r="J967" s="6" t="s">
        <v>1943</v>
      </c>
      <c r="K967" s="6" t="s">
        <v>4790</v>
      </c>
      <c r="L967" s="2" t="s">
        <v>2114</v>
      </c>
      <c r="M967" s="2"/>
      <c r="N967" s="9" t="s">
        <v>2115</v>
      </c>
      <c r="O967" s="6" t="s">
        <v>1943</v>
      </c>
      <c r="P967" s="6" t="s">
        <v>85</v>
      </c>
      <c r="Q967" s="6" t="s">
        <v>4762</v>
      </c>
      <c r="R967" s="6" t="s">
        <v>5886</v>
      </c>
    </row>
    <row r="968" customFormat="false" ht="23.85" hidden="false" customHeight="false" outlineLevel="0" collapsed="false">
      <c r="A968" s="6" t="s">
        <v>4762</v>
      </c>
      <c r="B968" s="6" t="s">
        <v>127</v>
      </c>
      <c r="C968" s="6" t="s">
        <v>5006</v>
      </c>
      <c r="D968" s="6" t="s">
        <v>2555</v>
      </c>
      <c r="E968" s="6" t="s">
        <v>2555</v>
      </c>
      <c r="F968" s="6" t="s">
        <v>918</v>
      </c>
      <c r="G968" s="6" t="s">
        <v>164</v>
      </c>
      <c r="H968" s="6" t="s">
        <v>287</v>
      </c>
      <c r="I968" s="6" t="s">
        <v>4680</v>
      </c>
      <c r="J968" s="6" t="s">
        <v>5365</v>
      </c>
      <c r="K968" s="6" t="s">
        <v>4790</v>
      </c>
      <c r="L968" s="2" t="s">
        <v>2558</v>
      </c>
      <c r="M968" s="2" t="s">
        <v>6174</v>
      </c>
      <c r="N968" s="9" t="s">
        <v>2559</v>
      </c>
      <c r="O968" s="6" t="s">
        <v>97</v>
      </c>
      <c r="P968" s="6" t="s">
        <v>106</v>
      </c>
      <c r="Q968" s="6" t="s">
        <v>4762</v>
      </c>
      <c r="R968" s="6" t="s">
        <v>5886</v>
      </c>
    </row>
    <row r="969" customFormat="false" ht="15" hidden="false" customHeight="false" outlineLevel="0" collapsed="false">
      <c r="A969" s="6" t="s">
        <v>4762</v>
      </c>
      <c r="B969" s="6" t="s">
        <v>127</v>
      </c>
      <c r="C969" s="6" t="s">
        <v>5006</v>
      </c>
      <c r="D969" s="6" t="s">
        <v>2555</v>
      </c>
      <c r="E969" s="6" t="s">
        <v>2555</v>
      </c>
      <c r="F969" s="6" t="s">
        <v>5365</v>
      </c>
      <c r="G969" s="6" t="s">
        <v>164</v>
      </c>
      <c r="H969" s="6" t="s">
        <v>287</v>
      </c>
      <c r="I969" s="6" t="s">
        <v>4676</v>
      </c>
      <c r="J969" s="6" t="s">
        <v>5365</v>
      </c>
      <c r="K969" s="6" t="s">
        <v>4679</v>
      </c>
      <c r="L969" s="2" t="s">
        <v>6175</v>
      </c>
      <c r="M969" s="2" t="s">
        <v>936</v>
      </c>
      <c r="N969" s="9" t="s">
        <v>2177</v>
      </c>
      <c r="O969" s="6" t="s">
        <v>97</v>
      </c>
      <c r="P969" s="6" t="s">
        <v>106</v>
      </c>
      <c r="Q969" s="6" t="s">
        <v>4762</v>
      </c>
      <c r="R969" s="6" t="s">
        <v>5377</v>
      </c>
    </row>
    <row r="970" customFormat="false" ht="15" hidden="false" customHeight="false" outlineLevel="0" collapsed="false">
      <c r="A970" s="6" t="s">
        <v>4762</v>
      </c>
      <c r="B970" s="6" t="s">
        <v>127</v>
      </c>
      <c r="C970" s="6" t="s">
        <v>5006</v>
      </c>
      <c r="D970" s="6" t="s">
        <v>2174</v>
      </c>
      <c r="E970" s="6" t="s">
        <v>2174</v>
      </c>
      <c r="F970" s="6" t="s">
        <v>2169</v>
      </c>
      <c r="G970" s="6" t="s">
        <v>118</v>
      </c>
      <c r="H970" s="6" t="s">
        <v>287</v>
      </c>
      <c r="I970" s="6" t="s">
        <v>4676</v>
      </c>
      <c r="J970" s="6" t="s">
        <v>5365</v>
      </c>
      <c r="K970" s="6" t="s">
        <v>4679</v>
      </c>
      <c r="L970" s="2" t="s">
        <v>2176</v>
      </c>
      <c r="M970" s="2" t="s">
        <v>936</v>
      </c>
      <c r="N970" s="9" t="s">
        <v>2177</v>
      </c>
      <c r="O970" s="6" t="s">
        <v>97</v>
      </c>
      <c r="P970" s="6" t="s">
        <v>106</v>
      </c>
      <c r="Q970" s="6" t="s">
        <v>4762</v>
      </c>
      <c r="R970" s="6" t="s">
        <v>5377</v>
      </c>
    </row>
    <row r="971" customFormat="false" ht="15" hidden="false" customHeight="false" outlineLevel="0" collapsed="false">
      <c r="A971" s="6" t="s">
        <v>4762</v>
      </c>
      <c r="B971" s="6" t="s">
        <v>127</v>
      </c>
      <c r="C971" s="6" t="s">
        <v>5006</v>
      </c>
      <c r="D971" s="6" t="s">
        <v>2192</v>
      </c>
      <c r="E971" s="6" t="s">
        <v>2192</v>
      </c>
      <c r="F971" s="6" t="s">
        <v>2193</v>
      </c>
      <c r="G971" s="6" t="s">
        <v>239</v>
      </c>
      <c r="H971" s="6" t="s">
        <v>287</v>
      </c>
      <c r="I971" s="6" t="s">
        <v>4676</v>
      </c>
      <c r="J971" s="6" t="s">
        <v>5365</v>
      </c>
      <c r="K971" s="6" t="s">
        <v>4679</v>
      </c>
      <c r="L971" s="2" t="s">
        <v>2194</v>
      </c>
      <c r="M971" s="2" t="s">
        <v>936</v>
      </c>
      <c r="N971" s="9" t="s">
        <v>2177</v>
      </c>
      <c r="O971" s="6" t="s">
        <v>97</v>
      </c>
      <c r="P971" s="6" t="s">
        <v>106</v>
      </c>
      <c r="Q971" s="6" t="s">
        <v>4762</v>
      </c>
      <c r="R971" s="6" t="s">
        <v>5377</v>
      </c>
    </row>
    <row r="972" customFormat="false" ht="15" hidden="false" customHeight="false" outlineLevel="0" collapsed="false">
      <c r="A972" s="6" t="s">
        <v>4762</v>
      </c>
      <c r="B972" s="6" t="s">
        <v>127</v>
      </c>
      <c r="C972" s="6" t="s">
        <v>5006</v>
      </c>
      <c r="D972" s="6" t="s">
        <v>3870</v>
      </c>
      <c r="E972" s="6" t="s">
        <v>3870</v>
      </c>
      <c r="F972" s="6" t="s">
        <v>3871</v>
      </c>
      <c r="G972" s="6" t="s">
        <v>507</v>
      </c>
      <c r="H972" s="6" t="s">
        <v>1445</v>
      </c>
      <c r="I972" s="6" t="s">
        <v>4676</v>
      </c>
      <c r="J972" s="6" t="s">
        <v>130</v>
      </c>
      <c r="K972" s="6" t="s">
        <v>4675</v>
      </c>
      <c r="L972" s="2" t="s">
        <v>3873</v>
      </c>
      <c r="M972" s="2"/>
      <c r="N972" s="9" t="s">
        <v>3874</v>
      </c>
      <c r="O972" s="6" t="s">
        <v>130</v>
      </c>
      <c r="P972" s="6" t="s">
        <v>85</v>
      </c>
      <c r="Q972" s="6" t="s">
        <v>4762</v>
      </c>
      <c r="R972" s="6" t="s">
        <v>5886</v>
      </c>
    </row>
    <row r="973" customFormat="false" ht="23.85" hidden="false" customHeight="false" outlineLevel="0" collapsed="false">
      <c r="A973" s="6" t="s">
        <v>4762</v>
      </c>
      <c r="B973" s="6" t="s">
        <v>127</v>
      </c>
      <c r="C973" s="6" t="s">
        <v>5006</v>
      </c>
      <c r="D973" s="6" t="s">
        <v>4062</v>
      </c>
      <c r="E973" s="6" t="s">
        <v>6176</v>
      </c>
      <c r="F973" s="6" t="s">
        <v>4063</v>
      </c>
      <c r="G973" s="6" t="s">
        <v>1598</v>
      </c>
      <c r="H973" s="6" t="s">
        <v>1445</v>
      </c>
      <c r="I973" s="6" t="s">
        <v>4684</v>
      </c>
      <c r="J973" s="6" t="s">
        <v>5365</v>
      </c>
      <c r="K973" s="6" t="s">
        <v>4790</v>
      </c>
      <c r="L973" s="2" t="s">
        <v>4066</v>
      </c>
      <c r="M973" s="2"/>
      <c r="N973" s="9" t="s">
        <v>3730</v>
      </c>
      <c r="O973" s="6" t="s">
        <v>160</v>
      </c>
      <c r="P973" s="6" t="s">
        <v>106</v>
      </c>
      <c r="Q973" s="6" t="s">
        <v>4762</v>
      </c>
      <c r="R973" s="6" t="s">
        <v>5886</v>
      </c>
    </row>
    <row r="974" customFormat="false" ht="15" hidden="false" customHeight="false" outlineLevel="0" collapsed="false">
      <c r="A974" s="6" t="s">
        <v>4762</v>
      </c>
      <c r="B974" s="6" t="s">
        <v>127</v>
      </c>
      <c r="C974" s="6" t="s">
        <v>5006</v>
      </c>
      <c r="D974" s="6" t="s">
        <v>4159</v>
      </c>
      <c r="E974" s="6" t="s">
        <v>4159</v>
      </c>
      <c r="F974" s="6" t="s">
        <v>4160</v>
      </c>
      <c r="G974" s="6" t="s">
        <v>2312</v>
      </c>
      <c r="H974" s="6" t="s">
        <v>1445</v>
      </c>
      <c r="I974" s="6" t="s">
        <v>4684</v>
      </c>
      <c r="J974" s="6" t="s">
        <v>5365</v>
      </c>
      <c r="K974" s="6" t="s">
        <v>4790</v>
      </c>
      <c r="L974" s="2" t="s">
        <v>4161</v>
      </c>
      <c r="M974" s="2"/>
      <c r="N974" s="9" t="s">
        <v>4162</v>
      </c>
      <c r="O974" s="6" t="s">
        <v>308</v>
      </c>
      <c r="P974" s="6" t="s">
        <v>106</v>
      </c>
      <c r="Q974" s="6" t="s">
        <v>4762</v>
      </c>
      <c r="R974" s="6" t="s">
        <v>5886</v>
      </c>
    </row>
    <row r="975" customFormat="false" ht="35.05" hidden="false" customHeight="false" outlineLevel="0" collapsed="false">
      <c r="A975" s="6" t="s">
        <v>4762</v>
      </c>
      <c r="B975" s="6" t="s">
        <v>127</v>
      </c>
      <c r="C975" s="6" t="s">
        <v>5006</v>
      </c>
      <c r="D975" s="6" t="s">
        <v>4270</v>
      </c>
      <c r="E975" s="6" t="s">
        <v>4270</v>
      </c>
      <c r="F975" s="6" t="s">
        <v>4271</v>
      </c>
      <c r="G975" s="6" t="s">
        <v>1215</v>
      </c>
      <c r="H975" s="6" t="s">
        <v>1445</v>
      </c>
      <c r="I975" s="6" t="s">
        <v>4676</v>
      </c>
      <c r="J975" s="6" t="s">
        <v>130</v>
      </c>
      <c r="K975" s="6" t="s">
        <v>4675</v>
      </c>
      <c r="L975" s="2" t="s">
        <v>4274</v>
      </c>
      <c r="M975" s="2" t="s">
        <v>4761</v>
      </c>
      <c r="N975" s="9" t="s">
        <v>4275</v>
      </c>
      <c r="O975" s="6" t="s">
        <v>130</v>
      </c>
      <c r="P975" s="6" t="s">
        <v>85</v>
      </c>
      <c r="Q975" s="6" t="s">
        <v>4762</v>
      </c>
      <c r="R975" s="6" t="s">
        <v>5433</v>
      </c>
    </row>
    <row r="976" customFormat="false" ht="15" hidden="false" customHeight="false" outlineLevel="0" collapsed="false">
      <c r="A976" s="6" t="s">
        <v>4762</v>
      </c>
      <c r="B976" s="6" t="s">
        <v>127</v>
      </c>
      <c r="C976" s="6" t="s">
        <v>5006</v>
      </c>
      <c r="D976" s="6" t="s">
        <v>3726</v>
      </c>
      <c r="E976" s="6" t="s">
        <v>3726</v>
      </c>
      <c r="F976" s="6" t="s">
        <v>3727</v>
      </c>
      <c r="G976" s="6" t="s">
        <v>626</v>
      </c>
      <c r="H976" s="6" t="s">
        <v>1445</v>
      </c>
      <c r="I976" s="6" t="s">
        <v>5617</v>
      </c>
      <c r="J976" s="6" t="s">
        <v>5365</v>
      </c>
      <c r="K976" s="6" t="s">
        <v>4790</v>
      </c>
      <c r="L976" s="2" t="s">
        <v>3729</v>
      </c>
      <c r="M976" s="2"/>
      <c r="N976" s="9" t="s">
        <v>3730</v>
      </c>
      <c r="O976" s="6" t="s">
        <v>324</v>
      </c>
      <c r="P976" s="6" t="s">
        <v>106</v>
      </c>
      <c r="Q976" s="6" t="s">
        <v>4762</v>
      </c>
      <c r="R976" s="6" t="s">
        <v>5886</v>
      </c>
    </row>
    <row r="977" customFormat="false" ht="15" hidden="false" customHeight="false" outlineLevel="0" collapsed="false">
      <c r="A977" s="6" t="s">
        <v>4762</v>
      </c>
      <c r="B977" s="6" t="s">
        <v>127</v>
      </c>
      <c r="C977" s="6" t="s">
        <v>5006</v>
      </c>
      <c r="D977" s="6" t="s">
        <v>4629</v>
      </c>
      <c r="E977" s="6" t="s">
        <v>4629</v>
      </c>
      <c r="F977" s="6" t="s">
        <v>4630</v>
      </c>
      <c r="G977" s="6" t="s">
        <v>2284</v>
      </c>
      <c r="H977" s="6" t="s">
        <v>1445</v>
      </c>
      <c r="I977" s="6" t="s">
        <v>4676</v>
      </c>
      <c r="J977" s="6" t="s">
        <v>143</v>
      </c>
      <c r="K977" s="6" t="s">
        <v>4790</v>
      </c>
      <c r="L977" s="2" t="s">
        <v>4631</v>
      </c>
      <c r="M977" s="2"/>
      <c r="N977" s="9" t="s">
        <v>4632</v>
      </c>
      <c r="O977" s="6" t="s">
        <v>143</v>
      </c>
      <c r="P977" s="6" t="s">
        <v>85</v>
      </c>
      <c r="Q977" s="6" t="s">
        <v>4762</v>
      </c>
      <c r="R977" s="6" t="s">
        <v>5886</v>
      </c>
    </row>
    <row r="978" customFormat="false" ht="23.85" hidden="false" customHeight="false" outlineLevel="0" collapsed="false">
      <c r="A978" s="6" t="s">
        <v>4762</v>
      </c>
      <c r="B978" s="6" t="s">
        <v>127</v>
      </c>
      <c r="C978" s="6" t="s">
        <v>5006</v>
      </c>
      <c r="D978" s="6" t="s">
        <v>3740</v>
      </c>
      <c r="E978" s="6" t="s">
        <v>3740</v>
      </c>
      <c r="F978" s="6" t="s">
        <v>3577</v>
      </c>
      <c r="G978" s="6" t="s">
        <v>182</v>
      </c>
      <c r="H978" s="6" t="s">
        <v>1445</v>
      </c>
      <c r="I978" s="6" t="s">
        <v>4684</v>
      </c>
      <c r="J978" s="6" t="s">
        <v>5365</v>
      </c>
      <c r="K978" s="6" t="s">
        <v>4790</v>
      </c>
      <c r="L978" s="2" t="s">
        <v>3742</v>
      </c>
      <c r="M978" s="2"/>
      <c r="N978" s="9" t="s">
        <v>3730</v>
      </c>
      <c r="O978" s="6" t="s">
        <v>281</v>
      </c>
      <c r="P978" s="6" t="s">
        <v>106</v>
      </c>
      <c r="Q978" s="6" t="s">
        <v>4762</v>
      </c>
      <c r="R978" s="6" t="s">
        <v>5886</v>
      </c>
    </row>
    <row r="979" customFormat="false" ht="15" hidden="false" customHeight="false" outlineLevel="0" collapsed="false">
      <c r="A979" s="6" t="s">
        <v>5215</v>
      </c>
      <c r="B979" s="6" t="s">
        <v>127</v>
      </c>
      <c r="C979" s="6" t="s">
        <v>4682</v>
      </c>
      <c r="D979" s="6" t="s">
        <v>685</v>
      </c>
      <c r="E979" s="6" t="s">
        <v>6177</v>
      </c>
      <c r="F979" s="6" t="s">
        <v>685</v>
      </c>
      <c r="G979" s="6" t="s">
        <v>153</v>
      </c>
      <c r="H979" s="6" t="s">
        <v>287</v>
      </c>
      <c r="I979" s="6" t="s">
        <v>4682</v>
      </c>
      <c r="J979" s="6" t="s">
        <v>5365</v>
      </c>
      <c r="K979" s="6" t="s">
        <v>4679</v>
      </c>
      <c r="L979" s="2" t="s">
        <v>6178</v>
      </c>
      <c r="M979" s="2" t="s">
        <v>6179</v>
      </c>
      <c r="N979" s="9" t="s">
        <v>6180</v>
      </c>
      <c r="O979" s="6" t="s">
        <v>97</v>
      </c>
      <c r="P979" s="6" t="s">
        <v>106</v>
      </c>
      <c r="Q979" s="6" t="s">
        <v>5215</v>
      </c>
      <c r="R979" s="6" t="s">
        <v>5377</v>
      </c>
    </row>
    <row r="980" customFormat="false" ht="15" hidden="false" customHeight="false" outlineLevel="0" collapsed="false">
      <c r="A980" s="6" t="s">
        <v>5078</v>
      </c>
      <c r="B980" s="6" t="s">
        <v>127</v>
      </c>
      <c r="C980" s="6" t="s">
        <v>5006</v>
      </c>
      <c r="D980" s="6" t="s">
        <v>3393</v>
      </c>
      <c r="E980" s="6" t="s">
        <v>3393</v>
      </c>
      <c r="F980" s="6" t="s">
        <v>3394</v>
      </c>
      <c r="G980" s="6" t="s">
        <v>1583</v>
      </c>
      <c r="H980" s="6" t="s">
        <v>287</v>
      </c>
      <c r="I980" s="6" t="s">
        <v>4676</v>
      </c>
      <c r="J980" s="6" t="s">
        <v>256</v>
      </c>
      <c r="K980" s="6" t="s">
        <v>4675</v>
      </c>
      <c r="L980" s="2" t="s">
        <v>3395</v>
      </c>
      <c r="M980" s="2"/>
      <c r="N980" s="9" t="s">
        <v>3396</v>
      </c>
      <c r="O980" s="6" t="s">
        <v>256</v>
      </c>
      <c r="P980" s="6" t="s">
        <v>85</v>
      </c>
      <c r="Q980" s="6" t="s">
        <v>5078</v>
      </c>
      <c r="R980" s="6" t="s">
        <v>5886</v>
      </c>
    </row>
    <row r="981" customFormat="false" ht="15" hidden="false" customHeight="false" outlineLevel="0" collapsed="false">
      <c r="A981" s="6" t="s">
        <v>5078</v>
      </c>
      <c r="B981" s="6" t="s">
        <v>127</v>
      </c>
      <c r="C981" s="6" t="s">
        <v>5006</v>
      </c>
      <c r="D981" s="6" t="s">
        <v>2946</v>
      </c>
      <c r="E981" s="6" t="s">
        <v>2946</v>
      </c>
      <c r="F981" s="6" t="s">
        <v>2946</v>
      </c>
      <c r="G981" s="6" t="s">
        <v>507</v>
      </c>
      <c r="H981" s="6" t="s">
        <v>287</v>
      </c>
      <c r="I981" s="6" t="s">
        <v>4676</v>
      </c>
      <c r="J981" s="6" t="s">
        <v>461</v>
      </c>
      <c r="K981" s="6" t="s">
        <v>4675</v>
      </c>
      <c r="L981" s="2" t="s">
        <v>2948</v>
      </c>
      <c r="M981" s="2"/>
      <c r="N981" s="9" t="s">
        <v>2949</v>
      </c>
      <c r="O981" s="6" t="s">
        <v>461</v>
      </c>
      <c r="P981" s="6" t="s">
        <v>85</v>
      </c>
      <c r="Q981" s="6" t="s">
        <v>5078</v>
      </c>
      <c r="R981" s="6" t="s">
        <v>5886</v>
      </c>
    </row>
    <row r="982" customFormat="false" ht="15" hidden="false" customHeight="false" outlineLevel="0" collapsed="false">
      <c r="A982" s="6" t="s">
        <v>5078</v>
      </c>
      <c r="B982" s="6" t="s">
        <v>127</v>
      </c>
      <c r="C982" s="6" t="s">
        <v>5006</v>
      </c>
      <c r="D982" s="6" t="s">
        <v>3979</v>
      </c>
      <c r="E982" s="6" t="s">
        <v>3979</v>
      </c>
      <c r="F982" s="6" t="s">
        <v>3979</v>
      </c>
      <c r="G982" s="6" t="s">
        <v>1127</v>
      </c>
      <c r="H982" s="6" t="s">
        <v>1445</v>
      </c>
      <c r="I982" s="6" t="s">
        <v>4706</v>
      </c>
      <c r="J982" s="6" t="s">
        <v>461</v>
      </c>
      <c r="K982" s="6" t="s">
        <v>4675</v>
      </c>
      <c r="L982" s="2" t="s">
        <v>3981</v>
      </c>
      <c r="M982" s="2"/>
      <c r="N982" s="9" t="s">
        <v>3982</v>
      </c>
      <c r="O982" s="6" t="s">
        <v>461</v>
      </c>
      <c r="P982" s="6" t="s">
        <v>85</v>
      </c>
      <c r="Q982" s="6" t="s">
        <v>5078</v>
      </c>
      <c r="R982" s="6" t="s">
        <v>5886</v>
      </c>
    </row>
    <row r="983" customFormat="false" ht="23.85" hidden="false" customHeight="false" outlineLevel="0" collapsed="false">
      <c r="A983" s="6" t="s">
        <v>5078</v>
      </c>
      <c r="B983" s="6" t="s">
        <v>127</v>
      </c>
      <c r="C983" s="6" t="s">
        <v>5006</v>
      </c>
      <c r="D983" s="6" t="s">
        <v>3986</v>
      </c>
      <c r="E983" s="6" t="s">
        <v>3986</v>
      </c>
      <c r="F983" s="6" t="s">
        <v>3987</v>
      </c>
      <c r="G983" s="6" t="s">
        <v>507</v>
      </c>
      <c r="H983" s="6" t="s">
        <v>1445</v>
      </c>
      <c r="I983" s="6" t="s">
        <v>5617</v>
      </c>
      <c r="J983" s="6" t="s">
        <v>130</v>
      </c>
      <c r="K983" s="6" t="s">
        <v>4675</v>
      </c>
      <c r="L983" s="2" t="s">
        <v>3989</v>
      </c>
      <c r="M983" s="2"/>
      <c r="N983" s="9" t="s">
        <v>3990</v>
      </c>
      <c r="O983" s="6" t="s">
        <v>130</v>
      </c>
      <c r="P983" s="6" t="s">
        <v>85</v>
      </c>
      <c r="Q983" s="6" t="s">
        <v>5078</v>
      </c>
      <c r="R983" s="6" t="s">
        <v>5886</v>
      </c>
    </row>
    <row r="984" customFormat="false" ht="23.85" hidden="false" customHeight="false" outlineLevel="0" collapsed="false">
      <c r="A984" s="6" t="s">
        <v>5078</v>
      </c>
      <c r="B984" s="6" t="s">
        <v>127</v>
      </c>
      <c r="C984" s="6" t="s">
        <v>5016</v>
      </c>
      <c r="D984" s="6" t="s">
        <v>3191</v>
      </c>
      <c r="E984" s="6" t="s">
        <v>3191</v>
      </c>
      <c r="F984" s="6" t="s">
        <v>3191</v>
      </c>
      <c r="G984" s="6" t="s">
        <v>239</v>
      </c>
      <c r="H984" s="6" t="s">
        <v>1445</v>
      </c>
      <c r="I984" s="6" t="s">
        <v>4684</v>
      </c>
      <c r="J984" s="6" t="s">
        <v>5560</v>
      </c>
      <c r="K984" s="6" t="s">
        <v>4790</v>
      </c>
      <c r="L984" s="2" t="s">
        <v>3194</v>
      </c>
      <c r="M984" s="2" t="s">
        <v>3193</v>
      </c>
      <c r="N984" s="9" t="s">
        <v>3195</v>
      </c>
      <c r="O984" s="6" t="s">
        <v>308</v>
      </c>
      <c r="P984" s="6" t="s">
        <v>85</v>
      </c>
      <c r="Q984" s="6" t="s">
        <v>5078</v>
      </c>
      <c r="R984" s="6" t="s">
        <v>5368</v>
      </c>
    </row>
    <row r="985" customFormat="false" ht="15" hidden="false" customHeight="false" outlineLevel="0" collapsed="false">
      <c r="A985" s="6" t="s">
        <v>5216</v>
      </c>
      <c r="B985" s="6" t="s">
        <v>127</v>
      </c>
      <c r="C985" s="6" t="s">
        <v>5006</v>
      </c>
      <c r="D985" s="6" t="s">
        <v>3694</v>
      </c>
      <c r="E985" s="6" t="s">
        <v>3694</v>
      </c>
      <c r="F985" s="6" t="s">
        <v>3694</v>
      </c>
      <c r="G985" s="6" t="s">
        <v>182</v>
      </c>
      <c r="H985" s="6" t="s">
        <v>1445</v>
      </c>
      <c r="I985" s="6" t="s">
        <v>4706</v>
      </c>
      <c r="J985" s="6" t="s">
        <v>3698</v>
      </c>
      <c r="K985" s="6" t="s">
        <v>4679</v>
      </c>
      <c r="L985" s="2" t="s">
        <v>3697</v>
      </c>
      <c r="M985" s="2" t="s">
        <v>3696</v>
      </c>
      <c r="N985" s="9" t="s">
        <v>3699</v>
      </c>
      <c r="O985" s="6" t="s">
        <v>3698</v>
      </c>
      <c r="P985" s="6" t="s">
        <v>106</v>
      </c>
      <c r="Q985" s="6" t="s">
        <v>5216</v>
      </c>
      <c r="R985" s="6" t="s">
        <v>5368</v>
      </c>
    </row>
    <row r="986" customFormat="false" ht="15" hidden="false" customHeight="false" outlineLevel="0" collapsed="false">
      <c r="A986" s="6" t="s">
        <v>5101</v>
      </c>
      <c r="B986" s="6" t="s">
        <v>127</v>
      </c>
      <c r="C986" s="6" t="s">
        <v>5006</v>
      </c>
      <c r="D986" s="6" t="s">
        <v>311</v>
      </c>
      <c r="E986" s="6" t="s">
        <v>311</v>
      </c>
      <c r="F986" s="6" t="s">
        <v>312</v>
      </c>
      <c r="G986" s="6" t="s">
        <v>118</v>
      </c>
      <c r="H986" s="6" t="s">
        <v>287</v>
      </c>
      <c r="I986" s="6" t="s">
        <v>4676</v>
      </c>
      <c r="J986" s="6" t="s">
        <v>5365</v>
      </c>
      <c r="K986" s="6" t="s">
        <v>4679</v>
      </c>
      <c r="L986" s="2" t="s">
        <v>316</v>
      </c>
      <c r="M986" s="2" t="s">
        <v>6181</v>
      </c>
      <c r="N986" s="9" t="s">
        <v>317</v>
      </c>
      <c r="O986" s="6" t="s">
        <v>97</v>
      </c>
      <c r="P986" s="6" t="s">
        <v>106</v>
      </c>
      <c r="Q986" s="6" t="s">
        <v>5101</v>
      </c>
      <c r="R986" s="6" t="s">
        <v>5886</v>
      </c>
    </row>
    <row r="987" customFormat="false" ht="15" hidden="false" customHeight="false" outlineLevel="0" collapsed="false">
      <c r="A987" s="6" t="s">
        <v>5101</v>
      </c>
      <c r="B987" s="6" t="s">
        <v>127</v>
      </c>
      <c r="C987" s="6" t="s">
        <v>5006</v>
      </c>
      <c r="D987" s="6" t="s">
        <v>840</v>
      </c>
      <c r="E987" s="6" t="s">
        <v>840</v>
      </c>
      <c r="F987" s="6" t="s">
        <v>841</v>
      </c>
      <c r="G987" s="6" t="s">
        <v>118</v>
      </c>
      <c r="H987" s="6" t="s">
        <v>287</v>
      </c>
      <c r="I987" s="6" t="s">
        <v>4676</v>
      </c>
      <c r="J987" s="6" t="s">
        <v>5365</v>
      </c>
      <c r="K987" s="6" t="s">
        <v>4679</v>
      </c>
      <c r="L987" s="2" t="s">
        <v>6182</v>
      </c>
      <c r="M987" s="2"/>
      <c r="N987" s="9" t="s">
        <v>317</v>
      </c>
      <c r="O987" s="6" t="s">
        <v>97</v>
      </c>
      <c r="P987" s="6" t="s">
        <v>98</v>
      </c>
      <c r="Q987" s="6" t="s">
        <v>5101</v>
      </c>
      <c r="R987" s="6" t="s">
        <v>5886</v>
      </c>
    </row>
    <row r="988" customFormat="false" ht="15" hidden="false" customHeight="false" outlineLevel="0" collapsed="false">
      <c r="A988" s="6" t="s">
        <v>5101</v>
      </c>
      <c r="B988" s="6" t="s">
        <v>127</v>
      </c>
      <c r="C988" s="6" t="s">
        <v>5006</v>
      </c>
      <c r="D988" s="6" t="s">
        <v>2150</v>
      </c>
      <c r="E988" s="6" t="s">
        <v>2150</v>
      </c>
      <c r="F988" s="6" t="s">
        <v>2151</v>
      </c>
      <c r="G988" s="6" t="s">
        <v>90</v>
      </c>
      <c r="H988" s="6" t="s">
        <v>287</v>
      </c>
      <c r="I988" s="6" t="s">
        <v>4676</v>
      </c>
      <c r="J988" s="6" t="s">
        <v>5365</v>
      </c>
      <c r="K988" s="6" t="s">
        <v>4679</v>
      </c>
      <c r="L988" s="2" t="s">
        <v>2153</v>
      </c>
      <c r="M988" s="2"/>
      <c r="N988" s="9" t="s">
        <v>317</v>
      </c>
      <c r="O988" s="6" t="s">
        <v>97</v>
      </c>
      <c r="P988" s="6" t="s">
        <v>98</v>
      </c>
      <c r="Q988" s="6" t="s">
        <v>5101</v>
      </c>
      <c r="R988" s="6" t="s">
        <v>5886</v>
      </c>
    </row>
    <row r="989" customFormat="false" ht="15" hidden="false" customHeight="false" outlineLevel="0" collapsed="false">
      <c r="A989" s="6" t="s">
        <v>5101</v>
      </c>
      <c r="B989" s="6" t="s">
        <v>127</v>
      </c>
      <c r="C989" s="6" t="s">
        <v>5006</v>
      </c>
      <c r="D989" s="6" t="s">
        <v>3689</v>
      </c>
      <c r="E989" s="6" t="s">
        <v>3689</v>
      </c>
      <c r="F989" s="6" t="s">
        <v>3690</v>
      </c>
      <c r="G989" s="6" t="s">
        <v>182</v>
      </c>
      <c r="H989" s="6" t="s">
        <v>1445</v>
      </c>
      <c r="I989" s="6" t="s">
        <v>4684</v>
      </c>
      <c r="J989" s="6" t="s">
        <v>332</v>
      </c>
      <c r="K989" s="6" t="s">
        <v>4790</v>
      </c>
      <c r="L989" s="2" t="s">
        <v>3692</v>
      </c>
      <c r="M989" s="2"/>
      <c r="N989" s="9" t="s">
        <v>3693</v>
      </c>
      <c r="O989" s="6" t="s">
        <v>332</v>
      </c>
      <c r="P989" s="6" t="s">
        <v>85</v>
      </c>
      <c r="Q989" s="6" t="s">
        <v>5101</v>
      </c>
      <c r="R989" s="6" t="s">
        <v>5886</v>
      </c>
    </row>
    <row r="990" customFormat="false" ht="23.85" hidden="false" customHeight="false" outlineLevel="0" collapsed="false">
      <c r="A990" s="6" t="s">
        <v>5053</v>
      </c>
      <c r="B990" s="6" t="s">
        <v>127</v>
      </c>
      <c r="C990" s="6" t="s">
        <v>5006</v>
      </c>
      <c r="D990" s="6" t="s">
        <v>1024</v>
      </c>
      <c r="E990" s="6" t="s">
        <v>1024</v>
      </c>
      <c r="F990" s="6" t="s">
        <v>1025</v>
      </c>
      <c r="G990" s="6" t="s">
        <v>118</v>
      </c>
      <c r="H990" s="6" t="s">
        <v>77</v>
      </c>
      <c r="I990" s="6" t="s">
        <v>4676</v>
      </c>
      <c r="J990" s="6" t="s">
        <v>5365</v>
      </c>
      <c r="K990" s="6" t="s">
        <v>4679</v>
      </c>
      <c r="L990" s="2" t="s">
        <v>1028</v>
      </c>
      <c r="M990" s="2" t="s">
        <v>5986</v>
      </c>
      <c r="N990" s="9" t="s">
        <v>1029</v>
      </c>
      <c r="O990" s="6" t="s">
        <v>97</v>
      </c>
      <c r="P990" s="6" t="s">
        <v>106</v>
      </c>
      <c r="Q990" s="6" t="s">
        <v>5053</v>
      </c>
      <c r="R990" s="6" t="s">
        <v>5377</v>
      </c>
    </row>
    <row r="991" customFormat="false" ht="15" hidden="false" customHeight="false" outlineLevel="0" collapsed="false">
      <c r="A991" s="6" t="s">
        <v>5053</v>
      </c>
      <c r="B991" s="6" t="s">
        <v>127</v>
      </c>
      <c r="C991" s="6" t="s">
        <v>5006</v>
      </c>
      <c r="D991" s="6" t="s">
        <v>1375</v>
      </c>
      <c r="E991" s="6" t="s">
        <v>1375</v>
      </c>
      <c r="F991" s="6" t="s">
        <v>263</v>
      </c>
      <c r="G991" s="6" t="s">
        <v>76</v>
      </c>
      <c r="H991" s="6" t="s">
        <v>287</v>
      </c>
      <c r="I991" s="6" t="s">
        <v>5617</v>
      </c>
      <c r="J991" s="6" t="s">
        <v>5477</v>
      </c>
      <c r="K991" s="6" t="s">
        <v>4679</v>
      </c>
      <c r="L991" s="2" t="s">
        <v>6183</v>
      </c>
      <c r="M991" s="2" t="s">
        <v>6184</v>
      </c>
      <c r="N991" s="9" t="s">
        <v>1379</v>
      </c>
      <c r="O991" s="6" t="s">
        <v>883</v>
      </c>
      <c r="P991" s="6" t="s">
        <v>106</v>
      </c>
      <c r="Q991" s="6" t="s">
        <v>5053</v>
      </c>
      <c r="R991" s="6" t="s">
        <v>5886</v>
      </c>
    </row>
    <row r="992" customFormat="false" ht="15" hidden="false" customHeight="false" outlineLevel="0" collapsed="false">
      <c r="A992" s="6" t="s">
        <v>5053</v>
      </c>
      <c r="B992" s="6" t="s">
        <v>127</v>
      </c>
      <c r="C992" s="6" t="s">
        <v>5006</v>
      </c>
      <c r="D992" s="6" t="s">
        <v>1375</v>
      </c>
      <c r="E992" s="6" t="s">
        <v>1375</v>
      </c>
      <c r="F992" s="6" t="s">
        <v>263</v>
      </c>
      <c r="G992" s="6" t="s">
        <v>76</v>
      </c>
      <c r="H992" s="6" t="s">
        <v>287</v>
      </c>
      <c r="I992" s="6" t="s">
        <v>4676</v>
      </c>
      <c r="J992" s="6" t="s">
        <v>5365</v>
      </c>
      <c r="K992" s="6" t="s">
        <v>4679</v>
      </c>
      <c r="L992" s="2" t="s">
        <v>1378</v>
      </c>
      <c r="M992" s="2" t="s">
        <v>936</v>
      </c>
      <c r="N992" s="9" t="s">
        <v>1029</v>
      </c>
      <c r="O992" s="6" t="s">
        <v>97</v>
      </c>
      <c r="P992" s="6" t="s">
        <v>106</v>
      </c>
      <c r="Q992" s="6" t="s">
        <v>5053</v>
      </c>
      <c r="R992" s="6" t="s">
        <v>5377</v>
      </c>
    </row>
    <row r="993" customFormat="false" ht="15" hidden="false" customHeight="false" outlineLevel="0" collapsed="false">
      <c r="A993" s="6" t="s">
        <v>5053</v>
      </c>
      <c r="B993" s="6" t="s">
        <v>127</v>
      </c>
      <c r="C993" s="6" t="s">
        <v>5006</v>
      </c>
      <c r="D993" s="6" t="s">
        <v>3478</v>
      </c>
      <c r="E993" s="6" t="s">
        <v>6185</v>
      </c>
      <c r="F993" s="6" t="s">
        <v>3479</v>
      </c>
      <c r="G993" s="6" t="s">
        <v>1644</v>
      </c>
      <c r="H993" s="6" t="s">
        <v>287</v>
      </c>
      <c r="I993" s="6" t="s">
        <v>4676</v>
      </c>
      <c r="J993" s="6" t="s">
        <v>440</v>
      </c>
      <c r="K993" s="6" t="s">
        <v>4790</v>
      </c>
      <c r="L993" s="2" t="s">
        <v>3482</v>
      </c>
      <c r="M993" s="2"/>
      <c r="N993" s="9" t="s">
        <v>3483</v>
      </c>
      <c r="O993" s="6" t="s">
        <v>440</v>
      </c>
      <c r="P993" s="6" t="s">
        <v>85</v>
      </c>
      <c r="Q993" s="6" t="s">
        <v>5053</v>
      </c>
      <c r="R993" s="6" t="s">
        <v>5922</v>
      </c>
    </row>
    <row r="994" customFormat="false" ht="15" hidden="false" customHeight="false" outlineLevel="0" collapsed="false">
      <c r="A994" s="6" t="s">
        <v>5053</v>
      </c>
      <c r="B994" s="6" t="s">
        <v>127</v>
      </c>
      <c r="C994" s="6" t="s">
        <v>5006</v>
      </c>
      <c r="D994" s="6" t="s">
        <v>3478</v>
      </c>
      <c r="E994" s="6" t="s">
        <v>6186</v>
      </c>
      <c r="F994" s="6" t="s">
        <v>3479</v>
      </c>
      <c r="G994" s="6" t="s">
        <v>1644</v>
      </c>
      <c r="H994" s="6" t="s">
        <v>287</v>
      </c>
      <c r="I994" s="6" t="s">
        <v>4684</v>
      </c>
      <c r="J994" s="6" t="s">
        <v>440</v>
      </c>
      <c r="K994" s="6" t="s">
        <v>4790</v>
      </c>
      <c r="L994" s="2" t="s">
        <v>6187</v>
      </c>
      <c r="M994" s="2" t="s">
        <v>3481</v>
      </c>
      <c r="N994" s="9" t="s">
        <v>3484</v>
      </c>
      <c r="O994" s="6" t="s">
        <v>440</v>
      </c>
      <c r="P994" s="6" t="s">
        <v>85</v>
      </c>
      <c r="Q994" s="6" t="s">
        <v>5053</v>
      </c>
      <c r="R994" s="6" t="s">
        <v>5886</v>
      </c>
    </row>
    <row r="995" customFormat="false" ht="23.85" hidden="false" customHeight="false" outlineLevel="0" collapsed="false">
      <c r="A995" s="6" t="s">
        <v>5053</v>
      </c>
      <c r="B995" s="6" t="s">
        <v>127</v>
      </c>
      <c r="C995" s="6" t="s">
        <v>5006</v>
      </c>
      <c r="D995" s="6" t="s">
        <v>3514</v>
      </c>
      <c r="E995" s="6" t="s">
        <v>3514</v>
      </c>
      <c r="F995" s="6" t="s">
        <v>3515</v>
      </c>
      <c r="G995" s="6" t="s">
        <v>1583</v>
      </c>
      <c r="H995" s="6" t="s">
        <v>1445</v>
      </c>
      <c r="I995" s="6" t="s">
        <v>5617</v>
      </c>
      <c r="J995" s="6" t="s">
        <v>5477</v>
      </c>
      <c r="K995" s="6" t="s">
        <v>4679</v>
      </c>
      <c r="L995" s="2" t="s">
        <v>6188</v>
      </c>
      <c r="M995" s="2"/>
      <c r="N995" s="9" t="s">
        <v>1379</v>
      </c>
      <c r="O995" s="6" t="s">
        <v>883</v>
      </c>
      <c r="P995" s="6" t="s">
        <v>106</v>
      </c>
      <c r="Q995" s="6" t="s">
        <v>5053</v>
      </c>
      <c r="R995" s="6" t="s">
        <v>5886</v>
      </c>
    </row>
    <row r="996" customFormat="false" ht="15" hidden="false" customHeight="false" outlineLevel="0" collapsed="false">
      <c r="A996" s="6" t="s">
        <v>5053</v>
      </c>
      <c r="B996" s="6" t="s">
        <v>127</v>
      </c>
      <c r="C996" s="6" t="s">
        <v>5006</v>
      </c>
      <c r="D996" s="6" t="s">
        <v>4443</v>
      </c>
      <c r="E996" s="6" t="s">
        <v>4443</v>
      </c>
      <c r="F996" s="6" t="s">
        <v>4090</v>
      </c>
      <c r="G996" s="6" t="s">
        <v>1598</v>
      </c>
      <c r="H996" s="6" t="s">
        <v>1445</v>
      </c>
      <c r="I996" s="6" t="s">
        <v>5617</v>
      </c>
      <c r="J996" s="6" t="s">
        <v>5365</v>
      </c>
      <c r="K996" s="6" t="s">
        <v>4790</v>
      </c>
      <c r="L996" s="2" t="s">
        <v>4445</v>
      </c>
      <c r="M996" s="2"/>
      <c r="N996" s="9" t="s">
        <v>4446</v>
      </c>
      <c r="O996" s="6" t="s">
        <v>226</v>
      </c>
      <c r="P996" s="6" t="s">
        <v>106</v>
      </c>
      <c r="Q996" s="6" t="s">
        <v>5053</v>
      </c>
      <c r="R996" s="6" t="s">
        <v>5886</v>
      </c>
    </row>
    <row r="997" customFormat="false" ht="15" hidden="false" customHeight="false" outlineLevel="0" collapsed="false">
      <c r="A997" s="6" t="s">
        <v>5053</v>
      </c>
      <c r="B997" s="6" t="s">
        <v>127</v>
      </c>
      <c r="C997" s="6" t="s">
        <v>5006</v>
      </c>
      <c r="D997" s="6" t="s">
        <v>3991</v>
      </c>
      <c r="E997" s="6" t="s">
        <v>3991</v>
      </c>
      <c r="F997" s="6" t="s">
        <v>3992</v>
      </c>
      <c r="G997" s="6" t="s">
        <v>507</v>
      </c>
      <c r="H997" s="6" t="s">
        <v>1445</v>
      </c>
      <c r="I997" s="6" t="s">
        <v>4676</v>
      </c>
      <c r="J997" s="6" t="s">
        <v>389</v>
      </c>
      <c r="K997" s="6" t="s">
        <v>4790</v>
      </c>
      <c r="L997" s="2" t="s">
        <v>3994</v>
      </c>
      <c r="M997" s="2"/>
      <c r="N997" s="9" t="s">
        <v>3995</v>
      </c>
      <c r="O997" s="6" t="s">
        <v>389</v>
      </c>
      <c r="P997" s="6" t="s">
        <v>85</v>
      </c>
      <c r="Q997" s="6" t="s">
        <v>5053</v>
      </c>
      <c r="R997" s="6" t="s">
        <v>5922</v>
      </c>
    </row>
    <row r="998" customFormat="false" ht="23.85" hidden="false" customHeight="false" outlineLevel="0" collapsed="false">
      <c r="A998" s="6" t="s">
        <v>5053</v>
      </c>
      <c r="B998" s="6" t="s">
        <v>127</v>
      </c>
      <c r="C998" s="6" t="s">
        <v>5006</v>
      </c>
      <c r="D998" s="6" t="s">
        <v>3991</v>
      </c>
      <c r="E998" s="6" t="s">
        <v>3991</v>
      </c>
      <c r="F998" s="6" t="s">
        <v>3992</v>
      </c>
      <c r="G998" s="6" t="s">
        <v>507</v>
      </c>
      <c r="H998" s="6" t="s">
        <v>1445</v>
      </c>
      <c r="I998" s="6" t="s">
        <v>4706</v>
      </c>
      <c r="J998" s="6" t="s">
        <v>389</v>
      </c>
      <c r="K998" s="6" t="s">
        <v>4790</v>
      </c>
      <c r="L998" s="2" t="s">
        <v>6189</v>
      </c>
      <c r="M998" s="2"/>
      <c r="N998" s="9" t="s">
        <v>3995</v>
      </c>
      <c r="O998" s="6" t="s">
        <v>389</v>
      </c>
      <c r="P998" s="6" t="s">
        <v>85</v>
      </c>
      <c r="Q998" s="6" t="s">
        <v>5053</v>
      </c>
      <c r="R998" s="6" t="s">
        <v>5886</v>
      </c>
    </row>
    <row r="999" customFormat="false" ht="15" hidden="false" customHeight="false" outlineLevel="0" collapsed="false">
      <c r="A999" s="6" t="s">
        <v>5053</v>
      </c>
      <c r="B999" s="6" t="s">
        <v>127</v>
      </c>
      <c r="C999" s="6" t="s">
        <v>5006</v>
      </c>
      <c r="D999" s="6" t="s">
        <v>4535</v>
      </c>
      <c r="E999" s="6" t="s">
        <v>4535</v>
      </c>
      <c r="F999" s="6" t="s">
        <v>4531</v>
      </c>
      <c r="G999" s="6" t="s">
        <v>3000</v>
      </c>
      <c r="H999" s="6" t="s">
        <v>1445</v>
      </c>
      <c r="I999" s="6" t="s">
        <v>5617</v>
      </c>
      <c r="J999" s="6" t="s">
        <v>5477</v>
      </c>
      <c r="K999" s="6" t="s">
        <v>4679</v>
      </c>
      <c r="L999" s="2" t="s">
        <v>4537</v>
      </c>
      <c r="M999" s="2"/>
      <c r="N999" s="9" t="s">
        <v>1379</v>
      </c>
      <c r="O999" s="6" t="s">
        <v>883</v>
      </c>
      <c r="P999" s="6" t="s">
        <v>106</v>
      </c>
      <c r="Q999" s="6" t="s">
        <v>5053</v>
      </c>
      <c r="R999" s="6" t="s">
        <v>5886</v>
      </c>
    </row>
    <row r="1000" customFormat="false" ht="15" hidden="false" customHeight="false" outlineLevel="0" collapsed="false">
      <c r="A1000" s="6" t="s">
        <v>5217</v>
      </c>
      <c r="B1000" s="6" t="s">
        <v>127</v>
      </c>
      <c r="C1000" s="6" t="s">
        <v>5016</v>
      </c>
      <c r="D1000" s="6" t="s">
        <v>1995</v>
      </c>
      <c r="E1000" s="6" t="s">
        <v>1995</v>
      </c>
      <c r="F1000" s="6" t="s">
        <v>1996</v>
      </c>
      <c r="G1000" s="6" t="s">
        <v>76</v>
      </c>
      <c r="H1000" s="6" t="s">
        <v>287</v>
      </c>
      <c r="I1000" s="6" t="s">
        <v>4684</v>
      </c>
      <c r="J1000" s="6" t="s">
        <v>2000</v>
      </c>
      <c r="K1000" s="6" t="s">
        <v>4679</v>
      </c>
      <c r="L1000" s="2" t="s">
        <v>1999</v>
      </c>
      <c r="M1000" s="2" t="s">
        <v>1998</v>
      </c>
      <c r="N1000" s="9" t="s">
        <v>2001</v>
      </c>
      <c r="O1000" s="6" t="s">
        <v>2000</v>
      </c>
      <c r="P1000" s="6" t="s">
        <v>106</v>
      </c>
      <c r="Q1000" s="6" t="s">
        <v>5217</v>
      </c>
      <c r="R1000" s="6" t="s">
        <v>5368</v>
      </c>
    </row>
    <row r="1001" customFormat="false" ht="23.85" hidden="false" customHeight="false" outlineLevel="0" collapsed="false">
      <c r="A1001" s="6" t="s">
        <v>5218</v>
      </c>
      <c r="B1001" s="6" t="s">
        <v>127</v>
      </c>
      <c r="C1001" s="6" t="s">
        <v>5006</v>
      </c>
      <c r="D1001" s="6" t="s">
        <v>2858</v>
      </c>
      <c r="E1001" s="6" t="s">
        <v>2858</v>
      </c>
      <c r="F1001" s="6" t="s">
        <v>2859</v>
      </c>
      <c r="G1001" s="6" t="s">
        <v>507</v>
      </c>
      <c r="H1001" s="6" t="s">
        <v>287</v>
      </c>
      <c r="I1001" s="6" t="s">
        <v>4676</v>
      </c>
      <c r="J1001" s="6" t="s">
        <v>5365</v>
      </c>
      <c r="K1001" s="6" t="s">
        <v>4790</v>
      </c>
      <c r="L1001" s="2" t="s">
        <v>2862</v>
      </c>
      <c r="M1001" s="2" t="s">
        <v>2861</v>
      </c>
      <c r="N1001" s="9" t="s">
        <v>2863</v>
      </c>
      <c r="O1001" s="6" t="s">
        <v>281</v>
      </c>
      <c r="P1001" s="6" t="s">
        <v>106</v>
      </c>
      <c r="Q1001" s="6" t="s">
        <v>5218</v>
      </c>
      <c r="R1001" s="6" t="s">
        <v>5357</v>
      </c>
    </row>
    <row r="1002" customFormat="false" ht="79.85" hidden="false" customHeight="false" outlineLevel="0" collapsed="false">
      <c r="A1002" s="6" t="s">
        <v>5126</v>
      </c>
      <c r="B1002" s="6" t="s">
        <v>127</v>
      </c>
      <c r="C1002" s="6" t="s">
        <v>5016</v>
      </c>
      <c r="D1002" s="6" t="s">
        <v>1479</v>
      </c>
      <c r="E1002" s="6" t="s">
        <v>1479</v>
      </c>
      <c r="F1002" s="6" t="s">
        <v>6190</v>
      </c>
      <c r="G1002" s="6" t="s">
        <v>153</v>
      </c>
      <c r="H1002" s="6" t="s">
        <v>77</v>
      </c>
      <c r="I1002" s="6" t="s">
        <v>4680</v>
      </c>
      <c r="J1002" s="6" t="s">
        <v>281</v>
      </c>
      <c r="K1002" s="6" t="s">
        <v>4675</v>
      </c>
      <c r="L1002" s="2" t="s">
        <v>1485</v>
      </c>
      <c r="M1002" s="2" t="s">
        <v>6191</v>
      </c>
      <c r="N1002" s="9" t="s">
        <v>1486</v>
      </c>
      <c r="O1002" s="6" t="s">
        <v>281</v>
      </c>
      <c r="P1002" s="6" t="s">
        <v>85</v>
      </c>
      <c r="Q1002" s="6" t="s">
        <v>5128</v>
      </c>
      <c r="R1002" s="6" t="s">
        <v>5357</v>
      </c>
    </row>
    <row r="1003" customFormat="false" ht="23.85" hidden="false" customHeight="false" outlineLevel="0" collapsed="false">
      <c r="A1003" s="6" t="s">
        <v>5126</v>
      </c>
      <c r="B1003" s="6" t="s">
        <v>127</v>
      </c>
      <c r="C1003" s="6" t="s">
        <v>5016</v>
      </c>
      <c r="D1003" s="6" t="s">
        <v>1927</v>
      </c>
      <c r="E1003" s="6" t="s">
        <v>1927</v>
      </c>
      <c r="F1003" s="6" t="s">
        <v>263</v>
      </c>
      <c r="G1003" s="6" t="s">
        <v>239</v>
      </c>
      <c r="H1003" s="6" t="s">
        <v>287</v>
      </c>
      <c r="I1003" s="6" t="s">
        <v>4684</v>
      </c>
      <c r="J1003" s="6" t="s">
        <v>5365</v>
      </c>
      <c r="K1003" s="6" t="s">
        <v>4790</v>
      </c>
      <c r="L1003" s="2" t="s">
        <v>6192</v>
      </c>
      <c r="M1003" s="2" t="s">
        <v>6193</v>
      </c>
      <c r="N1003" s="9" t="s">
        <v>6194</v>
      </c>
      <c r="O1003" s="6" t="s">
        <v>504</v>
      </c>
      <c r="P1003" s="6" t="s">
        <v>106</v>
      </c>
      <c r="Q1003" s="6" t="s">
        <v>5126</v>
      </c>
      <c r="R1003" s="6" t="s">
        <v>5368</v>
      </c>
    </row>
    <row r="1004" customFormat="false" ht="15" hidden="false" customHeight="false" outlineLevel="0" collapsed="false">
      <c r="A1004" s="6" t="s">
        <v>5126</v>
      </c>
      <c r="B1004" s="6" t="s">
        <v>127</v>
      </c>
      <c r="C1004" s="6" t="s">
        <v>5016</v>
      </c>
      <c r="D1004" s="6" t="s">
        <v>3332</v>
      </c>
      <c r="E1004" s="6" t="s">
        <v>3332</v>
      </c>
      <c r="F1004" s="6" t="s">
        <v>3333</v>
      </c>
      <c r="G1004" s="6" t="s">
        <v>1215</v>
      </c>
      <c r="H1004" s="6" t="s">
        <v>287</v>
      </c>
      <c r="I1004" s="6" t="s">
        <v>4684</v>
      </c>
      <c r="J1004" s="6" t="s">
        <v>5365</v>
      </c>
      <c r="K1004" s="6" t="s">
        <v>4790</v>
      </c>
      <c r="L1004" s="2" t="s">
        <v>3335</v>
      </c>
      <c r="M1004" s="2"/>
      <c r="N1004" s="9" t="s">
        <v>3336</v>
      </c>
      <c r="O1004" s="6" t="s">
        <v>160</v>
      </c>
      <c r="P1004" s="6" t="s">
        <v>85</v>
      </c>
      <c r="Q1004" s="6" t="s">
        <v>5126</v>
      </c>
      <c r="R1004" s="6" t="s">
        <v>5922</v>
      </c>
    </row>
    <row r="1005" customFormat="false" ht="15" hidden="false" customHeight="false" outlineLevel="0" collapsed="false">
      <c r="A1005" s="6" t="s">
        <v>5219</v>
      </c>
      <c r="B1005" s="6" t="s">
        <v>127</v>
      </c>
      <c r="C1005" s="6" t="s">
        <v>5016</v>
      </c>
      <c r="D1005" s="6" t="s">
        <v>1557</v>
      </c>
      <c r="E1005" s="6" t="s">
        <v>1557</v>
      </c>
      <c r="F1005" s="6" t="s">
        <v>1557</v>
      </c>
      <c r="G1005" s="6" t="s">
        <v>182</v>
      </c>
      <c r="H1005" s="6" t="s">
        <v>77</v>
      </c>
      <c r="I1005" s="6" t="s">
        <v>4684</v>
      </c>
      <c r="J1005" s="6" t="s">
        <v>1561</v>
      </c>
      <c r="K1005" s="6" t="s">
        <v>4679</v>
      </c>
      <c r="L1005" s="2" t="s">
        <v>1560</v>
      </c>
      <c r="M1005" s="2" t="s">
        <v>6195</v>
      </c>
      <c r="N1005" s="9" t="s">
        <v>1562</v>
      </c>
      <c r="O1005" s="6" t="s">
        <v>1561</v>
      </c>
      <c r="P1005" s="6" t="s">
        <v>106</v>
      </c>
      <c r="Q1005" s="6" t="s">
        <v>5219</v>
      </c>
      <c r="R1005" s="6" t="s">
        <v>5368</v>
      </c>
    </row>
    <row r="1006" customFormat="false" ht="23.85" hidden="false" customHeight="false" outlineLevel="0" collapsed="false">
      <c r="A1006" s="6" t="s">
        <v>4829</v>
      </c>
      <c r="B1006" s="6" t="s">
        <v>1215</v>
      </c>
      <c r="C1006" s="6" t="s">
        <v>4848</v>
      </c>
      <c r="D1006" s="6" t="s">
        <v>1522</v>
      </c>
      <c r="E1006" s="6" t="s">
        <v>1522</v>
      </c>
      <c r="F1006" s="6" t="s">
        <v>1523</v>
      </c>
      <c r="G1006" s="6" t="s">
        <v>153</v>
      </c>
      <c r="H1006" s="6" t="s">
        <v>77</v>
      </c>
      <c r="I1006" s="6" t="s">
        <v>4684</v>
      </c>
      <c r="J1006" s="6" t="s">
        <v>5412</v>
      </c>
      <c r="K1006" s="6" t="s">
        <v>4726</v>
      </c>
      <c r="L1006" s="2" t="s">
        <v>6196</v>
      </c>
      <c r="M1006" s="2" t="s">
        <v>6197</v>
      </c>
      <c r="N1006" s="9" t="s">
        <v>6198</v>
      </c>
      <c r="O1006" s="6" t="s">
        <v>440</v>
      </c>
      <c r="P1006" s="6" t="s">
        <v>106</v>
      </c>
      <c r="Q1006" s="6" t="s">
        <v>5221</v>
      </c>
      <c r="R1006" s="6" t="s">
        <v>5357</v>
      </c>
    </row>
    <row r="1007" customFormat="false" ht="23.85" hidden="false" customHeight="false" outlineLevel="0" collapsed="false">
      <c r="A1007" s="6" t="s">
        <v>4829</v>
      </c>
      <c r="B1007" s="6" t="s">
        <v>1215</v>
      </c>
      <c r="C1007" s="6" t="s">
        <v>4870</v>
      </c>
      <c r="D1007" s="6" t="s">
        <v>1522</v>
      </c>
      <c r="E1007" s="6" t="s">
        <v>1522</v>
      </c>
      <c r="F1007" s="6" t="s">
        <v>751</v>
      </c>
      <c r="G1007" s="6" t="s">
        <v>153</v>
      </c>
      <c r="H1007" s="6" t="s">
        <v>77</v>
      </c>
      <c r="I1007" s="6" t="s">
        <v>4680</v>
      </c>
      <c r="J1007" s="6" t="s">
        <v>5365</v>
      </c>
      <c r="K1007" s="6" t="s">
        <v>4726</v>
      </c>
      <c r="L1007" s="2" t="s">
        <v>4830</v>
      </c>
      <c r="M1007" s="2" t="s">
        <v>4828</v>
      </c>
      <c r="N1007" s="9" t="s">
        <v>1530</v>
      </c>
      <c r="O1007" s="6" t="s">
        <v>389</v>
      </c>
      <c r="P1007" s="6" t="s">
        <v>98</v>
      </c>
      <c r="Q1007" s="6" t="s">
        <v>4829</v>
      </c>
      <c r="R1007" s="6" t="s">
        <v>5433</v>
      </c>
    </row>
    <row r="1008" customFormat="false" ht="23.85" hidden="false" customHeight="false" outlineLevel="0" collapsed="false">
      <c r="A1008" s="6" t="s">
        <v>4674</v>
      </c>
      <c r="B1008" s="6" t="s">
        <v>1215</v>
      </c>
      <c r="C1008" s="6" t="s">
        <v>4870</v>
      </c>
      <c r="D1008" s="6" t="s">
        <v>1498</v>
      </c>
      <c r="E1008" s="6" t="s">
        <v>6199</v>
      </c>
      <c r="F1008" s="6" t="s">
        <v>93</v>
      </c>
      <c r="G1008" s="6" t="s">
        <v>164</v>
      </c>
      <c r="H1008" s="6" t="s">
        <v>77</v>
      </c>
      <c r="I1008" s="6" t="s">
        <v>4706</v>
      </c>
      <c r="J1008" s="6" t="s">
        <v>97</v>
      </c>
      <c r="K1008" s="6" t="s">
        <v>4675</v>
      </c>
      <c r="L1008" s="2" t="s">
        <v>1504</v>
      </c>
      <c r="M1008" s="2" t="s">
        <v>6200</v>
      </c>
      <c r="N1008" s="9" t="s">
        <v>6201</v>
      </c>
      <c r="O1008" s="6" t="s">
        <v>97</v>
      </c>
      <c r="P1008" s="6" t="s">
        <v>85</v>
      </c>
      <c r="Q1008" s="6" t="s">
        <v>4674</v>
      </c>
      <c r="R1008" s="6" t="s">
        <v>5368</v>
      </c>
    </row>
    <row r="1009" customFormat="false" ht="23.85" hidden="false" customHeight="false" outlineLevel="0" collapsed="false">
      <c r="A1009" s="6" t="s">
        <v>4674</v>
      </c>
      <c r="B1009" s="6" t="s">
        <v>1215</v>
      </c>
      <c r="C1009" s="6" t="s">
        <v>4848</v>
      </c>
      <c r="D1009" s="6" t="s">
        <v>1498</v>
      </c>
      <c r="E1009" s="6" t="s">
        <v>6199</v>
      </c>
      <c r="F1009" s="6" t="s">
        <v>1499</v>
      </c>
      <c r="G1009" s="6" t="s">
        <v>164</v>
      </c>
      <c r="H1009" s="6" t="s">
        <v>77</v>
      </c>
      <c r="I1009" s="6" t="s">
        <v>4676</v>
      </c>
      <c r="J1009" s="6" t="s">
        <v>97</v>
      </c>
      <c r="K1009" s="6" t="s">
        <v>4675</v>
      </c>
      <c r="L1009" s="2" t="s">
        <v>4677</v>
      </c>
      <c r="M1009" s="2" t="s">
        <v>4673</v>
      </c>
      <c r="N1009" s="9" t="s">
        <v>4678</v>
      </c>
      <c r="O1009" s="6" t="s">
        <v>97</v>
      </c>
      <c r="P1009" s="6" t="s">
        <v>85</v>
      </c>
      <c r="Q1009" s="6" t="s">
        <v>4674</v>
      </c>
      <c r="R1009" s="6" t="s">
        <v>5433</v>
      </c>
    </row>
    <row r="1010" customFormat="false" ht="23.85" hidden="false" customHeight="false" outlineLevel="0" collapsed="false">
      <c r="A1010" s="6" t="s">
        <v>4674</v>
      </c>
      <c r="B1010" s="6" t="s">
        <v>1215</v>
      </c>
      <c r="C1010" s="6" t="s">
        <v>4848</v>
      </c>
      <c r="D1010" s="6" t="s">
        <v>1212</v>
      </c>
      <c r="E1010" s="6" t="s">
        <v>1212</v>
      </c>
      <c r="F1010" s="6" t="s">
        <v>1213</v>
      </c>
      <c r="G1010" s="6" t="s">
        <v>153</v>
      </c>
      <c r="H1010" s="6" t="s">
        <v>287</v>
      </c>
      <c r="I1010" s="6" t="s">
        <v>4680</v>
      </c>
      <c r="J1010" s="6" t="s">
        <v>5365</v>
      </c>
      <c r="K1010" s="6" t="s">
        <v>4790</v>
      </c>
      <c r="L1010" s="2" t="s">
        <v>1217</v>
      </c>
      <c r="M1010" s="2" t="s">
        <v>1216</v>
      </c>
      <c r="N1010" s="9" t="s">
        <v>1218</v>
      </c>
      <c r="O1010" s="6" t="s">
        <v>97</v>
      </c>
      <c r="P1010" s="6" t="s">
        <v>85</v>
      </c>
      <c r="Q1010" s="6" t="s">
        <v>4674</v>
      </c>
      <c r="R1010" s="6" t="s">
        <v>5357</v>
      </c>
    </row>
    <row r="1011" customFormat="false" ht="23.85" hidden="false" customHeight="false" outlineLevel="0" collapsed="false">
      <c r="A1011" s="6" t="s">
        <v>4674</v>
      </c>
      <c r="B1011" s="6" t="s">
        <v>1215</v>
      </c>
      <c r="C1011" s="6" t="s">
        <v>4848</v>
      </c>
      <c r="D1011" s="6" t="s">
        <v>2482</v>
      </c>
      <c r="E1011" s="6" t="s">
        <v>2482</v>
      </c>
      <c r="F1011" s="6" t="s">
        <v>2483</v>
      </c>
      <c r="G1011" s="6" t="s">
        <v>153</v>
      </c>
      <c r="H1011" s="6" t="s">
        <v>287</v>
      </c>
      <c r="I1011" s="6" t="s">
        <v>4680</v>
      </c>
      <c r="J1011" s="6" t="s">
        <v>5365</v>
      </c>
      <c r="K1011" s="6" t="s">
        <v>4790</v>
      </c>
      <c r="L1011" s="2" t="s">
        <v>2485</v>
      </c>
      <c r="M1011" s="2" t="s">
        <v>2484</v>
      </c>
      <c r="N1011" s="9" t="s">
        <v>2486</v>
      </c>
      <c r="O1011" s="6" t="s">
        <v>461</v>
      </c>
      <c r="P1011" s="6" t="s">
        <v>85</v>
      </c>
      <c r="Q1011" s="6" t="s">
        <v>4674</v>
      </c>
      <c r="R1011" s="6" t="s">
        <v>5357</v>
      </c>
    </row>
    <row r="1012" customFormat="false" ht="23.85" hidden="false" customHeight="false" outlineLevel="0" collapsed="false">
      <c r="A1012" s="6" t="s">
        <v>5222</v>
      </c>
      <c r="B1012" s="6" t="s">
        <v>1215</v>
      </c>
      <c r="C1012" s="6" t="s">
        <v>5006</v>
      </c>
      <c r="D1012" s="6" t="s">
        <v>2386</v>
      </c>
      <c r="E1012" s="6" t="s">
        <v>2386</v>
      </c>
      <c r="F1012" s="6" t="s">
        <v>2387</v>
      </c>
      <c r="G1012" s="6" t="s">
        <v>507</v>
      </c>
      <c r="H1012" s="6" t="s">
        <v>287</v>
      </c>
      <c r="I1012" s="6" t="s">
        <v>5617</v>
      </c>
      <c r="J1012" s="6" t="s">
        <v>226</v>
      </c>
      <c r="K1012" s="6" t="s">
        <v>4790</v>
      </c>
      <c r="L1012" s="2" t="s">
        <v>2390</v>
      </c>
      <c r="M1012" s="2" t="s">
        <v>6202</v>
      </c>
      <c r="N1012" s="9" t="s">
        <v>2392</v>
      </c>
      <c r="O1012" s="6" t="s">
        <v>226</v>
      </c>
      <c r="P1012" s="6" t="s">
        <v>85</v>
      </c>
      <c r="Q1012" s="6" t="s">
        <v>5222</v>
      </c>
      <c r="R1012" s="6" t="s">
        <v>5357</v>
      </c>
    </row>
    <row r="1013" customFormat="false" ht="15" hidden="false" customHeight="false" outlineLevel="0" collapsed="false">
      <c r="A1013" s="6" t="s">
        <v>5223</v>
      </c>
      <c r="B1013" s="6" t="s">
        <v>1215</v>
      </c>
      <c r="C1013" s="6" t="s">
        <v>5006</v>
      </c>
      <c r="D1013" s="6" t="s">
        <v>2187</v>
      </c>
      <c r="E1013" s="6" t="s">
        <v>2187</v>
      </c>
      <c r="F1013" s="6" t="s">
        <v>467</v>
      </c>
      <c r="G1013" s="6" t="s">
        <v>76</v>
      </c>
      <c r="H1013" s="6" t="s">
        <v>287</v>
      </c>
      <c r="I1013" s="6" t="s">
        <v>4706</v>
      </c>
      <c r="J1013" s="6" t="s">
        <v>226</v>
      </c>
      <c r="K1013" s="6" t="s">
        <v>4790</v>
      </c>
      <c r="L1013" s="2" t="s">
        <v>2190</v>
      </c>
      <c r="M1013" s="2" t="s">
        <v>2189</v>
      </c>
      <c r="N1013" s="9" t="s">
        <v>2191</v>
      </c>
      <c r="O1013" s="6" t="s">
        <v>226</v>
      </c>
      <c r="P1013" s="6" t="s">
        <v>106</v>
      </c>
      <c r="Q1013" s="6" t="s">
        <v>5223</v>
      </c>
      <c r="R1013" s="6" t="s">
        <v>5368</v>
      </c>
    </row>
    <row r="1014" customFormat="false" ht="23.85" hidden="false" customHeight="false" outlineLevel="0" collapsed="false">
      <c r="A1014" s="6" t="s">
        <v>33</v>
      </c>
      <c r="B1014" s="6" t="s">
        <v>93</v>
      </c>
      <c r="C1014" s="6" t="s">
        <v>93</v>
      </c>
      <c r="D1014" s="6" t="s">
        <v>506</v>
      </c>
      <c r="E1014" s="6" t="s">
        <v>506</v>
      </c>
      <c r="F1014" s="6" t="s">
        <v>508</v>
      </c>
      <c r="G1014" s="6" t="s">
        <v>507</v>
      </c>
      <c r="H1014" s="6" t="s">
        <v>77</v>
      </c>
      <c r="I1014" s="6" t="s">
        <v>4680</v>
      </c>
      <c r="J1014" s="6" t="s">
        <v>5365</v>
      </c>
      <c r="K1014" s="6" t="s">
        <v>4679</v>
      </c>
      <c r="L1014" s="2" t="s">
        <v>510</v>
      </c>
      <c r="M1014" s="2" t="s">
        <v>509</v>
      </c>
      <c r="N1014" s="9" t="s">
        <v>512</v>
      </c>
      <c r="O1014" s="6" t="s">
        <v>511</v>
      </c>
      <c r="P1014" s="6" t="s">
        <v>98</v>
      </c>
      <c r="Q1014" s="6" t="s">
        <v>33</v>
      </c>
      <c r="R1014" s="6" t="s">
        <v>5357</v>
      </c>
    </row>
    <row r="1015" customFormat="false" ht="35.05" hidden="false" customHeight="false" outlineLevel="0" collapsed="false">
      <c r="A1015" s="6" t="s">
        <v>33</v>
      </c>
      <c r="B1015" s="6" t="s">
        <v>93</v>
      </c>
      <c r="C1015" s="6" t="s">
        <v>93</v>
      </c>
      <c r="D1015" s="6" t="s">
        <v>927</v>
      </c>
      <c r="E1015" s="6" t="s">
        <v>6203</v>
      </c>
      <c r="F1015" s="6" t="s">
        <v>928</v>
      </c>
      <c r="G1015" s="6" t="s">
        <v>90</v>
      </c>
      <c r="H1015" s="6" t="s">
        <v>77</v>
      </c>
      <c r="I1015" s="6" t="s">
        <v>4706</v>
      </c>
      <c r="J1015" s="6" t="s">
        <v>5365</v>
      </c>
      <c r="K1015" s="6" t="s">
        <v>4679</v>
      </c>
      <c r="L1015" s="2" t="s">
        <v>6204</v>
      </c>
      <c r="M1015" s="2" t="s">
        <v>6205</v>
      </c>
      <c r="N1015" s="9" t="s">
        <v>933</v>
      </c>
      <c r="O1015" s="6" t="s">
        <v>308</v>
      </c>
      <c r="P1015" s="6" t="s">
        <v>98</v>
      </c>
      <c r="Q1015" s="6" t="s">
        <v>33</v>
      </c>
      <c r="R1015" s="6" t="s">
        <v>5357</v>
      </c>
    </row>
    <row r="1016" customFormat="false" ht="15" hidden="false" customHeight="false" outlineLevel="0" collapsed="false">
      <c r="A1016" s="6" t="s">
        <v>33</v>
      </c>
      <c r="B1016" s="6" t="s">
        <v>93</v>
      </c>
      <c r="C1016" s="6" t="s">
        <v>93</v>
      </c>
      <c r="D1016" s="6" t="s">
        <v>519</v>
      </c>
      <c r="E1016" s="6" t="s">
        <v>519</v>
      </c>
      <c r="F1016" s="6" t="s">
        <v>520</v>
      </c>
      <c r="G1016" s="6" t="s">
        <v>118</v>
      </c>
      <c r="H1016" s="6" t="s">
        <v>77</v>
      </c>
      <c r="I1016" s="6" t="s">
        <v>4680</v>
      </c>
      <c r="J1016" s="6" t="s">
        <v>5365</v>
      </c>
      <c r="K1016" s="6" t="s">
        <v>4679</v>
      </c>
      <c r="L1016" s="2" t="s">
        <v>285</v>
      </c>
      <c r="M1016" s="2" t="s">
        <v>522</v>
      </c>
      <c r="N1016" s="6"/>
      <c r="O1016" s="6" t="s">
        <v>97</v>
      </c>
      <c r="P1016" s="6" t="s">
        <v>98</v>
      </c>
      <c r="Q1016" s="6" t="s">
        <v>33</v>
      </c>
      <c r="R1016" s="6" t="s">
        <v>5357</v>
      </c>
    </row>
    <row r="1017" customFormat="false" ht="23.85" hidden="false" customHeight="false" outlineLevel="0" collapsed="false">
      <c r="A1017" s="6" t="s">
        <v>33</v>
      </c>
      <c r="B1017" s="6" t="s">
        <v>93</v>
      </c>
      <c r="C1017" s="6" t="s">
        <v>93</v>
      </c>
      <c r="D1017" s="6" t="s">
        <v>1462</v>
      </c>
      <c r="E1017" s="6" t="s">
        <v>1462</v>
      </c>
      <c r="F1017" s="6" t="s">
        <v>1463</v>
      </c>
      <c r="G1017" s="6" t="s">
        <v>507</v>
      </c>
      <c r="H1017" s="6" t="s">
        <v>77</v>
      </c>
      <c r="I1017" s="6" t="s">
        <v>4680</v>
      </c>
      <c r="J1017" s="6" t="s">
        <v>5365</v>
      </c>
      <c r="K1017" s="6" t="s">
        <v>4679</v>
      </c>
      <c r="L1017" s="2" t="s">
        <v>96</v>
      </c>
      <c r="M1017" s="2" t="s">
        <v>1464</v>
      </c>
      <c r="N1017" s="6"/>
      <c r="O1017" s="6" t="s">
        <v>97</v>
      </c>
      <c r="P1017" s="6" t="s">
        <v>98</v>
      </c>
      <c r="Q1017" s="6" t="s">
        <v>33</v>
      </c>
      <c r="R1017" s="6" t="s">
        <v>5357</v>
      </c>
    </row>
    <row r="1018" customFormat="false" ht="15" hidden="false" customHeight="false" outlineLevel="0" collapsed="false">
      <c r="A1018" s="6" t="s">
        <v>33</v>
      </c>
      <c r="B1018" s="6" t="s">
        <v>93</v>
      </c>
      <c r="C1018" s="6" t="s">
        <v>93</v>
      </c>
      <c r="D1018" s="6" t="s">
        <v>523</v>
      </c>
      <c r="E1018" s="6" t="s">
        <v>523</v>
      </c>
      <c r="F1018" s="6" t="s">
        <v>524</v>
      </c>
      <c r="G1018" s="6" t="s">
        <v>76</v>
      </c>
      <c r="H1018" s="6" t="s">
        <v>77</v>
      </c>
      <c r="I1018" s="6" t="s">
        <v>4680</v>
      </c>
      <c r="J1018" s="6" t="s">
        <v>5365</v>
      </c>
      <c r="K1018" s="6" t="s">
        <v>4679</v>
      </c>
      <c r="L1018" s="2" t="s">
        <v>526</v>
      </c>
      <c r="M1018" s="2" t="s">
        <v>525</v>
      </c>
      <c r="N1018" s="6"/>
      <c r="O1018" s="6" t="s">
        <v>97</v>
      </c>
      <c r="P1018" s="6" t="s">
        <v>98</v>
      </c>
      <c r="Q1018" s="6" t="s">
        <v>33</v>
      </c>
      <c r="R1018" s="6" t="s">
        <v>5368</v>
      </c>
    </row>
    <row r="1019" customFormat="false" ht="15" hidden="false" customHeight="false" outlineLevel="0" collapsed="false">
      <c r="A1019" s="6" t="s">
        <v>33</v>
      </c>
      <c r="B1019" s="6" t="s">
        <v>93</v>
      </c>
      <c r="C1019" s="6" t="s">
        <v>93</v>
      </c>
      <c r="D1019" s="6" t="s">
        <v>885</v>
      </c>
      <c r="E1019" s="6" t="s">
        <v>885</v>
      </c>
      <c r="F1019" s="6" t="s">
        <v>886</v>
      </c>
      <c r="G1019" s="6" t="s">
        <v>164</v>
      </c>
      <c r="H1019" s="6" t="s">
        <v>77</v>
      </c>
      <c r="I1019" s="6" t="s">
        <v>4680</v>
      </c>
      <c r="J1019" s="6" t="s">
        <v>5365</v>
      </c>
      <c r="K1019" s="6" t="s">
        <v>4679</v>
      </c>
      <c r="L1019" s="2" t="s">
        <v>888</v>
      </c>
      <c r="M1019" s="2" t="s">
        <v>887</v>
      </c>
      <c r="N1019" s="6"/>
      <c r="O1019" s="6" t="s">
        <v>97</v>
      </c>
      <c r="P1019" s="6" t="s">
        <v>98</v>
      </c>
      <c r="Q1019" s="6" t="s">
        <v>33</v>
      </c>
      <c r="R1019" s="6" t="s">
        <v>5368</v>
      </c>
    </row>
    <row r="1020" customFormat="false" ht="15" hidden="false" customHeight="false" outlineLevel="0" collapsed="false">
      <c r="A1020" s="6" t="s">
        <v>33</v>
      </c>
      <c r="B1020" s="6" t="s">
        <v>93</v>
      </c>
      <c r="C1020" s="6" t="s">
        <v>93</v>
      </c>
      <c r="D1020" s="6" t="s">
        <v>1465</v>
      </c>
      <c r="E1020" s="6" t="s">
        <v>1465</v>
      </c>
      <c r="F1020" s="6" t="s">
        <v>1466</v>
      </c>
      <c r="G1020" s="6" t="s">
        <v>507</v>
      </c>
      <c r="H1020" s="6" t="s">
        <v>77</v>
      </c>
      <c r="I1020" s="6" t="s">
        <v>4680</v>
      </c>
      <c r="J1020" s="6" t="s">
        <v>5365</v>
      </c>
      <c r="K1020" s="6" t="s">
        <v>4679</v>
      </c>
      <c r="L1020" s="2" t="s">
        <v>285</v>
      </c>
      <c r="M1020" s="2" t="s">
        <v>1467</v>
      </c>
      <c r="N1020" s="6"/>
      <c r="O1020" s="6" t="s">
        <v>97</v>
      </c>
      <c r="P1020" s="6" t="s">
        <v>98</v>
      </c>
      <c r="Q1020" s="6" t="s">
        <v>33</v>
      </c>
      <c r="R1020" s="6" t="s">
        <v>5357</v>
      </c>
    </row>
    <row r="1021" customFormat="false" ht="23.85" hidden="false" customHeight="false" outlineLevel="0" collapsed="false">
      <c r="A1021" s="6" t="s">
        <v>33</v>
      </c>
      <c r="B1021" s="6" t="s">
        <v>93</v>
      </c>
      <c r="C1021" s="6" t="s">
        <v>93</v>
      </c>
      <c r="D1021" s="6" t="s">
        <v>1468</v>
      </c>
      <c r="E1021" s="6" t="s">
        <v>6206</v>
      </c>
      <c r="F1021" s="6" t="s">
        <v>1091</v>
      </c>
      <c r="G1021" s="6" t="s">
        <v>507</v>
      </c>
      <c r="H1021" s="6" t="s">
        <v>77</v>
      </c>
      <c r="I1021" s="6" t="s">
        <v>5617</v>
      </c>
      <c r="J1021" s="6" t="s">
        <v>5365</v>
      </c>
      <c r="K1021" s="6" t="s">
        <v>4679</v>
      </c>
      <c r="L1021" s="2" t="s">
        <v>1470</v>
      </c>
      <c r="M1021" s="2" t="s">
        <v>1469</v>
      </c>
      <c r="N1021" s="6"/>
      <c r="O1021" s="6" t="s">
        <v>97</v>
      </c>
      <c r="P1021" s="6" t="s">
        <v>98</v>
      </c>
      <c r="Q1021" s="6" t="s">
        <v>33</v>
      </c>
      <c r="R1021" s="6" t="s">
        <v>5357</v>
      </c>
    </row>
    <row r="1022" customFormat="false" ht="15" hidden="false" customHeight="false" outlineLevel="0" collapsed="false">
      <c r="A1022" s="6" t="s">
        <v>33</v>
      </c>
      <c r="B1022" s="6" t="s">
        <v>93</v>
      </c>
      <c r="C1022" s="6" t="s">
        <v>93</v>
      </c>
      <c r="D1022" s="6" t="s">
        <v>548</v>
      </c>
      <c r="E1022" s="6" t="s">
        <v>548</v>
      </c>
      <c r="F1022" s="6" t="s">
        <v>549</v>
      </c>
      <c r="G1022" s="6" t="s">
        <v>118</v>
      </c>
      <c r="H1022" s="6" t="s">
        <v>77</v>
      </c>
      <c r="I1022" s="6" t="s">
        <v>4680</v>
      </c>
      <c r="J1022" s="6" t="s">
        <v>5365</v>
      </c>
      <c r="K1022" s="6" t="s">
        <v>4679</v>
      </c>
      <c r="L1022" s="2" t="s">
        <v>285</v>
      </c>
      <c r="M1022" s="2" t="s">
        <v>550</v>
      </c>
      <c r="N1022" s="6"/>
      <c r="O1022" s="6" t="s">
        <v>97</v>
      </c>
      <c r="P1022" s="6" t="s">
        <v>98</v>
      </c>
      <c r="Q1022" s="6" t="s">
        <v>33</v>
      </c>
      <c r="R1022" s="6" t="s">
        <v>5357</v>
      </c>
    </row>
    <row r="1023" customFormat="false" ht="35.05" hidden="false" customHeight="false" outlineLevel="0" collapsed="false">
      <c r="A1023" s="6" t="s">
        <v>33</v>
      </c>
      <c r="B1023" s="6" t="s">
        <v>93</v>
      </c>
      <c r="C1023" s="6" t="s">
        <v>93</v>
      </c>
      <c r="D1023" s="6" t="s">
        <v>217</v>
      </c>
      <c r="E1023" s="6" t="s">
        <v>217</v>
      </c>
      <c r="F1023" s="6" t="s">
        <v>218</v>
      </c>
      <c r="G1023" s="6" t="s">
        <v>118</v>
      </c>
      <c r="H1023" s="6" t="s">
        <v>77</v>
      </c>
      <c r="I1023" s="6" t="s">
        <v>4680</v>
      </c>
      <c r="J1023" s="6" t="s">
        <v>5365</v>
      </c>
      <c r="K1023" s="6" t="s">
        <v>4679</v>
      </c>
      <c r="L1023" s="2" t="s">
        <v>221</v>
      </c>
      <c r="M1023" s="2" t="s">
        <v>220</v>
      </c>
      <c r="N1023" s="9" t="s">
        <v>222</v>
      </c>
      <c r="O1023" s="6" t="s">
        <v>178</v>
      </c>
      <c r="P1023" s="6" t="s">
        <v>98</v>
      </c>
      <c r="Q1023" s="6" t="s">
        <v>33</v>
      </c>
      <c r="R1023" s="6" t="s">
        <v>5357</v>
      </c>
    </row>
    <row r="1024" customFormat="false" ht="15" hidden="false" customHeight="false" outlineLevel="0" collapsed="false">
      <c r="A1024" s="6" t="s">
        <v>33</v>
      </c>
      <c r="B1024" s="6" t="s">
        <v>93</v>
      </c>
      <c r="C1024" s="6" t="s">
        <v>93</v>
      </c>
      <c r="D1024" s="6" t="s">
        <v>173</v>
      </c>
      <c r="E1024" s="6" t="s">
        <v>173</v>
      </c>
      <c r="F1024" s="6" t="s">
        <v>5605</v>
      </c>
      <c r="G1024" s="6" t="s">
        <v>153</v>
      </c>
      <c r="H1024" s="6" t="s">
        <v>77</v>
      </c>
      <c r="I1024" s="6" t="s">
        <v>4680</v>
      </c>
      <c r="J1024" s="6" t="s">
        <v>5365</v>
      </c>
      <c r="K1024" s="6" t="s">
        <v>4679</v>
      </c>
      <c r="L1024" s="2" t="s">
        <v>177</v>
      </c>
      <c r="M1024" s="2" t="s">
        <v>1624</v>
      </c>
      <c r="N1024" s="9" t="s">
        <v>180</v>
      </c>
      <c r="O1024" s="6" t="s">
        <v>178</v>
      </c>
      <c r="P1024" s="6" t="s">
        <v>85</v>
      </c>
      <c r="Q1024" s="6" t="s">
        <v>93</v>
      </c>
      <c r="R1024" s="6" t="s">
        <v>5433</v>
      </c>
    </row>
    <row r="1025" customFormat="false" ht="23.85" hidden="false" customHeight="false" outlineLevel="0" collapsed="false">
      <c r="A1025" s="6" t="s">
        <v>33</v>
      </c>
      <c r="B1025" s="6" t="s">
        <v>93</v>
      </c>
      <c r="C1025" s="6" t="s">
        <v>93</v>
      </c>
      <c r="D1025" s="6" t="s">
        <v>223</v>
      </c>
      <c r="E1025" s="6" t="s">
        <v>223</v>
      </c>
      <c r="F1025" s="6" t="s">
        <v>223</v>
      </c>
      <c r="G1025" s="6" t="s">
        <v>118</v>
      </c>
      <c r="H1025" s="6" t="s">
        <v>77</v>
      </c>
      <c r="I1025" s="6" t="s">
        <v>4680</v>
      </c>
      <c r="J1025" s="6" t="s">
        <v>5365</v>
      </c>
      <c r="K1025" s="6" t="s">
        <v>4679</v>
      </c>
      <c r="L1025" s="2" t="s">
        <v>225</v>
      </c>
      <c r="M1025" s="2" t="s">
        <v>224</v>
      </c>
      <c r="N1025" s="9" t="s">
        <v>227</v>
      </c>
      <c r="O1025" s="6" t="s">
        <v>226</v>
      </c>
      <c r="P1025" s="6" t="s">
        <v>98</v>
      </c>
      <c r="Q1025" s="6" t="s">
        <v>33</v>
      </c>
      <c r="R1025" s="6" t="s">
        <v>5357</v>
      </c>
    </row>
    <row r="1026" customFormat="false" ht="23.85" hidden="false" customHeight="false" outlineLevel="0" collapsed="false">
      <c r="A1026" s="6" t="s">
        <v>33</v>
      </c>
      <c r="B1026" s="6" t="s">
        <v>93</v>
      </c>
      <c r="C1026" s="6" t="s">
        <v>93</v>
      </c>
      <c r="D1026" s="6" t="s">
        <v>1507</v>
      </c>
      <c r="E1026" s="6" t="s">
        <v>1507</v>
      </c>
      <c r="F1026" s="6" t="s">
        <v>1508</v>
      </c>
      <c r="G1026" s="6" t="s">
        <v>182</v>
      </c>
      <c r="H1026" s="6" t="s">
        <v>77</v>
      </c>
      <c r="I1026" s="6" t="s">
        <v>4680</v>
      </c>
      <c r="J1026" s="6" t="s">
        <v>5365</v>
      </c>
      <c r="K1026" s="6" t="s">
        <v>4679</v>
      </c>
      <c r="L1026" s="2" t="s">
        <v>6207</v>
      </c>
      <c r="M1026" s="2" t="s">
        <v>6208</v>
      </c>
      <c r="N1026" s="9" t="s">
        <v>1511</v>
      </c>
      <c r="O1026" s="6" t="s">
        <v>130</v>
      </c>
      <c r="P1026" s="6" t="s">
        <v>98</v>
      </c>
      <c r="Q1026" s="6" t="s">
        <v>33</v>
      </c>
      <c r="R1026" s="6" t="s">
        <v>5368</v>
      </c>
    </row>
    <row r="1027" customFormat="false" ht="23.85" hidden="false" customHeight="false" outlineLevel="0" collapsed="false">
      <c r="A1027" s="6" t="s">
        <v>33</v>
      </c>
      <c r="B1027" s="6" t="s">
        <v>93</v>
      </c>
      <c r="C1027" s="6" t="s">
        <v>93</v>
      </c>
      <c r="D1027" s="6" t="s">
        <v>228</v>
      </c>
      <c r="E1027" s="6" t="s">
        <v>228</v>
      </c>
      <c r="F1027" s="6" t="s">
        <v>229</v>
      </c>
      <c r="G1027" s="6" t="s">
        <v>76</v>
      </c>
      <c r="H1027" s="6" t="s">
        <v>77</v>
      </c>
      <c r="I1027" s="6" t="s">
        <v>4680</v>
      </c>
      <c r="J1027" s="6" t="s">
        <v>5365</v>
      </c>
      <c r="K1027" s="6" t="s">
        <v>4679</v>
      </c>
      <c r="L1027" s="2" t="s">
        <v>231</v>
      </c>
      <c r="M1027" s="2" t="s">
        <v>230</v>
      </c>
      <c r="N1027" s="6"/>
      <c r="O1027" s="6" t="s">
        <v>97</v>
      </c>
      <c r="P1027" s="6" t="s">
        <v>98</v>
      </c>
      <c r="Q1027" s="6" t="s">
        <v>33</v>
      </c>
      <c r="R1027" s="6" t="s">
        <v>5368</v>
      </c>
    </row>
    <row r="1028" customFormat="false" ht="15" hidden="false" customHeight="false" outlineLevel="0" collapsed="false">
      <c r="A1028" s="6" t="s">
        <v>33</v>
      </c>
      <c r="B1028" s="6" t="s">
        <v>93</v>
      </c>
      <c r="C1028" s="6" t="s">
        <v>93</v>
      </c>
      <c r="D1028" s="6" t="s">
        <v>232</v>
      </c>
      <c r="E1028" s="6" t="s">
        <v>232</v>
      </c>
      <c r="F1028" s="6" t="s">
        <v>233</v>
      </c>
      <c r="G1028" s="6" t="s">
        <v>118</v>
      </c>
      <c r="H1028" s="6" t="s">
        <v>77</v>
      </c>
      <c r="I1028" s="6" t="s">
        <v>4680</v>
      </c>
      <c r="J1028" s="6" t="s">
        <v>5365</v>
      </c>
      <c r="K1028" s="6" t="s">
        <v>4679</v>
      </c>
      <c r="L1028" s="2" t="s">
        <v>235</v>
      </c>
      <c r="M1028" s="2" t="s">
        <v>234</v>
      </c>
      <c r="N1028" s="9" t="s">
        <v>237</v>
      </c>
      <c r="O1028" s="6" t="s">
        <v>236</v>
      </c>
      <c r="P1028" s="6" t="s">
        <v>98</v>
      </c>
      <c r="Q1028" s="6" t="s">
        <v>33</v>
      </c>
      <c r="R1028" s="6" t="s">
        <v>5357</v>
      </c>
    </row>
    <row r="1029" customFormat="false" ht="23.85" hidden="false" customHeight="false" outlineLevel="0" collapsed="false">
      <c r="A1029" s="6" t="s">
        <v>33</v>
      </c>
      <c r="B1029" s="6" t="s">
        <v>93</v>
      </c>
      <c r="C1029" s="6" t="s">
        <v>93</v>
      </c>
      <c r="D1029" s="6" t="s">
        <v>89</v>
      </c>
      <c r="E1029" s="6" t="s">
        <v>89</v>
      </c>
      <c r="F1029" s="6" t="s">
        <v>91</v>
      </c>
      <c r="G1029" s="6" t="s">
        <v>90</v>
      </c>
      <c r="H1029" s="6" t="s">
        <v>77</v>
      </c>
      <c r="I1029" s="6" t="s">
        <v>4706</v>
      </c>
      <c r="J1029" s="6" t="s">
        <v>5365</v>
      </c>
      <c r="K1029" s="6" t="s">
        <v>4679</v>
      </c>
      <c r="L1029" s="2" t="s">
        <v>96</v>
      </c>
      <c r="M1029" s="2" t="s">
        <v>95</v>
      </c>
      <c r="N1029" s="6"/>
      <c r="O1029" s="6" t="s">
        <v>97</v>
      </c>
      <c r="P1029" s="6" t="s">
        <v>98</v>
      </c>
      <c r="Q1029" s="6" t="s">
        <v>33</v>
      </c>
      <c r="R1029" s="6" t="s">
        <v>5357</v>
      </c>
    </row>
    <row r="1030" customFormat="false" ht="23.85" hidden="false" customHeight="false" outlineLevel="0" collapsed="false">
      <c r="A1030" s="6" t="s">
        <v>33</v>
      </c>
      <c r="B1030" s="6" t="s">
        <v>93</v>
      </c>
      <c r="C1030" s="6" t="s">
        <v>93</v>
      </c>
      <c r="D1030" s="6" t="s">
        <v>238</v>
      </c>
      <c r="E1030" s="6" t="s">
        <v>238</v>
      </c>
      <c r="F1030" s="6" t="s">
        <v>240</v>
      </c>
      <c r="G1030" s="6" t="s">
        <v>239</v>
      </c>
      <c r="H1030" s="6" t="s">
        <v>77</v>
      </c>
      <c r="I1030" s="6" t="s">
        <v>4680</v>
      </c>
      <c r="J1030" s="6" t="s">
        <v>5365</v>
      </c>
      <c r="K1030" s="6" t="s">
        <v>4679</v>
      </c>
      <c r="L1030" s="2" t="s">
        <v>242</v>
      </c>
      <c r="M1030" s="2" t="s">
        <v>241</v>
      </c>
      <c r="N1030" s="9" t="s">
        <v>243</v>
      </c>
      <c r="O1030" s="6" t="s">
        <v>160</v>
      </c>
      <c r="P1030" s="6" t="s">
        <v>85</v>
      </c>
      <c r="Q1030" s="6" t="s">
        <v>93</v>
      </c>
      <c r="R1030" s="6" t="s">
        <v>5433</v>
      </c>
    </row>
    <row r="1031" customFormat="false" ht="15" hidden="false" customHeight="false" outlineLevel="0" collapsed="false">
      <c r="A1031" s="6" t="s">
        <v>33</v>
      </c>
      <c r="B1031" s="6" t="s">
        <v>93</v>
      </c>
      <c r="C1031" s="6" t="s">
        <v>93</v>
      </c>
      <c r="D1031" s="6" t="s">
        <v>889</v>
      </c>
      <c r="E1031" s="6" t="s">
        <v>889</v>
      </c>
      <c r="F1031" s="6" t="s">
        <v>729</v>
      </c>
      <c r="G1031" s="6" t="s">
        <v>164</v>
      </c>
      <c r="H1031" s="6" t="s">
        <v>77</v>
      </c>
      <c r="I1031" s="6" t="s">
        <v>4680</v>
      </c>
      <c r="J1031" s="6" t="s">
        <v>5365</v>
      </c>
      <c r="K1031" s="6" t="s">
        <v>4679</v>
      </c>
      <c r="L1031" s="2" t="s">
        <v>891</v>
      </c>
      <c r="M1031" s="2" t="s">
        <v>890</v>
      </c>
      <c r="N1031" s="6"/>
      <c r="O1031" s="6" t="s">
        <v>97</v>
      </c>
      <c r="P1031" s="6" t="s">
        <v>98</v>
      </c>
      <c r="Q1031" s="6" t="s">
        <v>33</v>
      </c>
      <c r="R1031" s="6" t="s">
        <v>5368</v>
      </c>
    </row>
    <row r="1032" customFormat="false" ht="15" hidden="false" customHeight="false" outlineLevel="0" collapsed="false">
      <c r="A1032" s="6" t="s">
        <v>33</v>
      </c>
      <c r="B1032" s="6" t="s">
        <v>93</v>
      </c>
      <c r="C1032" s="6" t="s">
        <v>93</v>
      </c>
      <c r="D1032" s="6" t="s">
        <v>551</v>
      </c>
      <c r="E1032" s="6" t="s">
        <v>551</v>
      </c>
      <c r="F1032" s="6" t="s">
        <v>552</v>
      </c>
      <c r="G1032" s="6" t="s">
        <v>239</v>
      </c>
      <c r="H1032" s="6" t="s">
        <v>77</v>
      </c>
      <c r="I1032" s="6" t="s">
        <v>4680</v>
      </c>
      <c r="J1032" s="6" t="s">
        <v>5365</v>
      </c>
      <c r="K1032" s="6" t="s">
        <v>4679</v>
      </c>
      <c r="L1032" s="2" t="s">
        <v>554</v>
      </c>
      <c r="M1032" s="2" t="s">
        <v>553</v>
      </c>
      <c r="N1032" s="6"/>
      <c r="O1032" s="6" t="s">
        <v>97</v>
      </c>
      <c r="P1032" s="6" t="s">
        <v>98</v>
      </c>
      <c r="Q1032" s="6" t="s">
        <v>33</v>
      </c>
      <c r="R1032" s="6" t="s">
        <v>5368</v>
      </c>
    </row>
    <row r="1033" customFormat="false" ht="15" hidden="false" customHeight="false" outlineLevel="0" collapsed="false">
      <c r="A1033" s="6" t="s">
        <v>33</v>
      </c>
      <c r="B1033" s="6" t="s">
        <v>93</v>
      </c>
      <c r="C1033" s="6" t="s">
        <v>93</v>
      </c>
      <c r="D1033" s="6" t="s">
        <v>1471</v>
      </c>
      <c r="E1033" s="6" t="s">
        <v>1471</v>
      </c>
      <c r="F1033" s="6" t="s">
        <v>1472</v>
      </c>
      <c r="G1033" s="6" t="s">
        <v>1127</v>
      </c>
      <c r="H1033" s="6" t="s">
        <v>77</v>
      </c>
      <c r="I1033" s="6" t="s">
        <v>4680</v>
      </c>
      <c r="J1033" s="6" t="s">
        <v>5365</v>
      </c>
      <c r="K1033" s="6" t="s">
        <v>4679</v>
      </c>
      <c r="L1033" s="2" t="s">
        <v>1473</v>
      </c>
      <c r="M1033" s="2"/>
      <c r="N1033" s="6"/>
      <c r="O1033" s="6" t="s">
        <v>97</v>
      </c>
      <c r="P1033" s="6" t="s">
        <v>98</v>
      </c>
      <c r="Q1033" s="6" t="s">
        <v>33</v>
      </c>
      <c r="R1033" s="6" t="s">
        <v>5368</v>
      </c>
    </row>
    <row r="1034" customFormat="false" ht="15" hidden="false" customHeight="false" outlineLevel="0" collapsed="false">
      <c r="A1034" s="6" t="s">
        <v>33</v>
      </c>
      <c r="B1034" s="6" t="s">
        <v>93</v>
      </c>
      <c r="C1034" s="6" t="s">
        <v>93</v>
      </c>
      <c r="D1034" s="6" t="s">
        <v>892</v>
      </c>
      <c r="E1034" s="6" t="s">
        <v>892</v>
      </c>
      <c r="F1034" s="6" t="s">
        <v>893</v>
      </c>
      <c r="G1034" s="6" t="s">
        <v>164</v>
      </c>
      <c r="H1034" s="6" t="s">
        <v>77</v>
      </c>
      <c r="I1034" s="6" t="s">
        <v>4680</v>
      </c>
      <c r="J1034" s="6" t="s">
        <v>5365</v>
      </c>
      <c r="K1034" s="6" t="s">
        <v>4679</v>
      </c>
      <c r="L1034" s="2" t="s">
        <v>895</v>
      </c>
      <c r="M1034" s="2" t="s">
        <v>894</v>
      </c>
      <c r="N1034" s="9" t="s">
        <v>896</v>
      </c>
      <c r="O1034" s="6" t="s">
        <v>150</v>
      </c>
      <c r="P1034" s="6" t="s">
        <v>98</v>
      </c>
      <c r="Q1034" s="6" t="s">
        <v>33</v>
      </c>
      <c r="R1034" s="6" t="s">
        <v>5368</v>
      </c>
    </row>
    <row r="1035" customFormat="false" ht="15" hidden="false" customHeight="false" outlineLevel="0" collapsed="false">
      <c r="A1035" s="6" t="s">
        <v>33</v>
      </c>
      <c r="B1035" s="6" t="s">
        <v>93</v>
      </c>
      <c r="C1035" s="6" t="s">
        <v>93</v>
      </c>
      <c r="D1035" s="6" t="s">
        <v>977</v>
      </c>
      <c r="E1035" s="6" t="s">
        <v>978</v>
      </c>
      <c r="F1035" s="6" t="s">
        <v>977</v>
      </c>
      <c r="G1035" s="6" t="s">
        <v>76</v>
      </c>
      <c r="H1035" s="6" t="s">
        <v>77</v>
      </c>
      <c r="I1035" s="6" t="s">
        <v>4680</v>
      </c>
      <c r="J1035" s="6" t="s">
        <v>5365</v>
      </c>
      <c r="K1035" s="6" t="s">
        <v>4679</v>
      </c>
      <c r="L1035" s="2" t="s">
        <v>6209</v>
      </c>
      <c r="M1035" s="2" t="s">
        <v>6210</v>
      </c>
      <c r="N1035" s="6"/>
      <c r="O1035" s="6" t="s">
        <v>97</v>
      </c>
      <c r="P1035" s="6" t="s">
        <v>98</v>
      </c>
      <c r="Q1035" s="6" t="s">
        <v>33</v>
      </c>
      <c r="R1035" s="6" t="s">
        <v>5368</v>
      </c>
    </row>
    <row r="1036" customFormat="false" ht="23.85" hidden="false" customHeight="false" outlineLevel="0" collapsed="false">
      <c r="A1036" s="6" t="s">
        <v>33</v>
      </c>
      <c r="B1036" s="6" t="s">
        <v>93</v>
      </c>
      <c r="C1036" s="6" t="s">
        <v>93</v>
      </c>
      <c r="D1036" s="6" t="s">
        <v>981</v>
      </c>
      <c r="E1036" s="6" t="s">
        <v>981</v>
      </c>
      <c r="F1036" s="6" t="s">
        <v>981</v>
      </c>
      <c r="G1036" s="6" t="s">
        <v>118</v>
      </c>
      <c r="H1036" s="6" t="s">
        <v>77</v>
      </c>
      <c r="I1036" s="6" t="s">
        <v>4684</v>
      </c>
      <c r="J1036" s="6" t="s">
        <v>5365</v>
      </c>
      <c r="K1036" s="6" t="s">
        <v>4679</v>
      </c>
      <c r="L1036" s="2" t="s">
        <v>6211</v>
      </c>
      <c r="M1036" s="2" t="s">
        <v>6212</v>
      </c>
      <c r="N1036" s="9" t="s">
        <v>986</v>
      </c>
      <c r="O1036" s="6" t="s">
        <v>511</v>
      </c>
      <c r="P1036" s="6" t="s">
        <v>98</v>
      </c>
      <c r="Q1036" s="6" t="s">
        <v>33</v>
      </c>
      <c r="R1036" s="6" t="s">
        <v>5357</v>
      </c>
    </row>
    <row r="1037" customFormat="false" ht="35.05" hidden="false" customHeight="false" outlineLevel="0" collapsed="false">
      <c r="A1037" s="6" t="s">
        <v>33</v>
      </c>
      <c r="B1037" s="6" t="s">
        <v>93</v>
      </c>
      <c r="C1037" s="6" t="s">
        <v>93</v>
      </c>
      <c r="D1037" s="6" t="s">
        <v>244</v>
      </c>
      <c r="E1037" s="6" t="s">
        <v>6213</v>
      </c>
      <c r="F1037" s="6" t="s">
        <v>245</v>
      </c>
      <c r="G1037" s="6" t="s">
        <v>90</v>
      </c>
      <c r="H1037" s="6" t="s">
        <v>77</v>
      </c>
      <c r="I1037" s="6" t="s">
        <v>4684</v>
      </c>
      <c r="J1037" s="6" t="s">
        <v>5365</v>
      </c>
      <c r="K1037" s="6" t="s">
        <v>4679</v>
      </c>
      <c r="L1037" s="2" t="s">
        <v>6214</v>
      </c>
      <c r="M1037" s="2" t="s">
        <v>6215</v>
      </c>
      <c r="N1037" s="9" t="s">
        <v>6216</v>
      </c>
      <c r="O1037" s="6" t="s">
        <v>178</v>
      </c>
      <c r="P1037" s="6" t="s">
        <v>98</v>
      </c>
      <c r="Q1037" s="6" t="s">
        <v>33</v>
      </c>
      <c r="R1037" s="6" t="s">
        <v>5357</v>
      </c>
    </row>
    <row r="1038" customFormat="false" ht="15" hidden="false" customHeight="false" outlineLevel="0" collapsed="false">
      <c r="A1038" s="6" t="s">
        <v>33</v>
      </c>
      <c r="B1038" s="6" t="s">
        <v>93</v>
      </c>
      <c r="C1038" s="6" t="s">
        <v>93</v>
      </c>
      <c r="D1038" s="6" t="s">
        <v>244</v>
      </c>
      <c r="E1038" s="6" t="s">
        <v>244</v>
      </c>
      <c r="F1038" s="6" t="s">
        <v>244</v>
      </c>
      <c r="G1038" s="6" t="s">
        <v>90</v>
      </c>
      <c r="H1038" s="6" t="s">
        <v>77</v>
      </c>
      <c r="I1038" s="6" t="s">
        <v>4680</v>
      </c>
      <c r="J1038" s="6" t="s">
        <v>5365</v>
      </c>
      <c r="K1038" s="6" t="s">
        <v>4679</v>
      </c>
      <c r="L1038" s="2" t="s">
        <v>249</v>
      </c>
      <c r="M1038" s="2" t="s">
        <v>4694</v>
      </c>
      <c r="N1038" s="9" t="s">
        <v>250</v>
      </c>
      <c r="O1038" s="6" t="s">
        <v>160</v>
      </c>
      <c r="P1038" s="6" t="s">
        <v>85</v>
      </c>
      <c r="Q1038" s="6" t="s">
        <v>93</v>
      </c>
      <c r="R1038" s="6" t="s">
        <v>5433</v>
      </c>
    </row>
    <row r="1039" customFormat="false" ht="15" hidden="false" customHeight="false" outlineLevel="0" collapsed="false">
      <c r="A1039" s="6" t="s">
        <v>33</v>
      </c>
      <c r="B1039" s="6" t="s">
        <v>93</v>
      </c>
      <c r="C1039" s="6" t="s">
        <v>93</v>
      </c>
      <c r="D1039" s="6" t="s">
        <v>181</v>
      </c>
      <c r="E1039" s="6" t="s">
        <v>181</v>
      </c>
      <c r="F1039" s="6" t="s">
        <v>183</v>
      </c>
      <c r="G1039" s="6" t="s">
        <v>182</v>
      </c>
      <c r="H1039" s="6" t="s">
        <v>77</v>
      </c>
      <c r="I1039" s="6" t="s">
        <v>4680</v>
      </c>
      <c r="J1039" s="6" t="s">
        <v>5365</v>
      </c>
      <c r="K1039" s="6" t="s">
        <v>4679</v>
      </c>
      <c r="L1039" s="2" t="s">
        <v>186</v>
      </c>
      <c r="M1039" s="2" t="s">
        <v>185</v>
      </c>
      <c r="N1039" s="6"/>
      <c r="O1039" s="6" t="s">
        <v>97</v>
      </c>
      <c r="P1039" s="6" t="s">
        <v>98</v>
      </c>
      <c r="Q1039" s="6" t="s">
        <v>33</v>
      </c>
      <c r="R1039" s="6" t="s">
        <v>5368</v>
      </c>
    </row>
    <row r="1040" customFormat="false" ht="23.85" hidden="false" customHeight="false" outlineLevel="0" collapsed="false">
      <c r="A1040" s="6" t="s">
        <v>33</v>
      </c>
      <c r="B1040" s="6" t="s">
        <v>93</v>
      </c>
      <c r="C1040" s="6" t="s">
        <v>93</v>
      </c>
      <c r="D1040" s="6" t="s">
        <v>252</v>
      </c>
      <c r="E1040" s="6" t="s">
        <v>252</v>
      </c>
      <c r="F1040" s="6" t="s">
        <v>253</v>
      </c>
      <c r="G1040" s="6" t="s">
        <v>90</v>
      </c>
      <c r="H1040" s="6" t="s">
        <v>77</v>
      </c>
      <c r="I1040" s="6" t="s">
        <v>4680</v>
      </c>
      <c r="J1040" s="6" t="s">
        <v>5365</v>
      </c>
      <c r="K1040" s="6" t="s">
        <v>4679</v>
      </c>
      <c r="L1040" s="2" t="s">
        <v>255</v>
      </c>
      <c r="M1040" s="2" t="s">
        <v>254</v>
      </c>
      <c r="N1040" s="9" t="s">
        <v>257</v>
      </c>
      <c r="O1040" s="6" t="s">
        <v>256</v>
      </c>
      <c r="P1040" s="6" t="s">
        <v>98</v>
      </c>
      <c r="Q1040" s="6" t="s">
        <v>33</v>
      </c>
      <c r="R1040" s="6" t="s">
        <v>5357</v>
      </c>
    </row>
    <row r="1041" customFormat="false" ht="23.85" hidden="false" customHeight="false" outlineLevel="0" collapsed="false">
      <c r="A1041" s="6" t="s">
        <v>33</v>
      </c>
      <c r="B1041" s="6" t="s">
        <v>93</v>
      </c>
      <c r="C1041" s="6" t="s">
        <v>93</v>
      </c>
      <c r="D1041" s="6" t="s">
        <v>909</v>
      </c>
      <c r="E1041" s="6" t="s">
        <v>909</v>
      </c>
      <c r="F1041" s="6" t="s">
        <v>910</v>
      </c>
      <c r="G1041" s="6" t="s">
        <v>153</v>
      </c>
      <c r="H1041" s="6" t="s">
        <v>77</v>
      </c>
      <c r="I1041" s="6" t="s">
        <v>4680</v>
      </c>
      <c r="J1041" s="6" t="s">
        <v>5365</v>
      </c>
      <c r="K1041" s="6" t="s">
        <v>4679</v>
      </c>
      <c r="L1041" s="2" t="s">
        <v>912</v>
      </c>
      <c r="M1041" s="2" t="s">
        <v>911</v>
      </c>
      <c r="N1041" s="6"/>
      <c r="O1041" s="6" t="s">
        <v>97</v>
      </c>
      <c r="P1041" s="6" t="s">
        <v>98</v>
      </c>
      <c r="Q1041" s="6" t="s">
        <v>33</v>
      </c>
      <c r="R1041" s="6" t="s">
        <v>5357</v>
      </c>
    </row>
    <row r="1042" customFormat="false" ht="23.85" hidden="false" customHeight="false" outlineLevel="0" collapsed="false">
      <c r="A1042" s="6" t="s">
        <v>33</v>
      </c>
      <c r="B1042" s="6" t="s">
        <v>93</v>
      </c>
      <c r="C1042" s="6" t="s">
        <v>93</v>
      </c>
      <c r="D1042" s="6" t="s">
        <v>563</v>
      </c>
      <c r="E1042" s="6" t="s">
        <v>563</v>
      </c>
      <c r="F1042" s="6" t="s">
        <v>564</v>
      </c>
      <c r="G1042" s="6" t="s">
        <v>118</v>
      </c>
      <c r="H1042" s="6" t="s">
        <v>77</v>
      </c>
      <c r="I1042" s="6" t="s">
        <v>4684</v>
      </c>
      <c r="J1042" s="6" t="s">
        <v>5365</v>
      </c>
      <c r="K1042" s="6" t="s">
        <v>4679</v>
      </c>
      <c r="L1042" s="2" t="s">
        <v>566</v>
      </c>
      <c r="M1042" s="2" t="s">
        <v>565</v>
      </c>
      <c r="N1042" s="9" t="s">
        <v>567</v>
      </c>
      <c r="O1042" s="6" t="s">
        <v>178</v>
      </c>
      <c r="P1042" s="6" t="s">
        <v>98</v>
      </c>
      <c r="Q1042" s="6" t="s">
        <v>33</v>
      </c>
      <c r="R1042" s="6" t="s">
        <v>5357</v>
      </c>
    </row>
    <row r="1043" customFormat="false" ht="15" hidden="false" customHeight="false" outlineLevel="0" collapsed="false">
      <c r="A1043" s="6" t="s">
        <v>33</v>
      </c>
      <c r="B1043" s="6" t="s">
        <v>93</v>
      </c>
      <c r="C1043" s="6" t="s">
        <v>93</v>
      </c>
      <c r="D1043" s="6" t="s">
        <v>913</v>
      </c>
      <c r="E1043" s="6" t="s">
        <v>913</v>
      </c>
      <c r="F1043" s="6" t="s">
        <v>645</v>
      </c>
      <c r="G1043" s="6" t="s">
        <v>164</v>
      </c>
      <c r="H1043" s="6" t="s">
        <v>77</v>
      </c>
      <c r="I1043" s="6" t="s">
        <v>4680</v>
      </c>
      <c r="J1043" s="6" t="s">
        <v>5365</v>
      </c>
      <c r="K1043" s="6" t="s">
        <v>4679</v>
      </c>
      <c r="L1043" s="2" t="s">
        <v>915</v>
      </c>
      <c r="M1043" s="2" t="s">
        <v>914</v>
      </c>
      <c r="N1043" s="9" t="s">
        <v>916</v>
      </c>
      <c r="O1043" s="6" t="s">
        <v>143</v>
      </c>
      <c r="P1043" s="6" t="s">
        <v>98</v>
      </c>
      <c r="Q1043" s="6" t="s">
        <v>33</v>
      </c>
      <c r="R1043" s="6" t="s">
        <v>5368</v>
      </c>
    </row>
    <row r="1044" customFormat="false" ht="23.85" hidden="false" customHeight="false" outlineLevel="0" collapsed="false">
      <c r="A1044" s="6" t="s">
        <v>33</v>
      </c>
      <c r="B1044" s="6" t="s">
        <v>93</v>
      </c>
      <c r="C1044" s="6" t="s">
        <v>93</v>
      </c>
      <c r="D1044" s="6" t="s">
        <v>117</v>
      </c>
      <c r="E1044" s="6" t="s">
        <v>117</v>
      </c>
      <c r="F1044" s="6" t="s">
        <v>119</v>
      </c>
      <c r="G1044" s="6" t="s">
        <v>118</v>
      </c>
      <c r="H1044" s="6" t="s">
        <v>77</v>
      </c>
      <c r="I1044" s="6" t="s">
        <v>4680</v>
      </c>
      <c r="J1044" s="6" t="s">
        <v>5365</v>
      </c>
      <c r="K1044" s="6" t="s">
        <v>4679</v>
      </c>
      <c r="L1044" s="2" t="s">
        <v>122</v>
      </c>
      <c r="M1044" s="2" t="s">
        <v>121</v>
      </c>
      <c r="N1044" s="9" t="s">
        <v>124</v>
      </c>
      <c r="O1044" s="6" t="s">
        <v>123</v>
      </c>
      <c r="P1044" s="6" t="s">
        <v>98</v>
      </c>
      <c r="Q1044" s="6" t="s">
        <v>33</v>
      </c>
      <c r="R1044" s="6" t="s">
        <v>5357</v>
      </c>
    </row>
    <row r="1045" customFormat="false" ht="15" hidden="false" customHeight="false" outlineLevel="0" collapsed="false">
      <c r="A1045" s="6" t="s">
        <v>33</v>
      </c>
      <c r="B1045" s="6" t="s">
        <v>93</v>
      </c>
      <c r="C1045" s="6" t="s">
        <v>93</v>
      </c>
      <c r="D1045" s="6" t="s">
        <v>258</v>
      </c>
      <c r="E1045" s="6" t="s">
        <v>258</v>
      </c>
      <c r="F1045" s="6" t="s">
        <v>259</v>
      </c>
      <c r="G1045" s="6" t="s">
        <v>239</v>
      </c>
      <c r="H1045" s="6" t="s">
        <v>77</v>
      </c>
      <c r="I1045" s="6" t="s">
        <v>4680</v>
      </c>
      <c r="J1045" s="6" t="s">
        <v>5365</v>
      </c>
      <c r="K1045" s="6" t="s">
        <v>4679</v>
      </c>
      <c r="L1045" s="2" t="s">
        <v>261</v>
      </c>
      <c r="M1045" s="2" t="s">
        <v>260</v>
      </c>
      <c r="N1045" s="6"/>
      <c r="O1045" s="6" t="s">
        <v>97</v>
      </c>
      <c r="P1045" s="6" t="s">
        <v>98</v>
      </c>
      <c r="Q1045" s="6" t="s">
        <v>33</v>
      </c>
      <c r="R1045" s="6" t="s">
        <v>5368</v>
      </c>
    </row>
    <row r="1046" customFormat="false" ht="23.85" hidden="false" customHeight="false" outlineLevel="0" collapsed="false">
      <c r="A1046" s="6" t="s">
        <v>33</v>
      </c>
      <c r="B1046" s="6" t="s">
        <v>93</v>
      </c>
      <c r="C1046" s="6" t="s">
        <v>93</v>
      </c>
      <c r="D1046" s="6" t="s">
        <v>187</v>
      </c>
      <c r="E1046" s="6" t="s">
        <v>187</v>
      </c>
      <c r="F1046" s="6" t="s">
        <v>188</v>
      </c>
      <c r="G1046" s="6" t="s">
        <v>153</v>
      </c>
      <c r="H1046" s="6" t="s">
        <v>77</v>
      </c>
      <c r="I1046" s="6" t="s">
        <v>4680</v>
      </c>
      <c r="J1046" s="6" t="s">
        <v>5365</v>
      </c>
      <c r="K1046" s="6" t="s">
        <v>4679</v>
      </c>
      <c r="L1046" s="2" t="s">
        <v>4730</v>
      </c>
      <c r="M1046" s="2" t="s">
        <v>4729</v>
      </c>
      <c r="N1046" s="9" t="s">
        <v>194</v>
      </c>
      <c r="O1046" s="6" t="s">
        <v>256</v>
      </c>
      <c r="P1046" s="6" t="s">
        <v>85</v>
      </c>
      <c r="Q1046" s="6" t="s">
        <v>93</v>
      </c>
      <c r="R1046" s="6" t="s">
        <v>5433</v>
      </c>
    </row>
    <row r="1047" customFormat="false" ht="15" hidden="false" customHeight="false" outlineLevel="0" collapsed="false">
      <c r="A1047" s="6" t="s">
        <v>33</v>
      </c>
      <c r="B1047" s="6" t="s">
        <v>93</v>
      </c>
      <c r="C1047" s="6" t="s">
        <v>93</v>
      </c>
      <c r="D1047" s="6" t="s">
        <v>187</v>
      </c>
      <c r="E1047" s="6" t="s">
        <v>187</v>
      </c>
      <c r="F1047" s="6" t="s">
        <v>188</v>
      </c>
      <c r="G1047" s="6" t="s">
        <v>153</v>
      </c>
      <c r="H1047" s="6" t="s">
        <v>77</v>
      </c>
      <c r="I1047" s="6" t="s">
        <v>4732</v>
      </c>
      <c r="J1047" s="6" t="s">
        <v>5365</v>
      </c>
      <c r="K1047" s="6" t="s">
        <v>4679</v>
      </c>
      <c r="L1047" s="2" t="s">
        <v>4733</v>
      </c>
      <c r="M1047" s="2" t="s">
        <v>4731</v>
      </c>
      <c r="N1047" s="9" t="s">
        <v>4734</v>
      </c>
      <c r="O1047" s="6" t="s">
        <v>256</v>
      </c>
      <c r="P1047" s="6" t="s">
        <v>85</v>
      </c>
      <c r="Q1047" s="6" t="s">
        <v>93</v>
      </c>
      <c r="R1047" s="6" t="s">
        <v>5433</v>
      </c>
    </row>
    <row r="1048" customFormat="false" ht="23.85" hidden="false" customHeight="false" outlineLevel="0" collapsed="false">
      <c r="A1048" s="6" t="s">
        <v>33</v>
      </c>
      <c r="B1048" s="6" t="s">
        <v>93</v>
      </c>
      <c r="C1048" s="6" t="s">
        <v>93</v>
      </c>
      <c r="D1048" s="6" t="s">
        <v>1474</v>
      </c>
      <c r="E1048" s="6" t="s">
        <v>1474</v>
      </c>
      <c r="F1048" s="6" t="s">
        <v>1475</v>
      </c>
      <c r="G1048" s="6" t="s">
        <v>507</v>
      </c>
      <c r="H1048" s="6" t="s">
        <v>77</v>
      </c>
      <c r="I1048" s="6" t="s">
        <v>4680</v>
      </c>
      <c r="J1048" s="6" t="s">
        <v>5365</v>
      </c>
      <c r="K1048" s="6" t="s">
        <v>4679</v>
      </c>
      <c r="L1048" s="2" t="s">
        <v>1477</v>
      </c>
      <c r="M1048" s="2" t="s">
        <v>1476</v>
      </c>
      <c r="N1048" s="9" t="s">
        <v>1478</v>
      </c>
      <c r="O1048" s="6" t="s">
        <v>150</v>
      </c>
      <c r="P1048" s="6" t="s">
        <v>98</v>
      </c>
      <c r="Q1048" s="6" t="s">
        <v>33</v>
      </c>
      <c r="R1048" s="6" t="s">
        <v>5357</v>
      </c>
    </row>
    <row r="1049" customFormat="false" ht="23.85" hidden="false" customHeight="false" outlineLevel="0" collapsed="false">
      <c r="A1049" s="6" t="s">
        <v>33</v>
      </c>
      <c r="B1049" s="6" t="s">
        <v>93</v>
      </c>
      <c r="C1049" s="6" t="s">
        <v>93</v>
      </c>
      <c r="D1049" s="6" t="s">
        <v>125</v>
      </c>
      <c r="E1049" s="6" t="s">
        <v>125</v>
      </c>
      <c r="F1049" s="6" t="s">
        <v>6217</v>
      </c>
      <c r="G1049" s="6" t="s">
        <v>118</v>
      </c>
      <c r="H1049" s="6" t="s">
        <v>77</v>
      </c>
      <c r="I1049" s="6" t="s">
        <v>5617</v>
      </c>
      <c r="J1049" s="6" t="s">
        <v>5365</v>
      </c>
      <c r="K1049" s="6" t="s">
        <v>4679</v>
      </c>
      <c r="L1049" s="2" t="s">
        <v>6218</v>
      </c>
      <c r="M1049" s="2" t="s">
        <v>6219</v>
      </c>
      <c r="N1049" s="9" t="s">
        <v>6220</v>
      </c>
      <c r="O1049" s="6" t="s">
        <v>130</v>
      </c>
      <c r="P1049" s="6" t="s">
        <v>98</v>
      </c>
      <c r="Q1049" s="6" t="s">
        <v>33</v>
      </c>
      <c r="R1049" s="6" t="s">
        <v>5357</v>
      </c>
    </row>
    <row r="1050" customFormat="false" ht="15" hidden="false" customHeight="false" outlineLevel="0" collapsed="false">
      <c r="A1050" s="6" t="s">
        <v>33</v>
      </c>
      <c r="B1050" s="6" t="s">
        <v>93</v>
      </c>
      <c r="C1050" s="6" t="s">
        <v>93</v>
      </c>
      <c r="D1050" s="6" t="s">
        <v>924</v>
      </c>
      <c r="E1050" s="6" t="s">
        <v>924</v>
      </c>
      <c r="F1050" s="6" t="s">
        <v>925</v>
      </c>
      <c r="G1050" s="6" t="s">
        <v>164</v>
      </c>
      <c r="H1050" s="6" t="s">
        <v>77</v>
      </c>
      <c r="I1050" s="6" t="s">
        <v>4680</v>
      </c>
      <c r="J1050" s="6" t="s">
        <v>5365</v>
      </c>
      <c r="K1050" s="6" t="s">
        <v>4679</v>
      </c>
      <c r="L1050" s="2" t="s">
        <v>926</v>
      </c>
      <c r="M1050" s="2"/>
      <c r="N1050" s="6"/>
      <c r="O1050" s="6" t="s">
        <v>97</v>
      </c>
      <c r="P1050" s="6" t="s">
        <v>98</v>
      </c>
      <c r="Q1050" s="6" t="s">
        <v>33</v>
      </c>
      <c r="R1050" s="6" t="s">
        <v>5368</v>
      </c>
    </row>
    <row r="1051" customFormat="false" ht="23.85" hidden="false" customHeight="false" outlineLevel="0" collapsed="false">
      <c r="A1051" s="6" t="s">
        <v>33</v>
      </c>
      <c r="B1051" s="6" t="s">
        <v>93</v>
      </c>
      <c r="C1051" s="6" t="s">
        <v>93</v>
      </c>
      <c r="D1051" s="6" t="s">
        <v>1024</v>
      </c>
      <c r="E1051" s="6" t="s">
        <v>1024</v>
      </c>
      <c r="F1051" s="6" t="s">
        <v>1025</v>
      </c>
      <c r="G1051" s="6" t="s">
        <v>118</v>
      </c>
      <c r="H1051" s="6" t="s">
        <v>77</v>
      </c>
      <c r="I1051" s="6" t="s">
        <v>4680</v>
      </c>
      <c r="J1051" s="6" t="s">
        <v>5365</v>
      </c>
      <c r="K1051" s="6" t="s">
        <v>4679</v>
      </c>
      <c r="L1051" s="2" t="s">
        <v>6221</v>
      </c>
      <c r="M1051" s="2" t="s">
        <v>6222</v>
      </c>
      <c r="N1051" s="9" t="s">
        <v>6223</v>
      </c>
      <c r="O1051" s="6" t="s">
        <v>511</v>
      </c>
      <c r="P1051" s="6" t="s">
        <v>98</v>
      </c>
      <c r="Q1051" s="6" t="s">
        <v>33</v>
      </c>
      <c r="R1051" s="6" t="s">
        <v>5357</v>
      </c>
    </row>
    <row r="1052" customFormat="false" ht="23.85" hidden="false" customHeight="false" outlineLevel="0" collapsed="false">
      <c r="A1052" s="6" t="s">
        <v>33</v>
      </c>
      <c r="B1052" s="6" t="s">
        <v>93</v>
      </c>
      <c r="C1052" s="6" t="s">
        <v>93</v>
      </c>
      <c r="D1052" s="6" t="s">
        <v>203</v>
      </c>
      <c r="E1052" s="6" t="s">
        <v>203</v>
      </c>
      <c r="F1052" s="6" t="s">
        <v>6224</v>
      </c>
      <c r="G1052" s="6" t="s">
        <v>153</v>
      </c>
      <c r="H1052" s="6" t="s">
        <v>77</v>
      </c>
      <c r="I1052" s="6" t="s">
        <v>4680</v>
      </c>
      <c r="J1052" s="6" t="s">
        <v>5365</v>
      </c>
      <c r="K1052" s="6" t="s">
        <v>4679</v>
      </c>
      <c r="L1052" s="2" t="s">
        <v>6225</v>
      </c>
      <c r="M1052" s="2" t="s">
        <v>6226</v>
      </c>
      <c r="N1052" s="9" t="s">
        <v>211</v>
      </c>
      <c r="O1052" s="6" t="s">
        <v>178</v>
      </c>
      <c r="P1052" s="6" t="s">
        <v>98</v>
      </c>
      <c r="Q1052" s="6" t="s">
        <v>33</v>
      </c>
      <c r="R1052" s="6" t="s">
        <v>5357</v>
      </c>
    </row>
    <row r="1053" customFormat="false" ht="15" hidden="false" customHeight="false" outlineLevel="0" collapsed="false">
      <c r="A1053" s="6" t="s">
        <v>33</v>
      </c>
      <c r="B1053" s="6" t="s">
        <v>93</v>
      </c>
      <c r="C1053" s="6" t="s">
        <v>93</v>
      </c>
      <c r="D1053" s="6" t="s">
        <v>580</v>
      </c>
      <c r="E1053" s="6" t="s">
        <v>580</v>
      </c>
      <c r="F1053" s="6" t="s">
        <v>443</v>
      </c>
      <c r="G1053" s="6" t="s">
        <v>118</v>
      </c>
      <c r="H1053" s="6" t="s">
        <v>77</v>
      </c>
      <c r="I1053" s="6" t="s">
        <v>4684</v>
      </c>
      <c r="J1053" s="6" t="s">
        <v>5365</v>
      </c>
      <c r="K1053" s="6" t="s">
        <v>4679</v>
      </c>
      <c r="L1053" s="2" t="s">
        <v>582</v>
      </c>
      <c r="M1053" s="2" t="s">
        <v>581</v>
      </c>
      <c r="N1053" s="6"/>
      <c r="O1053" s="6" t="s">
        <v>97</v>
      </c>
      <c r="P1053" s="6" t="s">
        <v>98</v>
      </c>
      <c r="Q1053" s="6" t="s">
        <v>33</v>
      </c>
      <c r="R1053" s="6" t="s">
        <v>5357</v>
      </c>
    </row>
    <row r="1054" customFormat="false" ht="23.85" hidden="false" customHeight="false" outlineLevel="0" collapsed="false">
      <c r="A1054" s="6" t="s">
        <v>33</v>
      </c>
      <c r="B1054" s="6" t="s">
        <v>93</v>
      </c>
      <c r="C1054" s="6" t="s">
        <v>93</v>
      </c>
      <c r="D1054" s="6" t="s">
        <v>262</v>
      </c>
      <c r="E1054" s="6" t="s">
        <v>262</v>
      </c>
      <c r="F1054" s="6" t="s">
        <v>263</v>
      </c>
      <c r="G1054" s="6" t="s">
        <v>239</v>
      </c>
      <c r="H1054" s="6" t="s">
        <v>77</v>
      </c>
      <c r="I1054" s="6" t="s">
        <v>4680</v>
      </c>
      <c r="J1054" s="6" t="s">
        <v>5365</v>
      </c>
      <c r="K1054" s="6" t="s">
        <v>4679</v>
      </c>
      <c r="L1054" s="2" t="s">
        <v>265</v>
      </c>
      <c r="M1054" s="2" t="s">
        <v>264</v>
      </c>
      <c r="N1054" s="6"/>
      <c r="O1054" s="6" t="s">
        <v>97</v>
      </c>
      <c r="P1054" s="6" t="s">
        <v>98</v>
      </c>
      <c r="Q1054" s="6" t="s">
        <v>33</v>
      </c>
      <c r="R1054" s="6" t="s">
        <v>5368</v>
      </c>
    </row>
    <row r="1055" customFormat="false" ht="15" hidden="false" customHeight="false" outlineLevel="0" collapsed="false">
      <c r="A1055" s="6" t="s">
        <v>33</v>
      </c>
      <c r="B1055" s="6" t="s">
        <v>93</v>
      </c>
      <c r="C1055" s="6" t="s">
        <v>93</v>
      </c>
      <c r="D1055" s="6" t="s">
        <v>1040</v>
      </c>
      <c r="E1055" s="6" t="s">
        <v>6227</v>
      </c>
      <c r="F1055" s="6" t="s">
        <v>6228</v>
      </c>
      <c r="G1055" s="6" t="s">
        <v>118</v>
      </c>
      <c r="H1055" s="6" t="s">
        <v>77</v>
      </c>
      <c r="I1055" s="6" t="s">
        <v>4680</v>
      </c>
      <c r="J1055" s="6" t="s">
        <v>5365</v>
      </c>
      <c r="K1055" s="6" t="s">
        <v>4679</v>
      </c>
      <c r="L1055" s="2" t="s">
        <v>4789</v>
      </c>
      <c r="M1055" s="2" t="s">
        <v>4788</v>
      </c>
      <c r="N1055" s="9" t="s">
        <v>1046</v>
      </c>
      <c r="O1055" s="6" t="s">
        <v>308</v>
      </c>
      <c r="P1055" s="6" t="s">
        <v>85</v>
      </c>
      <c r="Q1055" s="6" t="s">
        <v>93</v>
      </c>
      <c r="R1055" s="6" t="s">
        <v>5433</v>
      </c>
    </row>
    <row r="1056" customFormat="false" ht="15" hidden="false" customHeight="false" outlineLevel="0" collapsed="false">
      <c r="A1056" s="6" t="s">
        <v>33</v>
      </c>
      <c r="B1056" s="6" t="s">
        <v>93</v>
      </c>
      <c r="C1056" s="6" t="s">
        <v>93</v>
      </c>
      <c r="D1056" s="6" t="s">
        <v>583</v>
      </c>
      <c r="E1056" s="6" t="s">
        <v>583</v>
      </c>
      <c r="F1056" s="6" t="s">
        <v>584</v>
      </c>
      <c r="G1056" s="6" t="s">
        <v>239</v>
      </c>
      <c r="H1056" s="6" t="s">
        <v>77</v>
      </c>
      <c r="I1056" s="6" t="s">
        <v>4680</v>
      </c>
      <c r="J1056" s="6" t="s">
        <v>5365</v>
      </c>
      <c r="K1056" s="6" t="s">
        <v>4679</v>
      </c>
      <c r="L1056" s="2" t="s">
        <v>586</v>
      </c>
      <c r="M1056" s="2" t="s">
        <v>585</v>
      </c>
      <c r="N1056" s="6"/>
      <c r="O1056" s="6" t="s">
        <v>97</v>
      </c>
      <c r="P1056" s="6" t="s">
        <v>98</v>
      </c>
      <c r="Q1056" s="6" t="s">
        <v>33</v>
      </c>
      <c r="R1056" s="6" t="s">
        <v>5368</v>
      </c>
    </row>
    <row r="1057" customFormat="false" ht="23.85" hidden="false" customHeight="false" outlineLevel="0" collapsed="false">
      <c r="A1057" s="6" t="s">
        <v>33</v>
      </c>
      <c r="B1057" s="6" t="s">
        <v>93</v>
      </c>
      <c r="C1057" s="6" t="s">
        <v>93</v>
      </c>
      <c r="D1057" s="6" t="s">
        <v>212</v>
      </c>
      <c r="E1057" s="6" t="s">
        <v>212</v>
      </c>
      <c r="F1057" s="6" t="s">
        <v>213</v>
      </c>
      <c r="G1057" s="6" t="s">
        <v>164</v>
      </c>
      <c r="H1057" s="6" t="s">
        <v>77</v>
      </c>
      <c r="I1057" s="6" t="s">
        <v>4680</v>
      </c>
      <c r="J1057" s="6" t="s">
        <v>5365</v>
      </c>
      <c r="K1057" s="6" t="s">
        <v>4679</v>
      </c>
      <c r="L1057" s="2" t="s">
        <v>215</v>
      </c>
      <c r="M1057" s="2" t="s">
        <v>214</v>
      </c>
      <c r="N1057" s="9" t="s">
        <v>216</v>
      </c>
      <c r="O1057" s="6" t="s">
        <v>97</v>
      </c>
      <c r="P1057" s="6" t="s">
        <v>85</v>
      </c>
      <c r="Q1057" s="6" t="s">
        <v>93</v>
      </c>
      <c r="R1057" s="6" t="s">
        <v>5433</v>
      </c>
    </row>
    <row r="1058" customFormat="false" ht="23.85" hidden="false" customHeight="false" outlineLevel="0" collapsed="false">
      <c r="A1058" s="6" t="s">
        <v>33</v>
      </c>
      <c r="B1058" s="6" t="s">
        <v>93</v>
      </c>
      <c r="C1058" s="6" t="s">
        <v>93</v>
      </c>
      <c r="D1058" s="6" t="s">
        <v>587</v>
      </c>
      <c r="E1058" s="6" t="s">
        <v>587</v>
      </c>
      <c r="F1058" s="6" t="s">
        <v>588</v>
      </c>
      <c r="G1058" s="6" t="s">
        <v>90</v>
      </c>
      <c r="H1058" s="6" t="s">
        <v>77</v>
      </c>
      <c r="I1058" s="6" t="s">
        <v>4706</v>
      </c>
      <c r="J1058" s="6" t="s">
        <v>5365</v>
      </c>
      <c r="K1058" s="6" t="s">
        <v>4679</v>
      </c>
      <c r="L1058" s="2" t="s">
        <v>590</v>
      </c>
      <c r="M1058" s="2" t="s">
        <v>589</v>
      </c>
      <c r="N1058" s="6"/>
      <c r="O1058" s="6" t="s">
        <v>97</v>
      </c>
      <c r="P1058" s="6" t="s">
        <v>98</v>
      </c>
      <c r="Q1058" s="6" t="s">
        <v>33</v>
      </c>
      <c r="R1058" s="6" t="s">
        <v>5357</v>
      </c>
    </row>
    <row r="1059" customFormat="false" ht="23.85" hidden="false" customHeight="false" outlineLevel="0" collapsed="false">
      <c r="A1059" s="6" t="s">
        <v>33</v>
      </c>
      <c r="B1059" s="6" t="s">
        <v>93</v>
      </c>
      <c r="C1059" s="6" t="s">
        <v>93</v>
      </c>
      <c r="D1059" s="6" t="s">
        <v>139</v>
      </c>
      <c r="E1059" s="6" t="s">
        <v>140</v>
      </c>
      <c r="F1059" s="6" t="s">
        <v>140</v>
      </c>
      <c r="G1059" s="6" t="s">
        <v>118</v>
      </c>
      <c r="H1059" s="6" t="s">
        <v>77</v>
      </c>
      <c r="I1059" s="6" t="s">
        <v>4684</v>
      </c>
      <c r="J1059" s="6" t="s">
        <v>5365</v>
      </c>
      <c r="K1059" s="6" t="s">
        <v>4679</v>
      </c>
      <c r="L1059" s="2" t="s">
        <v>142</v>
      </c>
      <c r="M1059" s="2" t="s">
        <v>141</v>
      </c>
      <c r="N1059" s="9" t="s">
        <v>144</v>
      </c>
      <c r="O1059" s="6" t="s">
        <v>143</v>
      </c>
      <c r="P1059" s="6" t="s">
        <v>98</v>
      </c>
      <c r="Q1059" s="6" t="s">
        <v>33</v>
      </c>
      <c r="R1059" s="6" t="s">
        <v>5357</v>
      </c>
    </row>
    <row r="1060" customFormat="false" ht="15" hidden="false" customHeight="false" outlineLevel="0" collapsed="false">
      <c r="A1060" s="6" t="s">
        <v>33</v>
      </c>
      <c r="B1060" s="6" t="s">
        <v>93</v>
      </c>
      <c r="C1060" s="6" t="s">
        <v>93</v>
      </c>
      <c r="D1060" s="6" t="s">
        <v>513</v>
      </c>
      <c r="E1060" s="6" t="s">
        <v>513</v>
      </c>
      <c r="F1060" s="6" t="s">
        <v>514</v>
      </c>
      <c r="G1060" s="6" t="s">
        <v>164</v>
      </c>
      <c r="H1060" s="6" t="s">
        <v>77</v>
      </c>
      <c r="I1060" s="6" t="s">
        <v>4680</v>
      </c>
      <c r="J1060" s="6" t="s">
        <v>5365</v>
      </c>
      <c r="K1060" s="6" t="s">
        <v>4679</v>
      </c>
      <c r="L1060" s="2" t="s">
        <v>516</v>
      </c>
      <c r="M1060" s="2" t="s">
        <v>515</v>
      </c>
      <c r="N1060" s="9" t="s">
        <v>518</v>
      </c>
      <c r="O1060" s="6" t="s">
        <v>517</v>
      </c>
      <c r="P1060" s="6" t="s">
        <v>98</v>
      </c>
      <c r="Q1060" s="6" t="s">
        <v>33</v>
      </c>
      <c r="R1060" s="6" t="s">
        <v>5368</v>
      </c>
    </row>
    <row r="1061" customFormat="false" ht="23.85" hidden="false" customHeight="false" outlineLevel="0" collapsed="false">
      <c r="A1061" s="6" t="s">
        <v>33</v>
      </c>
      <c r="B1061" s="6" t="s">
        <v>93</v>
      </c>
      <c r="C1061" s="6" t="s">
        <v>93</v>
      </c>
      <c r="D1061" s="6" t="s">
        <v>591</v>
      </c>
      <c r="E1061" s="6" t="s">
        <v>591</v>
      </c>
      <c r="F1061" s="6" t="s">
        <v>592</v>
      </c>
      <c r="G1061" s="6" t="s">
        <v>90</v>
      </c>
      <c r="H1061" s="6" t="s">
        <v>77</v>
      </c>
      <c r="I1061" s="6" t="s">
        <v>5617</v>
      </c>
      <c r="J1061" s="6" t="s">
        <v>5365</v>
      </c>
      <c r="K1061" s="6" t="s">
        <v>4679</v>
      </c>
      <c r="L1061" s="2" t="s">
        <v>594</v>
      </c>
      <c r="M1061" s="2" t="s">
        <v>593</v>
      </c>
      <c r="N1061" s="6"/>
      <c r="O1061" s="6" t="s">
        <v>97</v>
      </c>
      <c r="P1061" s="6" t="s">
        <v>98</v>
      </c>
      <c r="Q1061" s="6" t="s">
        <v>33</v>
      </c>
      <c r="R1061" s="6" t="s">
        <v>5357</v>
      </c>
    </row>
    <row r="1062" customFormat="false" ht="15" hidden="false" customHeight="false" outlineLevel="0" collapsed="false">
      <c r="A1062" s="6" t="s">
        <v>33</v>
      </c>
      <c r="B1062" s="6" t="s">
        <v>93</v>
      </c>
      <c r="C1062" s="6" t="s">
        <v>93</v>
      </c>
      <c r="D1062" s="6" t="s">
        <v>595</v>
      </c>
      <c r="E1062" s="6" t="s">
        <v>595</v>
      </c>
      <c r="F1062" s="6" t="s">
        <v>595</v>
      </c>
      <c r="G1062" s="6" t="s">
        <v>76</v>
      </c>
      <c r="H1062" s="6" t="s">
        <v>77</v>
      </c>
      <c r="I1062" s="6" t="s">
        <v>4680</v>
      </c>
      <c r="J1062" s="6" t="s">
        <v>5365</v>
      </c>
      <c r="K1062" s="6" t="s">
        <v>4679</v>
      </c>
      <c r="L1062" s="2" t="s">
        <v>526</v>
      </c>
      <c r="M1062" s="2" t="s">
        <v>596</v>
      </c>
      <c r="N1062" s="6"/>
      <c r="O1062" s="6" t="s">
        <v>97</v>
      </c>
      <c r="P1062" s="6" t="s">
        <v>98</v>
      </c>
      <c r="Q1062" s="6" t="s">
        <v>33</v>
      </c>
      <c r="R1062" s="6" t="s">
        <v>5368</v>
      </c>
    </row>
    <row r="1063" customFormat="false" ht="23.85" hidden="false" customHeight="false" outlineLevel="0" collapsed="false">
      <c r="A1063" s="6" t="s">
        <v>33</v>
      </c>
      <c r="B1063" s="6" t="s">
        <v>93</v>
      </c>
      <c r="C1063" s="6" t="s">
        <v>93</v>
      </c>
      <c r="D1063" s="6" t="s">
        <v>597</v>
      </c>
      <c r="E1063" s="6" t="s">
        <v>6229</v>
      </c>
      <c r="F1063" s="6" t="s">
        <v>598</v>
      </c>
      <c r="G1063" s="6" t="s">
        <v>90</v>
      </c>
      <c r="H1063" s="6" t="s">
        <v>77</v>
      </c>
      <c r="I1063" s="6" t="s">
        <v>4706</v>
      </c>
      <c r="J1063" s="6" t="s">
        <v>5365</v>
      </c>
      <c r="K1063" s="6" t="s">
        <v>4679</v>
      </c>
      <c r="L1063" s="2" t="s">
        <v>6230</v>
      </c>
      <c r="M1063" s="2" t="s">
        <v>6231</v>
      </c>
      <c r="N1063" s="6"/>
      <c r="O1063" s="6" t="s">
        <v>97</v>
      </c>
      <c r="P1063" s="6" t="s">
        <v>98</v>
      </c>
      <c r="Q1063" s="6" t="s">
        <v>33</v>
      </c>
      <c r="R1063" s="6" t="s">
        <v>5357</v>
      </c>
    </row>
    <row r="1064" customFormat="false" ht="23.85" hidden="false" customHeight="false" outlineLevel="0" collapsed="false">
      <c r="A1064" s="6" t="s">
        <v>33</v>
      </c>
      <c r="B1064" s="6" t="s">
        <v>93</v>
      </c>
      <c r="C1064" s="6" t="s">
        <v>93</v>
      </c>
      <c r="D1064" s="6" t="s">
        <v>606</v>
      </c>
      <c r="E1064" s="6" t="s">
        <v>606</v>
      </c>
      <c r="F1064" s="6" t="s">
        <v>607</v>
      </c>
      <c r="G1064" s="6" t="s">
        <v>239</v>
      </c>
      <c r="H1064" s="6" t="s">
        <v>77</v>
      </c>
      <c r="I1064" s="6" t="s">
        <v>4680</v>
      </c>
      <c r="J1064" s="6" t="s">
        <v>5365</v>
      </c>
      <c r="K1064" s="6" t="s">
        <v>4679</v>
      </c>
      <c r="L1064" s="2" t="s">
        <v>609</v>
      </c>
      <c r="M1064" s="2" t="s">
        <v>608</v>
      </c>
      <c r="N1064" s="9" t="s">
        <v>610</v>
      </c>
      <c r="O1064" s="6" t="s">
        <v>97</v>
      </c>
      <c r="P1064" s="6" t="s">
        <v>98</v>
      </c>
      <c r="Q1064" s="6" t="s">
        <v>33</v>
      </c>
      <c r="R1064" s="6" t="s">
        <v>5368</v>
      </c>
    </row>
    <row r="1065" customFormat="false" ht="23.85" hidden="false" customHeight="false" outlineLevel="0" collapsed="false">
      <c r="A1065" s="6" t="s">
        <v>33</v>
      </c>
      <c r="B1065" s="6" t="s">
        <v>93</v>
      </c>
      <c r="C1065" s="6" t="s">
        <v>93</v>
      </c>
      <c r="D1065" s="6" t="s">
        <v>611</v>
      </c>
      <c r="E1065" s="6" t="s">
        <v>611</v>
      </c>
      <c r="F1065" s="6" t="s">
        <v>612</v>
      </c>
      <c r="G1065" s="6" t="s">
        <v>76</v>
      </c>
      <c r="H1065" s="6" t="s">
        <v>77</v>
      </c>
      <c r="I1065" s="6" t="s">
        <v>4680</v>
      </c>
      <c r="J1065" s="6" t="s">
        <v>5365</v>
      </c>
      <c r="K1065" s="6" t="s">
        <v>4679</v>
      </c>
      <c r="L1065" s="2" t="s">
        <v>614</v>
      </c>
      <c r="M1065" s="2" t="s">
        <v>613</v>
      </c>
      <c r="N1065" s="9" t="s">
        <v>615</v>
      </c>
      <c r="O1065" s="6" t="s">
        <v>97</v>
      </c>
      <c r="P1065" s="6" t="s">
        <v>85</v>
      </c>
      <c r="Q1065" s="6" t="s">
        <v>93</v>
      </c>
      <c r="R1065" s="6" t="s">
        <v>5433</v>
      </c>
    </row>
    <row r="1066" customFormat="false" ht="35.05" hidden="false" customHeight="false" outlineLevel="0" collapsed="false">
      <c r="A1066" s="6" t="s">
        <v>33</v>
      </c>
      <c r="B1066" s="6" t="s">
        <v>93</v>
      </c>
      <c r="C1066" s="6" t="s">
        <v>93</v>
      </c>
      <c r="D1066" s="6" t="s">
        <v>145</v>
      </c>
      <c r="E1066" s="6" t="s">
        <v>145</v>
      </c>
      <c r="F1066" s="6" t="s">
        <v>146</v>
      </c>
      <c r="G1066" s="6" t="s">
        <v>90</v>
      </c>
      <c r="H1066" s="6" t="s">
        <v>77</v>
      </c>
      <c r="I1066" s="6" t="s">
        <v>4684</v>
      </c>
      <c r="J1066" s="6" t="s">
        <v>5365</v>
      </c>
      <c r="K1066" s="6" t="s">
        <v>4679</v>
      </c>
      <c r="L1066" s="2" t="s">
        <v>149</v>
      </c>
      <c r="M1066" s="2" t="s">
        <v>148</v>
      </c>
      <c r="N1066" s="9" t="s">
        <v>151</v>
      </c>
      <c r="O1066" s="6" t="s">
        <v>150</v>
      </c>
      <c r="P1066" s="6" t="s">
        <v>98</v>
      </c>
      <c r="Q1066" s="6" t="s">
        <v>33</v>
      </c>
      <c r="R1066" s="6" t="s">
        <v>5357</v>
      </c>
    </row>
    <row r="1067" customFormat="false" ht="23.85" hidden="false" customHeight="false" outlineLevel="0" collapsed="false">
      <c r="A1067" s="6" t="s">
        <v>33</v>
      </c>
      <c r="B1067" s="6" t="s">
        <v>93</v>
      </c>
      <c r="C1067" s="6" t="s">
        <v>93</v>
      </c>
      <c r="D1067" s="6" t="s">
        <v>616</v>
      </c>
      <c r="E1067" s="6" t="s">
        <v>6232</v>
      </c>
      <c r="F1067" s="6" t="s">
        <v>617</v>
      </c>
      <c r="G1067" s="6" t="s">
        <v>90</v>
      </c>
      <c r="H1067" s="6" t="s">
        <v>77</v>
      </c>
      <c r="I1067" s="6" t="s">
        <v>4684</v>
      </c>
      <c r="J1067" s="6" t="s">
        <v>5365</v>
      </c>
      <c r="K1067" s="6" t="s">
        <v>4679</v>
      </c>
      <c r="L1067" s="2" t="s">
        <v>619</v>
      </c>
      <c r="M1067" s="2" t="s">
        <v>618</v>
      </c>
      <c r="N1067" s="9" t="s">
        <v>620</v>
      </c>
      <c r="O1067" s="6" t="s">
        <v>97</v>
      </c>
      <c r="P1067" s="6" t="s">
        <v>98</v>
      </c>
      <c r="Q1067" s="6" t="s">
        <v>33</v>
      </c>
      <c r="R1067" s="6" t="s">
        <v>5357</v>
      </c>
    </row>
    <row r="1068" customFormat="false" ht="23.85" hidden="false" customHeight="false" outlineLevel="0" collapsed="false">
      <c r="A1068" s="6" t="s">
        <v>33</v>
      </c>
      <c r="B1068" s="6" t="s">
        <v>93</v>
      </c>
      <c r="C1068" s="6" t="s">
        <v>93</v>
      </c>
      <c r="D1068" s="6" t="s">
        <v>621</v>
      </c>
      <c r="E1068" s="6" t="s">
        <v>621</v>
      </c>
      <c r="F1068" s="6" t="s">
        <v>622</v>
      </c>
      <c r="G1068" s="6" t="s">
        <v>90</v>
      </c>
      <c r="H1068" s="6" t="s">
        <v>77</v>
      </c>
      <c r="I1068" s="6" t="s">
        <v>4706</v>
      </c>
      <c r="J1068" s="6" t="s">
        <v>5365</v>
      </c>
      <c r="K1068" s="6" t="s">
        <v>4679</v>
      </c>
      <c r="L1068" s="2" t="s">
        <v>624</v>
      </c>
      <c r="M1068" s="2" t="s">
        <v>623</v>
      </c>
      <c r="N1068" s="6"/>
      <c r="O1068" s="6" t="s">
        <v>97</v>
      </c>
      <c r="P1068" s="6" t="s">
        <v>98</v>
      </c>
      <c r="Q1068" s="6" t="s">
        <v>33</v>
      </c>
      <c r="R1068" s="6" t="s">
        <v>5357</v>
      </c>
    </row>
    <row r="1069" customFormat="false" ht="23.85" hidden="false" customHeight="false" outlineLevel="0" collapsed="false">
      <c r="A1069" s="6" t="s">
        <v>33</v>
      </c>
      <c r="B1069" s="6" t="s">
        <v>93</v>
      </c>
      <c r="C1069" s="6" t="s">
        <v>93</v>
      </c>
      <c r="D1069" s="6" t="s">
        <v>273</v>
      </c>
      <c r="E1069" s="6" t="s">
        <v>273</v>
      </c>
      <c r="F1069" s="6" t="s">
        <v>274</v>
      </c>
      <c r="G1069" s="6" t="s">
        <v>118</v>
      </c>
      <c r="H1069" s="6" t="s">
        <v>77</v>
      </c>
      <c r="I1069" s="6" t="s">
        <v>4680</v>
      </c>
      <c r="J1069" s="6" t="s">
        <v>5365</v>
      </c>
      <c r="K1069" s="6" t="s">
        <v>4679</v>
      </c>
      <c r="L1069" s="2" t="s">
        <v>276</v>
      </c>
      <c r="M1069" s="2" t="s">
        <v>275</v>
      </c>
      <c r="N1069" s="6"/>
      <c r="O1069" s="6" t="s">
        <v>97</v>
      </c>
      <c r="P1069" s="6" t="s">
        <v>98</v>
      </c>
      <c r="Q1069" s="6" t="s">
        <v>33</v>
      </c>
      <c r="R1069" s="6" t="s">
        <v>5357</v>
      </c>
    </row>
    <row r="1070" customFormat="false" ht="23.85" hidden="false" customHeight="false" outlineLevel="0" collapsed="false">
      <c r="A1070" s="6" t="s">
        <v>33</v>
      </c>
      <c r="B1070" s="6" t="s">
        <v>93</v>
      </c>
      <c r="C1070" s="6" t="s">
        <v>93</v>
      </c>
      <c r="D1070" s="6" t="s">
        <v>1564</v>
      </c>
      <c r="E1070" s="6" t="s">
        <v>6233</v>
      </c>
      <c r="F1070" s="6" t="s">
        <v>1565</v>
      </c>
      <c r="G1070" s="6" t="s">
        <v>153</v>
      </c>
      <c r="H1070" s="6" t="s">
        <v>77</v>
      </c>
      <c r="I1070" s="6" t="s">
        <v>4684</v>
      </c>
      <c r="J1070" s="6" t="s">
        <v>5365</v>
      </c>
      <c r="K1070" s="6" t="s">
        <v>4679</v>
      </c>
      <c r="L1070" s="2" t="s">
        <v>6234</v>
      </c>
      <c r="M1070" s="2" t="s">
        <v>6235</v>
      </c>
      <c r="N1070" s="9" t="s">
        <v>6236</v>
      </c>
      <c r="O1070" s="6" t="s">
        <v>236</v>
      </c>
      <c r="P1070" s="6" t="s">
        <v>98</v>
      </c>
      <c r="Q1070" s="6" t="s">
        <v>33</v>
      </c>
      <c r="R1070" s="6" t="s">
        <v>5357</v>
      </c>
    </row>
    <row r="1071" customFormat="false" ht="15" hidden="false" customHeight="false" outlineLevel="0" collapsed="false">
      <c r="A1071" s="6" t="s">
        <v>33</v>
      </c>
      <c r="B1071" s="6" t="s">
        <v>93</v>
      </c>
      <c r="C1071" s="6" t="s">
        <v>93</v>
      </c>
      <c r="D1071" s="6" t="s">
        <v>283</v>
      </c>
      <c r="E1071" s="6" t="s">
        <v>283</v>
      </c>
      <c r="F1071" s="6" t="s">
        <v>283</v>
      </c>
      <c r="G1071" s="6" t="s">
        <v>118</v>
      </c>
      <c r="H1071" s="6" t="s">
        <v>77</v>
      </c>
      <c r="I1071" s="6" t="s">
        <v>4680</v>
      </c>
      <c r="J1071" s="6" t="s">
        <v>5365</v>
      </c>
      <c r="K1071" s="6" t="s">
        <v>4679</v>
      </c>
      <c r="L1071" s="2" t="s">
        <v>285</v>
      </c>
      <c r="M1071" s="2" t="s">
        <v>284</v>
      </c>
      <c r="N1071" s="6"/>
      <c r="O1071" s="6" t="s">
        <v>97</v>
      </c>
      <c r="P1071" s="6" t="s">
        <v>98</v>
      </c>
      <c r="Q1071" s="6" t="s">
        <v>33</v>
      </c>
      <c r="R1071" s="6" t="s">
        <v>5357</v>
      </c>
    </row>
    <row r="1072" customFormat="false" ht="23.85" hidden="false" customHeight="false" outlineLevel="0" collapsed="false">
      <c r="A1072" s="6" t="s">
        <v>33</v>
      </c>
      <c r="B1072" s="6" t="s">
        <v>93</v>
      </c>
      <c r="C1072" s="6" t="s">
        <v>93</v>
      </c>
      <c r="D1072" s="6" t="s">
        <v>1078</v>
      </c>
      <c r="E1072" s="6" t="s">
        <v>1078</v>
      </c>
      <c r="F1072" s="6" t="s">
        <v>467</v>
      </c>
      <c r="G1072" s="6" t="s">
        <v>76</v>
      </c>
      <c r="H1072" s="6" t="s">
        <v>77</v>
      </c>
      <c r="I1072" s="6" t="s">
        <v>4680</v>
      </c>
      <c r="J1072" s="6" t="s">
        <v>5365</v>
      </c>
      <c r="K1072" s="6" t="s">
        <v>4679</v>
      </c>
      <c r="L1072" s="2" t="s">
        <v>6237</v>
      </c>
      <c r="M1072" s="2" t="s">
        <v>6238</v>
      </c>
      <c r="N1072" s="9" t="s">
        <v>6239</v>
      </c>
      <c r="O1072" s="6" t="s">
        <v>143</v>
      </c>
      <c r="P1072" s="6" t="s">
        <v>98</v>
      </c>
      <c r="Q1072" s="6" t="s">
        <v>33</v>
      </c>
      <c r="R1072" s="6" t="s">
        <v>5368</v>
      </c>
    </row>
    <row r="1073" customFormat="false" ht="23.85" hidden="false" customHeight="false" outlineLevel="0" collapsed="false">
      <c r="A1073" s="6" t="s">
        <v>33</v>
      </c>
      <c r="B1073" s="6" t="s">
        <v>93</v>
      </c>
      <c r="C1073" s="6" t="s">
        <v>93</v>
      </c>
      <c r="D1073" s="6" t="s">
        <v>286</v>
      </c>
      <c r="E1073" s="6" t="s">
        <v>286</v>
      </c>
      <c r="F1073" s="6" t="s">
        <v>288</v>
      </c>
      <c r="G1073" s="6" t="s">
        <v>118</v>
      </c>
      <c r="H1073" s="6" t="s">
        <v>287</v>
      </c>
      <c r="I1073" s="6" t="s">
        <v>4680</v>
      </c>
      <c r="J1073" s="6" t="s">
        <v>5365</v>
      </c>
      <c r="K1073" s="6" t="s">
        <v>4679</v>
      </c>
      <c r="L1073" s="2" t="s">
        <v>6240</v>
      </c>
      <c r="M1073" s="2" t="s">
        <v>6241</v>
      </c>
      <c r="N1073" s="9" t="s">
        <v>6242</v>
      </c>
      <c r="O1073" s="6" t="s">
        <v>130</v>
      </c>
      <c r="P1073" s="6" t="s">
        <v>98</v>
      </c>
      <c r="Q1073" s="6" t="s">
        <v>33</v>
      </c>
      <c r="R1073" s="6" t="s">
        <v>5357</v>
      </c>
    </row>
    <row r="1074" customFormat="false" ht="23.85" hidden="false" customHeight="false" outlineLevel="0" collapsed="false">
      <c r="A1074" s="6" t="s">
        <v>33</v>
      </c>
      <c r="B1074" s="6" t="s">
        <v>93</v>
      </c>
      <c r="C1074" s="6" t="s">
        <v>93</v>
      </c>
      <c r="D1074" s="6" t="s">
        <v>625</v>
      </c>
      <c r="E1074" s="6" t="s">
        <v>625</v>
      </c>
      <c r="F1074" s="6" t="s">
        <v>6243</v>
      </c>
      <c r="G1074" s="6" t="s">
        <v>626</v>
      </c>
      <c r="H1074" s="6" t="s">
        <v>287</v>
      </c>
      <c r="I1074" s="6" t="s">
        <v>4680</v>
      </c>
      <c r="J1074" s="6" t="s">
        <v>5365</v>
      </c>
      <c r="K1074" s="6" t="s">
        <v>4679</v>
      </c>
      <c r="L1074" s="2" t="s">
        <v>6244</v>
      </c>
      <c r="M1074" s="2" t="s">
        <v>628</v>
      </c>
      <c r="N1074" s="9" t="s">
        <v>630</v>
      </c>
      <c r="O1074" s="6" t="s">
        <v>389</v>
      </c>
      <c r="P1074" s="6" t="s">
        <v>98</v>
      </c>
      <c r="Q1074" s="6" t="s">
        <v>33</v>
      </c>
      <c r="R1074" s="6" t="s">
        <v>5368</v>
      </c>
    </row>
    <row r="1075" customFormat="false" ht="23.85" hidden="false" customHeight="false" outlineLevel="0" collapsed="false">
      <c r="A1075" s="6" t="s">
        <v>33</v>
      </c>
      <c r="B1075" s="6" t="s">
        <v>93</v>
      </c>
      <c r="C1075" s="6" t="s">
        <v>93</v>
      </c>
      <c r="D1075" s="6" t="s">
        <v>1918</v>
      </c>
      <c r="E1075" s="6" t="s">
        <v>1918</v>
      </c>
      <c r="F1075" s="6" t="s">
        <v>2169</v>
      </c>
      <c r="G1075" s="6" t="s">
        <v>1085</v>
      </c>
      <c r="H1075" s="6" t="s">
        <v>287</v>
      </c>
      <c r="I1075" s="6" t="s">
        <v>4684</v>
      </c>
      <c r="J1075" s="6" t="s">
        <v>5365</v>
      </c>
      <c r="K1075" s="6" t="s">
        <v>4679</v>
      </c>
      <c r="L1075" s="2" t="s">
        <v>4686</v>
      </c>
      <c r="M1075" s="2" t="s">
        <v>4685</v>
      </c>
      <c r="N1075" s="9" t="s">
        <v>4687</v>
      </c>
      <c r="O1075" s="6" t="s">
        <v>97</v>
      </c>
      <c r="P1075" s="6" t="s">
        <v>106</v>
      </c>
      <c r="Q1075" s="6" t="s">
        <v>93</v>
      </c>
      <c r="R1075" s="6" t="s">
        <v>5433</v>
      </c>
    </row>
    <row r="1076" customFormat="false" ht="15" hidden="false" customHeight="false" outlineLevel="0" collapsed="false">
      <c r="A1076" s="6" t="s">
        <v>33</v>
      </c>
      <c r="B1076" s="6" t="s">
        <v>93</v>
      </c>
      <c r="C1076" s="6" t="s">
        <v>93</v>
      </c>
      <c r="D1076" s="6" t="s">
        <v>1084</v>
      </c>
      <c r="E1076" s="6" t="s">
        <v>1084</v>
      </c>
      <c r="F1076" s="6" t="s">
        <v>1084</v>
      </c>
      <c r="G1076" s="6" t="s">
        <v>1085</v>
      </c>
      <c r="H1076" s="6" t="s">
        <v>287</v>
      </c>
      <c r="I1076" s="6" t="s">
        <v>4682</v>
      </c>
      <c r="J1076" s="6" t="s">
        <v>5365</v>
      </c>
      <c r="K1076" s="6" t="s">
        <v>4679</v>
      </c>
      <c r="L1076" s="2" t="s">
        <v>1087</v>
      </c>
      <c r="M1076" s="2" t="s">
        <v>4796</v>
      </c>
      <c r="N1076" s="9" t="s">
        <v>1088</v>
      </c>
      <c r="O1076" s="6" t="s">
        <v>308</v>
      </c>
      <c r="P1076" s="6" t="s">
        <v>85</v>
      </c>
      <c r="Q1076" s="6" t="s">
        <v>93</v>
      </c>
      <c r="R1076" s="6" t="s">
        <v>5433</v>
      </c>
    </row>
    <row r="1077" customFormat="false" ht="15" hidden="false" customHeight="false" outlineLevel="0" collapsed="false">
      <c r="A1077" s="6" t="s">
        <v>33</v>
      </c>
      <c r="B1077" s="6" t="s">
        <v>93</v>
      </c>
      <c r="C1077" s="6" t="s">
        <v>93</v>
      </c>
      <c r="D1077" s="6" t="s">
        <v>1945</v>
      </c>
      <c r="E1077" s="6" t="s">
        <v>6245</v>
      </c>
      <c r="F1077" s="6" t="s">
        <v>297</v>
      </c>
      <c r="G1077" s="6" t="s">
        <v>239</v>
      </c>
      <c r="H1077" s="6" t="s">
        <v>287</v>
      </c>
      <c r="I1077" s="6" t="s">
        <v>4682</v>
      </c>
      <c r="J1077" s="6" t="s">
        <v>5365</v>
      </c>
      <c r="K1077" s="6" t="s">
        <v>4679</v>
      </c>
      <c r="L1077" s="2" t="s">
        <v>1948</v>
      </c>
      <c r="M1077" s="2" t="s">
        <v>1947</v>
      </c>
      <c r="N1077" s="9" t="s">
        <v>1950</v>
      </c>
      <c r="O1077" s="6" t="s">
        <v>97</v>
      </c>
      <c r="P1077" s="6" t="s">
        <v>85</v>
      </c>
      <c r="Q1077" s="6" t="s">
        <v>93</v>
      </c>
      <c r="R1077" s="6" t="s">
        <v>5433</v>
      </c>
    </row>
    <row r="1078" customFormat="false" ht="15" hidden="false" customHeight="false" outlineLevel="0" collapsed="false">
      <c r="A1078" s="6" t="s">
        <v>33</v>
      </c>
      <c r="B1078" s="6" t="s">
        <v>93</v>
      </c>
      <c r="C1078" s="6" t="s">
        <v>93</v>
      </c>
      <c r="D1078" s="6" t="s">
        <v>296</v>
      </c>
      <c r="E1078" s="6" t="s">
        <v>296</v>
      </c>
      <c r="F1078" s="6" t="s">
        <v>297</v>
      </c>
      <c r="G1078" s="6" t="s">
        <v>118</v>
      </c>
      <c r="H1078" s="6" t="s">
        <v>287</v>
      </c>
      <c r="I1078" s="6" t="s">
        <v>4680</v>
      </c>
      <c r="J1078" s="6" t="s">
        <v>5365</v>
      </c>
      <c r="K1078" s="6" t="s">
        <v>4679</v>
      </c>
      <c r="L1078" s="2" t="s">
        <v>299</v>
      </c>
      <c r="M1078" s="2" t="s">
        <v>298</v>
      </c>
      <c r="N1078" s="9" t="s">
        <v>300</v>
      </c>
      <c r="O1078" s="6" t="s">
        <v>97</v>
      </c>
      <c r="P1078" s="6" t="s">
        <v>85</v>
      </c>
      <c r="Q1078" s="6" t="s">
        <v>93</v>
      </c>
      <c r="R1078" s="6" t="s">
        <v>5433</v>
      </c>
    </row>
    <row r="1079" customFormat="false" ht="15" hidden="false" customHeight="false" outlineLevel="0" collapsed="false">
      <c r="A1079" s="6" t="s">
        <v>33</v>
      </c>
      <c r="B1079" s="6" t="s">
        <v>93</v>
      </c>
      <c r="C1079" s="6" t="s">
        <v>93</v>
      </c>
      <c r="D1079" s="6" t="s">
        <v>1789</v>
      </c>
      <c r="E1079" s="6" t="s">
        <v>1789</v>
      </c>
      <c r="F1079" s="6" t="s">
        <v>1790</v>
      </c>
      <c r="G1079" s="6" t="s">
        <v>626</v>
      </c>
      <c r="H1079" s="6" t="s">
        <v>287</v>
      </c>
      <c r="I1079" s="6" t="s">
        <v>4680</v>
      </c>
      <c r="J1079" s="6" t="s">
        <v>5365</v>
      </c>
      <c r="K1079" s="6" t="s">
        <v>4679</v>
      </c>
      <c r="L1079" s="2" t="s">
        <v>1791</v>
      </c>
      <c r="M1079" s="2"/>
      <c r="N1079" s="6"/>
      <c r="O1079" s="6" t="s">
        <v>97</v>
      </c>
      <c r="P1079" s="6" t="s">
        <v>98</v>
      </c>
      <c r="Q1079" s="6" t="s">
        <v>33</v>
      </c>
      <c r="R1079" s="6" t="s">
        <v>5368</v>
      </c>
    </row>
    <row r="1080" customFormat="false" ht="15" hidden="false" customHeight="false" outlineLevel="0" collapsed="false">
      <c r="A1080" s="6" t="s">
        <v>33</v>
      </c>
      <c r="B1080" s="6" t="s">
        <v>93</v>
      </c>
      <c r="C1080" s="6" t="s">
        <v>93</v>
      </c>
      <c r="D1080" s="6" t="s">
        <v>1269</v>
      </c>
      <c r="E1080" s="6" t="s">
        <v>1269</v>
      </c>
      <c r="F1080" s="6" t="s">
        <v>1270</v>
      </c>
      <c r="G1080" s="6" t="s">
        <v>76</v>
      </c>
      <c r="H1080" s="6" t="s">
        <v>287</v>
      </c>
      <c r="I1080" s="6" t="s">
        <v>4680</v>
      </c>
      <c r="J1080" s="6" t="s">
        <v>5365</v>
      </c>
      <c r="K1080" s="6" t="s">
        <v>4679</v>
      </c>
      <c r="L1080" s="2" t="s">
        <v>1271</v>
      </c>
      <c r="M1080" s="2"/>
      <c r="N1080" s="6"/>
      <c r="O1080" s="6" t="s">
        <v>97</v>
      </c>
      <c r="P1080" s="6" t="s">
        <v>98</v>
      </c>
      <c r="Q1080" s="6" t="s">
        <v>33</v>
      </c>
      <c r="R1080" s="6" t="s">
        <v>5368</v>
      </c>
    </row>
    <row r="1081" customFormat="false" ht="23.85" hidden="false" customHeight="false" outlineLevel="0" collapsed="false">
      <c r="A1081" s="6" t="s">
        <v>33</v>
      </c>
      <c r="B1081" s="6" t="s">
        <v>93</v>
      </c>
      <c r="C1081" s="6" t="s">
        <v>93</v>
      </c>
      <c r="D1081" s="6" t="s">
        <v>1699</v>
      </c>
      <c r="E1081" s="6" t="s">
        <v>6246</v>
      </c>
      <c r="F1081" s="6" t="s">
        <v>1700</v>
      </c>
      <c r="G1081" s="6" t="s">
        <v>507</v>
      </c>
      <c r="H1081" s="6" t="s">
        <v>287</v>
      </c>
      <c r="I1081" s="6" t="s">
        <v>4684</v>
      </c>
      <c r="J1081" s="6" t="s">
        <v>5365</v>
      </c>
      <c r="K1081" s="6" t="s">
        <v>4679</v>
      </c>
      <c r="L1081" s="2" t="s">
        <v>6247</v>
      </c>
      <c r="M1081" s="2" t="s">
        <v>6248</v>
      </c>
      <c r="N1081" s="9" t="s">
        <v>1705</v>
      </c>
      <c r="O1081" s="6" t="s">
        <v>160</v>
      </c>
      <c r="P1081" s="6" t="s">
        <v>98</v>
      </c>
      <c r="Q1081" s="6" t="s">
        <v>33</v>
      </c>
      <c r="R1081" s="6" t="s">
        <v>5357</v>
      </c>
    </row>
    <row r="1082" customFormat="false" ht="15" hidden="false" customHeight="false" outlineLevel="0" collapsed="false">
      <c r="A1082" s="6" t="s">
        <v>33</v>
      </c>
      <c r="B1082" s="6" t="s">
        <v>93</v>
      </c>
      <c r="C1082" s="6" t="s">
        <v>93</v>
      </c>
      <c r="D1082" s="6" t="s">
        <v>631</v>
      </c>
      <c r="E1082" s="6" t="s">
        <v>631</v>
      </c>
      <c r="F1082" s="6" t="s">
        <v>6249</v>
      </c>
      <c r="G1082" s="6" t="s">
        <v>164</v>
      </c>
      <c r="H1082" s="6" t="s">
        <v>287</v>
      </c>
      <c r="I1082" s="6" t="s">
        <v>4680</v>
      </c>
      <c r="J1082" s="6" t="s">
        <v>5365</v>
      </c>
      <c r="K1082" s="6" t="s">
        <v>4679</v>
      </c>
      <c r="L1082" s="2" t="s">
        <v>635</v>
      </c>
      <c r="M1082" s="2" t="s">
        <v>4739</v>
      </c>
      <c r="N1082" s="9" t="s">
        <v>4740</v>
      </c>
      <c r="O1082" s="6" t="s">
        <v>256</v>
      </c>
      <c r="P1082" s="6" t="s">
        <v>85</v>
      </c>
      <c r="Q1082" s="6" t="s">
        <v>93</v>
      </c>
      <c r="R1082" s="6" t="s">
        <v>5433</v>
      </c>
    </row>
    <row r="1083" customFormat="false" ht="23.85" hidden="false" customHeight="false" outlineLevel="0" collapsed="false">
      <c r="A1083" s="6" t="s">
        <v>33</v>
      </c>
      <c r="B1083" s="6" t="s">
        <v>93</v>
      </c>
      <c r="C1083" s="6" t="s">
        <v>93</v>
      </c>
      <c r="D1083" s="6" t="s">
        <v>2804</v>
      </c>
      <c r="E1083" s="6" t="s">
        <v>6250</v>
      </c>
      <c r="F1083" s="6" t="s">
        <v>2805</v>
      </c>
      <c r="G1083" s="6" t="s">
        <v>507</v>
      </c>
      <c r="H1083" s="6" t="s">
        <v>287</v>
      </c>
      <c r="I1083" s="6" t="s">
        <v>4680</v>
      </c>
      <c r="J1083" s="6" t="s">
        <v>5365</v>
      </c>
      <c r="K1083" s="6" t="s">
        <v>4679</v>
      </c>
      <c r="L1083" s="2" t="s">
        <v>6251</v>
      </c>
      <c r="M1083" s="2" t="s">
        <v>6252</v>
      </c>
      <c r="N1083" s="9" t="s">
        <v>2810</v>
      </c>
      <c r="O1083" s="6" t="s">
        <v>143</v>
      </c>
      <c r="P1083" s="6" t="s">
        <v>98</v>
      </c>
      <c r="Q1083" s="6" t="s">
        <v>33</v>
      </c>
      <c r="R1083" s="6" t="s">
        <v>5357</v>
      </c>
    </row>
    <row r="1084" customFormat="false" ht="15" hidden="false" customHeight="false" outlineLevel="0" collapsed="false">
      <c r="A1084" s="6" t="s">
        <v>33</v>
      </c>
      <c r="B1084" s="6" t="s">
        <v>93</v>
      </c>
      <c r="C1084" s="6" t="s">
        <v>93</v>
      </c>
      <c r="D1084" s="6" t="s">
        <v>1168</v>
      </c>
      <c r="E1084" s="6" t="s">
        <v>1168</v>
      </c>
      <c r="F1084" s="6" t="s">
        <v>1169</v>
      </c>
      <c r="G1084" s="6" t="s">
        <v>182</v>
      </c>
      <c r="H1084" s="6" t="s">
        <v>287</v>
      </c>
      <c r="I1084" s="6" t="s">
        <v>4680</v>
      </c>
      <c r="J1084" s="6" t="s">
        <v>5365</v>
      </c>
      <c r="K1084" s="6" t="s">
        <v>4679</v>
      </c>
      <c r="L1084" s="2" t="s">
        <v>1171</v>
      </c>
      <c r="M1084" s="2" t="s">
        <v>1170</v>
      </c>
      <c r="N1084" s="6"/>
      <c r="O1084" s="6" t="s">
        <v>97</v>
      </c>
      <c r="P1084" s="6" t="s">
        <v>98</v>
      </c>
      <c r="Q1084" s="6" t="s">
        <v>33</v>
      </c>
      <c r="R1084" s="6" t="s">
        <v>5368</v>
      </c>
    </row>
    <row r="1085" customFormat="false" ht="15" hidden="false" customHeight="false" outlineLevel="0" collapsed="false">
      <c r="A1085" s="6" t="s">
        <v>33</v>
      </c>
      <c r="B1085" s="6" t="s">
        <v>93</v>
      </c>
      <c r="C1085" s="6" t="s">
        <v>93</v>
      </c>
      <c r="D1085" s="6" t="s">
        <v>1801</v>
      </c>
      <c r="E1085" s="6" t="s">
        <v>1801</v>
      </c>
      <c r="F1085" s="6" t="s">
        <v>1802</v>
      </c>
      <c r="G1085" s="6" t="s">
        <v>164</v>
      </c>
      <c r="H1085" s="6" t="s">
        <v>287</v>
      </c>
      <c r="I1085" s="6" t="s">
        <v>4680</v>
      </c>
      <c r="J1085" s="6" t="s">
        <v>5365</v>
      </c>
      <c r="K1085" s="6" t="s">
        <v>4679</v>
      </c>
      <c r="L1085" s="2" t="s">
        <v>1803</v>
      </c>
      <c r="M1085" s="2"/>
      <c r="N1085" s="6"/>
      <c r="O1085" s="6" t="s">
        <v>97</v>
      </c>
      <c r="P1085" s="6" t="s">
        <v>98</v>
      </c>
      <c r="Q1085" s="6" t="s">
        <v>33</v>
      </c>
      <c r="R1085" s="6" t="s">
        <v>5368</v>
      </c>
    </row>
    <row r="1086" customFormat="false" ht="23.85" hidden="false" customHeight="false" outlineLevel="0" collapsed="false">
      <c r="A1086" s="6" t="s">
        <v>33</v>
      </c>
      <c r="B1086" s="6" t="s">
        <v>93</v>
      </c>
      <c r="C1086" s="6" t="s">
        <v>93</v>
      </c>
      <c r="D1086" s="6" t="s">
        <v>638</v>
      </c>
      <c r="E1086" s="6" t="s">
        <v>638</v>
      </c>
      <c r="F1086" s="6" t="s">
        <v>639</v>
      </c>
      <c r="G1086" s="6" t="s">
        <v>182</v>
      </c>
      <c r="H1086" s="6" t="s">
        <v>287</v>
      </c>
      <c r="I1086" s="6" t="s">
        <v>4680</v>
      </c>
      <c r="J1086" s="6" t="s">
        <v>5365</v>
      </c>
      <c r="K1086" s="6" t="s">
        <v>4679</v>
      </c>
      <c r="L1086" s="2" t="s">
        <v>641</v>
      </c>
      <c r="M1086" s="2" t="s">
        <v>640</v>
      </c>
      <c r="N1086" s="9" t="s">
        <v>643</v>
      </c>
      <c r="O1086" s="6" t="s">
        <v>642</v>
      </c>
      <c r="P1086" s="6" t="s">
        <v>98</v>
      </c>
      <c r="Q1086" s="6" t="s">
        <v>33</v>
      </c>
      <c r="R1086" s="6" t="s">
        <v>5368</v>
      </c>
    </row>
    <row r="1087" customFormat="false" ht="23.85" hidden="false" customHeight="false" outlineLevel="0" collapsed="false">
      <c r="A1087" s="6" t="s">
        <v>33</v>
      </c>
      <c r="B1087" s="6" t="s">
        <v>93</v>
      </c>
      <c r="C1087" s="6" t="s">
        <v>93</v>
      </c>
      <c r="D1087" s="6" t="s">
        <v>778</v>
      </c>
      <c r="E1087" s="6" t="s">
        <v>778</v>
      </c>
      <c r="F1087" s="6" t="s">
        <v>779</v>
      </c>
      <c r="G1087" s="6" t="s">
        <v>118</v>
      </c>
      <c r="H1087" s="6" t="s">
        <v>287</v>
      </c>
      <c r="I1087" s="6" t="s">
        <v>4680</v>
      </c>
      <c r="J1087" s="6" t="s">
        <v>5365</v>
      </c>
      <c r="K1087" s="6" t="s">
        <v>4679</v>
      </c>
      <c r="L1087" s="2" t="s">
        <v>781</v>
      </c>
      <c r="M1087" s="2" t="s">
        <v>780</v>
      </c>
      <c r="N1087" s="9" t="s">
        <v>782</v>
      </c>
      <c r="O1087" s="6" t="s">
        <v>130</v>
      </c>
      <c r="P1087" s="6" t="s">
        <v>98</v>
      </c>
      <c r="Q1087" s="6" t="s">
        <v>33</v>
      </c>
      <c r="R1087" s="6" t="s">
        <v>5357</v>
      </c>
    </row>
    <row r="1088" customFormat="false" ht="23.85" hidden="false" customHeight="false" outlineLevel="0" collapsed="false">
      <c r="A1088" s="6" t="s">
        <v>33</v>
      </c>
      <c r="B1088" s="6" t="s">
        <v>93</v>
      </c>
      <c r="C1088" s="6" t="s">
        <v>93</v>
      </c>
      <c r="D1088" s="6" t="s">
        <v>1181</v>
      </c>
      <c r="E1088" s="6" t="s">
        <v>1181</v>
      </c>
      <c r="F1088" s="6" t="s">
        <v>1182</v>
      </c>
      <c r="G1088" s="6" t="s">
        <v>164</v>
      </c>
      <c r="H1088" s="6" t="s">
        <v>287</v>
      </c>
      <c r="I1088" s="6" t="s">
        <v>4680</v>
      </c>
      <c r="J1088" s="6" t="s">
        <v>5365</v>
      </c>
      <c r="K1088" s="6" t="s">
        <v>4679</v>
      </c>
      <c r="L1088" s="2" t="s">
        <v>1185</v>
      </c>
      <c r="M1088" s="2" t="s">
        <v>4741</v>
      </c>
      <c r="N1088" s="9" t="s">
        <v>1186</v>
      </c>
      <c r="O1088" s="6" t="s">
        <v>256</v>
      </c>
      <c r="P1088" s="6" t="s">
        <v>85</v>
      </c>
      <c r="Q1088" s="6" t="s">
        <v>93</v>
      </c>
      <c r="R1088" s="6" t="s">
        <v>5433</v>
      </c>
    </row>
    <row r="1089" customFormat="false" ht="15" hidden="false" customHeight="false" outlineLevel="0" collapsed="false">
      <c r="A1089" s="6" t="s">
        <v>33</v>
      </c>
      <c r="B1089" s="6" t="s">
        <v>93</v>
      </c>
      <c r="C1089" s="6" t="s">
        <v>93</v>
      </c>
      <c r="D1089" s="6" t="s">
        <v>644</v>
      </c>
      <c r="E1089" s="6" t="s">
        <v>644</v>
      </c>
      <c r="F1089" s="6" t="s">
        <v>645</v>
      </c>
      <c r="G1089" s="6" t="s">
        <v>164</v>
      </c>
      <c r="H1089" s="6" t="s">
        <v>287</v>
      </c>
      <c r="I1089" s="6" t="s">
        <v>4680</v>
      </c>
      <c r="J1089" s="6" t="s">
        <v>5365</v>
      </c>
      <c r="K1089" s="6" t="s">
        <v>4679</v>
      </c>
      <c r="L1089" s="2" t="s">
        <v>647</v>
      </c>
      <c r="M1089" s="2" t="s">
        <v>646</v>
      </c>
      <c r="N1089" s="9" t="s">
        <v>648</v>
      </c>
      <c r="O1089" s="6" t="s">
        <v>389</v>
      </c>
      <c r="P1089" s="6" t="s">
        <v>98</v>
      </c>
      <c r="Q1089" s="6" t="s">
        <v>33</v>
      </c>
      <c r="R1089" s="6" t="s">
        <v>5368</v>
      </c>
    </row>
    <row r="1090" customFormat="false" ht="15" hidden="false" customHeight="false" outlineLevel="0" collapsed="false">
      <c r="A1090" s="6" t="s">
        <v>33</v>
      </c>
      <c r="B1090" s="6" t="s">
        <v>93</v>
      </c>
      <c r="C1090" s="6" t="s">
        <v>93</v>
      </c>
      <c r="D1090" s="6" t="s">
        <v>1706</v>
      </c>
      <c r="E1090" s="6" t="s">
        <v>1706</v>
      </c>
      <c r="F1090" s="6" t="s">
        <v>1707</v>
      </c>
      <c r="G1090" s="6" t="s">
        <v>1127</v>
      </c>
      <c r="H1090" s="6" t="s">
        <v>287</v>
      </c>
      <c r="I1090" s="6" t="s">
        <v>4680</v>
      </c>
      <c r="J1090" s="6" t="s">
        <v>5365</v>
      </c>
      <c r="K1090" s="6" t="s">
        <v>4679</v>
      </c>
      <c r="L1090" s="2" t="s">
        <v>1709</v>
      </c>
      <c r="M1090" s="2" t="s">
        <v>1708</v>
      </c>
      <c r="N1090" s="6"/>
      <c r="O1090" s="6" t="s">
        <v>97</v>
      </c>
      <c r="P1090" s="6" t="s">
        <v>98</v>
      </c>
      <c r="Q1090" s="6" t="s">
        <v>33</v>
      </c>
      <c r="R1090" s="6" t="s">
        <v>5368</v>
      </c>
    </row>
    <row r="1091" customFormat="false" ht="23.85" hidden="false" customHeight="false" outlineLevel="0" collapsed="false">
      <c r="A1091" s="6" t="s">
        <v>33</v>
      </c>
      <c r="B1091" s="6" t="s">
        <v>93</v>
      </c>
      <c r="C1091" s="6" t="s">
        <v>93</v>
      </c>
      <c r="D1091" s="6" t="s">
        <v>783</v>
      </c>
      <c r="E1091" s="6" t="s">
        <v>783</v>
      </c>
      <c r="F1091" s="6" t="s">
        <v>784</v>
      </c>
      <c r="G1091" s="6" t="s">
        <v>76</v>
      </c>
      <c r="H1091" s="6" t="s">
        <v>287</v>
      </c>
      <c r="I1091" s="6" t="s">
        <v>4680</v>
      </c>
      <c r="J1091" s="6" t="s">
        <v>5365</v>
      </c>
      <c r="K1091" s="6" t="s">
        <v>4679</v>
      </c>
      <c r="L1091" s="2" t="s">
        <v>786</v>
      </c>
      <c r="M1091" s="2" t="s">
        <v>785</v>
      </c>
      <c r="N1091" s="9" t="s">
        <v>787</v>
      </c>
      <c r="O1091" s="6" t="s">
        <v>448</v>
      </c>
      <c r="P1091" s="6" t="s">
        <v>98</v>
      </c>
      <c r="Q1091" s="6" t="s">
        <v>33</v>
      </c>
      <c r="R1091" s="6" t="s">
        <v>5368</v>
      </c>
    </row>
    <row r="1092" customFormat="false" ht="15" hidden="false" customHeight="false" outlineLevel="0" collapsed="false">
      <c r="A1092" s="6" t="s">
        <v>33</v>
      </c>
      <c r="B1092" s="6" t="s">
        <v>93</v>
      </c>
      <c r="C1092" s="6" t="s">
        <v>93</v>
      </c>
      <c r="D1092" s="6" t="s">
        <v>1280</v>
      </c>
      <c r="E1092" s="6" t="s">
        <v>1280</v>
      </c>
      <c r="F1092" s="6" t="s">
        <v>1280</v>
      </c>
      <c r="G1092" s="6" t="s">
        <v>239</v>
      </c>
      <c r="H1092" s="6" t="s">
        <v>287</v>
      </c>
      <c r="I1092" s="6" t="s">
        <v>4680</v>
      </c>
      <c r="J1092" s="6" t="s">
        <v>5365</v>
      </c>
      <c r="K1092" s="6" t="s">
        <v>4679</v>
      </c>
      <c r="L1092" s="2" t="s">
        <v>1281</v>
      </c>
      <c r="M1092" s="2"/>
      <c r="N1092" s="6"/>
      <c r="O1092" s="6" t="s">
        <v>97</v>
      </c>
      <c r="P1092" s="6" t="s">
        <v>98</v>
      </c>
      <c r="Q1092" s="6" t="s">
        <v>33</v>
      </c>
      <c r="R1092" s="6" t="s">
        <v>5368</v>
      </c>
    </row>
    <row r="1093" customFormat="false" ht="23.85" hidden="false" customHeight="false" outlineLevel="0" collapsed="false">
      <c r="A1093" s="6" t="s">
        <v>33</v>
      </c>
      <c r="B1093" s="6" t="s">
        <v>93</v>
      </c>
      <c r="C1093" s="6" t="s">
        <v>93</v>
      </c>
      <c r="D1093" s="6" t="s">
        <v>311</v>
      </c>
      <c r="E1093" s="6" t="s">
        <v>311</v>
      </c>
      <c r="F1093" s="6" t="s">
        <v>312</v>
      </c>
      <c r="G1093" s="6" t="s">
        <v>118</v>
      </c>
      <c r="H1093" s="6" t="s">
        <v>287</v>
      </c>
      <c r="I1093" s="6" t="s">
        <v>4680</v>
      </c>
      <c r="J1093" s="6" t="s">
        <v>5365</v>
      </c>
      <c r="K1093" s="6" t="s">
        <v>4679</v>
      </c>
      <c r="L1093" s="2" t="s">
        <v>6253</v>
      </c>
      <c r="M1093" s="2" t="s">
        <v>6254</v>
      </c>
      <c r="N1093" s="6"/>
      <c r="O1093" s="6" t="s">
        <v>97</v>
      </c>
      <c r="P1093" s="6" t="s">
        <v>98</v>
      </c>
      <c r="Q1093" s="6" t="s">
        <v>33</v>
      </c>
      <c r="R1093" s="6" t="s">
        <v>5357</v>
      </c>
    </row>
    <row r="1094" customFormat="false" ht="23.85" hidden="false" customHeight="false" outlineLevel="0" collapsed="false">
      <c r="A1094" s="6" t="s">
        <v>33</v>
      </c>
      <c r="B1094" s="6" t="s">
        <v>93</v>
      </c>
      <c r="C1094" s="6" t="s">
        <v>93</v>
      </c>
      <c r="D1094" s="6" t="s">
        <v>1282</v>
      </c>
      <c r="E1094" s="6" t="s">
        <v>1282</v>
      </c>
      <c r="F1094" s="6" t="s">
        <v>1283</v>
      </c>
      <c r="G1094" s="6" t="s">
        <v>76</v>
      </c>
      <c r="H1094" s="6" t="s">
        <v>287</v>
      </c>
      <c r="I1094" s="6" t="s">
        <v>4680</v>
      </c>
      <c r="J1094" s="6" t="s">
        <v>5365</v>
      </c>
      <c r="K1094" s="6" t="s">
        <v>4679</v>
      </c>
      <c r="L1094" s="2" t="s">
        <v>1285</v>
      </c>
      <c r="M1094" s="2" t="s">
        <v>1284</v>
      </c>
      <c r="N1094" s="9" t="s">
        <v>1286</v>
      </c>
      <c r="O1094" s="6" t="s">
        <v>130</v>
      </c>
      <c r="P1094" s="6" t="s">
        <v>98</v>
      </c>
      <c r="Q1094" s="6" t="s">
        <v>33</v>
      </c>
      <c r="R1094" s="6" t="s">
        <v>5368</v>
      </c>
    </row>
    <row r="1095" customFormat="false" ht="15" hidden="false" customHeight="false" outlineLevel="0" collapsed="false">
      <c r="A1095" s="6" t="s">
        <v>33</v>
      </c>
      <c r="B1095" s="6" t="s">
        <v>93</v>
      </c>
      <c r="C1095" s="6" t="s">
        <v>93</v>
      </c>
      <c r="D1095" s="6" t="s">
        <v>1287</v>
      </c>
      <c r="E1095" s="6" t="s">
        <v>1287</v>
      </c>
      <c r="F1095" s="6" t="s">
        <v>1288</v>
      </c>
      <c r="G1095" s="6" t="s">
        <v>239</v>
      </c>
      <c r="H1095" s="6" t="s">
        <v>287</v>
      </c>
      <c r="I1095" s="6" t="s">
        <v>4680</v>
      </c>
      <c r="J1095" s="6" t="s">
        <v>5365</v>
      </c>
      <c r="K1095" s="6" t="s">
        <v>4679</v>
      </c>
      <c r="L1095" s="2" t="s">
        <v>1281</v>
      </c>
      <c r="M1095" s="2"/>
      <c r="N1095" s="6"/>
      <c r="O1095" s="6" t="s">
        <v>97</v>
      </c>
      <c r="P1095" s="6" t="s">
        <v>98</v>
      </c>
      <c r="Q1095" s="6" t="s">
        <v>33</v>
      </c>
      <c r="R1095" s="6" t="s">
        <v>5368</v>
      </c>
    </row>
    <row r="1096" customFormat="false" ht="23.85" hidden="false" customHeight="false" outlineLevel="0" collapsed="false">
      <c r="A1096" s="6" t="s">
        <v>33</v>
      </c>
      <c r="B1096" s="6" t="s">
        <v>93</v>
      </c>
      <c r="C1096" s="6" t="s">
        <v>93</v>
      </c>
      <c r="D1096" s="6" t="s">
        <v>319</v>
      </c>
      <c r="E1096" s="6" t="s">
        <v>6255</v>
      </c>
      <c r="F1096" s="6" t="s">
        <v>320</v>
      </c>
      <c r="G1096" s="6" t="s">
        <v>90</v>
      </c>
      <c r="H1096" s="6" t="s">
        <v>287</v>
      </c>
      <c r="I1096" s="6" t="s">
        <v>4680</v>
      </c>
      <c r="J1096" s="6" t="s">
        <v>5365</v>
      </c>
      <c r="K1096" s="6" t="s">
        <v>4679</v>
      </c>
      <c r="L1096" s="2" t="s">
        <v>323</v>
      </c>
      <c r="M1096" s="2" t="s">
        <v>322</v>
      </c>
      <c r="N1096" s="9" t="s">
        <v>325</v>
      </c>
      <c r="O1096" s="6" t="s">
        <v>324</v>
      </c>
      <c r="P1096" s="6" t="s">
        <v>98</v>
      </c>
      <c r="Q1096" s="6" t="s">
        <v>33</v>
      </c>
      <c r="R1096" s="6" t="s">
        <v>5357</v>
      </c>
    </row>
    <row r="1097" customFormat="false" ht="23.85" hidden="false" customHeight="false" outlineLevel="0" collapsed="false">
      <c r="A1097" s="6" t="s">
        <v>33</v>
      </c>
      <c r="B1097" s="6" t="s">
        <v>93</v>
      </c>
      <c r="C1097" s="6" t="s">
        <v>93</v>
      </c>
      <c r="D1097" s="6" t="s">
        <v>1582</v>
      </c>
      <c r="E1097" s="6" t="s">
        <v>1582</v>
      </c>
      <c r="F1097" s="6" t="s">
        <v>1584</v>
      </c>
      <c r="G1097" s="6" t="s">
        <v>1583</v>
      </c>
      <c r="H1097" s="6" t="s">
        <v>287</v>
      </c>
      <c r="I1097" s="6" t="s">
        <v>4680</v>
      </c>
      <c r="J1097" s="6" t="s">
        <v>5365</v>
      </c>
      <c r="K1097" s="6" t="s">
        <v>4679</v>
      </c>
      <c r="L1097" s="2" t="s">
        <v>1586</v>
      </c>
      <c r="M1097" s="2" t="s">
        <v>1585</v>
      </c>
      <c r="N1097" s="9" t="s">
        <v>1587</v>
      </c>
      <c r="O1097" s="6" t="s">
        <v>97</v>
      </c>
      <c r="P1097" s="6" t="s">
        <v>106</v>
      </c>
      <c r="Q1097" s="6" t="s">
        <v>93</v>
      </c>
      <c r="R1097" s="6" t="s">
        <v>5433</v>
      </c>
    </row>
    <row r="1098" customFormat="false" ht="35.05" hidden="false" customHeight="false" outlineLevel="0" collapsed="false">
      <c r="A1098" s="6" t="s">
        <v>33</v>
      </c>
      <c r="B1098" s="6" t="s">
        <v>93</v>
      </c>
      <c r="C1098" s="6" t="s">
        <v>93</v>
      </c>
      <c r="D1098" s="6" t="s">
        <v>1710</v>
      </c>
      <c r="E1098" s="6" t="s">
        <v>1710</v>
      </c>
      <c r="F1098" s="6" t="s">
        <v>1711</v>
      </c>
      <c r="G1098" s="6" t="s">
        <v>507</v>
      </c>
      <c r="H1098" s="6" t="s">
        <v>287</v>
      </c>
      <c r="I1098" s="6" t="s">
        <v>4684</v>
      </c>
      <c r="J1098" s="6" t="s">
        <v>5365</v>
      </c>
      <c r="K1098" s="6" t="s">
        <v>4679</v>
      </c>
      <c r="L1098" s="2" t="s">
        <v>6256</v>
      </c>
      <c r="M1098" s="2" t="s">
        <v>6257</v>
      </c>
      <c r="N1098" s="9" t="s">
        <v>1716</v>
      </c>
      <c r="O1098" s="6" t="s">
        <v>256</v>
      </c>
      <c r="P1098" s="6" t="s">
        <v>98</v>
      </c>
      <c r="Q1098" s="6" t="s">
        <v>33</v>
      </c>
      <c r="R1098" s="6" t="s">
        <v>5357</v>
      </c>
    </row>
    <row r="1099" customFormat="false" ht="23.85" hidden="false" customHeight="false" outlineLevel="0" collapsed="false">
      <c r="A1099" s="6" t="s">
        <v>33</v>
      </c>
      <c r="B1099" s="6" t="s">
        <v>93</v>
      </c>
      <c r="C1099" s="6" t="s">
        <v>93</v>
      </c>
      <c r="D1099" s="6" t="s">
        <v>1804</v>
      </c>
      <c r="E1099" s="6" t="s">
        <v>1804</v>
      </c>
      <c r="F1099" s="6" t="s">
        <v>1805</v>
      </c>
      <c r="G1099" s="6" t="s">
        <v>626</v>
      </c>
      <c r="H1099" s="6" t="s">
        <v>287</v>
      </c>
      <c r="I1099" s="6" t="s">
        <v>4680</v>
      </c>
      <c r="J1099" s="6" t="s">
        <v>5365</v>
      </c>
      <c r="K1099" s="6" t="s">
        <v>4679</v>
      </c>
      <c r="L1099" s="2" t="s">
        <v>1807</v>
      </c>
      <c r="M1099" s="2" t="s">
        <v>1806</v>
      </c>
      <c r="N1099" s="9" t="s">
        <v>1808</v>
      </c>
      <c r="O1099" s="6" t="s">
        <v>1636</v>
      </c>
      <c r="P1099" s="6" t="s">
        <v>98</v>
      </c>
      <c r="Q1099" s="6" t="s">
        <v>33</v>
      </c>
      <c r="R1099" s="6" t="s">
        <v>5368</v>
      </c>
    </row>
    <row r="1100" customFormat="false" ht="15" hidden="false" customHeight="false" outlineLevel="0" collapsed="false">
      <c r="A1100" s="6" t="s">
        <v>33</v>
      </c>
      <c r="B1100" s="6" t="s">
        <v>93</v>
      </c>
      <c r="C1100" s="6" t="s">
        <v>93</v>
      </c>
      <c r="D1100" s="6" t="s">
        <v>1289</v>
      </c>
      <c r="E1100" s="6" t="s">
        <v>1289</v>
      </c>
      <c r="F1100" s="6" t="s">
        <v>1289</v>
      </c>
      <c r="G1100" s="6" t="s">
        <v>239</v>
      </c>
      <c r="H1100" s="6" t="s">
        <v>287</v>
      </c>
      <c r="I1100" s="6" t="s">
        <v>4680</v>
      </c>
      <c r="J1100" s="6" t="s">
        <v>5365</v>
      </c>
      <c r="K1100" s="6" t="s">
        <v>4679</v>
      </c>
      <c r="L1100" s="2" t="s">
        <v>1281</v>
      </c>
      <c r="M1100" s="2" t="s">
        <v>1290</v>
      </c>
      <c r="N1100" s="6"/>
      <c r="O1100" s="6" t="s">
        <v>97</v>
      </c>
      <c r="P1100" s="6" t="s">
        <v>98</v>
      </c>
      <c r="Q1100" s="6" t="s">
        <v>33</v>
      </c>
      <c r="R1100" s="6" t="s">
        <v>5368</v>
      </c>
    </row>
    <row r="1101" customFormat="false" ht="23.85" hidden="false" customHeight="false" outlineLevel="0" collapsed="false">
      <c r="A1101" s="6" t="s">
        <v>33</v>
      </c>
      <c r="B1101" s="6" t="s">
        <v>93</v>
      </c>
      <c r="C1101" s="6" t="s">
        <v>93</v>
      </c>
      <c r="D1101" s="6" t="s">
        <v>1588</v>
      </c>
      <c r="E1101" s="6" t="s">
        <v>1588</v>
      </c>
      <c r="F1101" s="6" t="s">
        <v>1588</v>
      </c>
      <c r="G1101" s="6" t="s">
        <v>1583</v>
      </c>
      <c r="H1101" s="6" t="s">
        <v>287</v>
      </c>
      <c r="I1101" s="6" t="s">
        <v>4680</v>
      </c>
      <c r="J1101" s="6" t="s">
        <v>5365</v>
      </c>
      <c r="K1101" s="6" t="s">
        <v>4679</v>
      </c>
      <c r="L1101" s="2" t="s">
        <v>1590</v>
      </c>
      <c r="M1101" s="2" t="s">
        <v>1589</v>
      </c>
      <c r="N1101" s="9" t="s">
        <v>1591</v>
      </c>
      <c r="O1101" s="6" t="s">
        <v>97</v>
      </c>
      <c r="P1101" s="6" t="s">
        <v>85</v>
      </c>
      <c r="Q1101" s="6" t="s">
        <v>93</v>
      </c>
      <c r="R1101" s="6" t="s">
        <v>5433</v>
      </c>
    </row>
    <row r="1102" customFormat="false" ht="23.85" hidden="false" customHeight="false" outlineLevel="0" collapsed="false">
      <c r="A1102" s="6" t="s">
        <v>33</v>
      </c>
      <c r="B1102" s="6" t="s">
        <v>93</v>
      </c>
      <c r="C1102" s="6" t="s">
        <v>93</v>
      </c>
      <c r="D1102" s="6" t="s">
        <v>1098</v>
      </c>
      <c r="E1102" s="6" t="s">
        <v>1098</v>
      </c>
      <c r="F1102" s="6" t="s">
        <v>1099</v>
      </c>
      <c r="G1102" s="6" t="s">
        <v>507</v>
      </c>
      <c r="H1102" s="6" t="s">
        <v>287</v>
      </c>
      <c r="I1102" s="6" t="s">
        <v>4684</v>
      </c>
      <c r="J1102" s="6" t="s">
        <v>5365</v>
      </c>
      <c r="K1102" s="6" t="s">
        <v>4718</v>
      </c>
      <c r="L1102" s="2" t="s">
        <v>1102</v>
      </c>
      <c r="M1102" s="2" t="s">
        <v>4797</v>
      </c>
      <c r="N1102" s="9" t="s">
        <v>1104</v>
      </c>
      <c r="O1102" s="6" t="s">
        <v>308</v>
      </c>
      <c r="P1102" s="6" t="s">
        <v>106</v>
      </c>
      <c r="Q1102" s="6" t="s">
        <v>93</v>
      </c>
      <c r="R1102" s="6" t="s">
        <v>5433</v>
      </c>
    </row>
    <row r="1103" customFormat="false" ht="15" hidden="false" customHeight="false" outlineLevel="0" collapsed="false">
      <c r="A1103" s="6" t="s">
        <v>33</v>
      </c>
      <c r="B1103" s="6" t="s">
        <v>93</v>
      </c>
      <c r="C1103" s="6" t="s">
        <v>93</v>
      </c>
      <c r="D1103" s="6" t="s">
        <v>1809</v>
      </c>
      <c r="E1103" s="6" t="s">
        <v>1809</v>
      </c>
      <c r="F1103" s="6" t="s">
        <v>429</v>
      </c>
      <c r="G1103" s="6" t="s">
        <v>182</v>
      </c>
      <c r="H1103" s="6" t="s">
        <v>287</v>
      </c>
      <c r="I1103" s="6" t="s">
        <v>4680</v>
      </c>
      <c r="J1103" s="6" t="s">
        <v>5365</v>
      </c>
      <c r="K1103" s="6" t="s">
        <v>4679</v>
      </c>
      <c r="L1103" s="2" t="s">
        <v>1811</v>
      </c>
      <c r="M1103" s="2" t="s">
        <v>1810</v>
      </c>
      <c r="N1103" s="6"/>
      <c r="O1103" s="6" t="s">
        <v>97</v>
      </c>
      <c r="P1103" s="6" t="s">
        <v>98</v>
      </c>
      <c r="Q1103" s="6" t="s">
        <v>33</v>
      </c>
      <c r="R1103" s="6" t="s">
        <v>5368</v>
      </c>
    </row>
    <row r="1104" customFormat="false" ht="15" hidden="false" customHeight="false" outlineLevel="0" collapsed="false">
      <c r="A1104" s="6" t="s">
        <v>33</v>
      </c>
      <c r="B1104" s="6" t="s">
        <v>93</v>
      </c>
      <c r="C1104" s="6" t="s">
        <v>93</v>
      </c>
      <c r="D1104" s="6" t="s">
        <v>1592</v>
      </c>
      <c r="E1104" s="6" t="s">
        <v>1592</v>
      </c>
      <c r="F1104" s="6" t="s">
        <v>1593</v>
      </c>
      <c r="G1104" s="6" t="s">
        <v>1215</v>
      </c>
      <c r="H1104" s="6" t="s">
        <v>287</v>
      </c>
      <c r="I1104" s="6" t="s">
        <v>4680</v>
      </c>
      <c r="J1104" s="6" t="s">
        <v>5365</v>
      </c>
      <c r="K1104" s="6" t="s">
        <v>4679</v>
      </c>
      <c r="L1104" s="2" t="s">
        <v>1595</v>
      </c>
      <c r="M1104" s="2" t="s">
        <v>1594</v>
      </c>
      <c r="N1104" s="9" t="s">
        <v>1596</v>
      </c>
      <c r="O1104" s="6" t="s">
        <v>281</v>
      </c>
      <c r="P1104" s="6" t="s">
        <v>85</v>
      </c>
      <c r="Q1104" s="6" t="s">
        <v>93</v>
      </c>
      <c r="R1104" s="6" t="s">
        <v>5433</v>
      </c>
    </row>
    <row r="1105" customFormat="false" ht="15" hidden="false" customHeight="false" outlineLevel="0" collapsed="false">
      <c r="A1105" s="6" t="s">
        <v>33</v>
      </c>
      <c r="B1105" s="6" t="s">
        <v>93</v>
      </c>
      <c r="C1105" s="6" t="s">
        <v>93</v>
      </c>
      <c r="D1105" s="6" t="s">
        <v>1597</v>
      </c>
      <c r="E1105" s="6" t="s">
        <v>1597</v>
      </c>
      <c r="F1105" s="6" t="s">
        <v>1599</v>
      </c>
      <c r="G1105" s="6" t="s">
        <v>1598</v>
      </c>
      <c r="H1105" s="6" t="s">
        <v>287</v>
      </c>
      <c r="I1105" s="6" t="s">
        <v>4680</v>
      </c>
      <c r="J1105" s="6" t="s">
        <v>5365</v>
      </c>
      <c r="K1105" s="6" t="s">
        <v>4679</v>
      </c>
      <c r="L1105" s="2" t="s">
        <v>1601</v>
      </c>
      <c r="M1105" s="2" t="s">
        <v>1600</v>
      </c>
      <c r="N1105" s="9" t="s">
        <v>1602</v>
      </c>
      <c r="O1105" s="6" t="s">
        <v>461</v>
      </c>
      <c r="P1105" s="6" t="s">
        <v>85</v>
      </c>
      <c r="Q1105" s="6" t="s">
        <v>93</v>
      </c>
      <c r="R1105" s="6" t="s">
        <v>5433</v>
      </c>
    </row>
    <row r="1106" customFormat="false" ht="15" hidden="false" customHeight="false" outlineLevel="0" collapsed="false">
      <c r="A1106" s="6" t="s">
        <v>33</v>
      </c>
      <c r="B1106" s="6" t="s">
        <v>93</v>
      </c>
      <c r="C1106" s="6" t="s">
        <v>93</v>
      </c>
      <c r="D1106" s="6" t="s">
        <v>1311</v>
      </c>
      <c r="E1106" s="6" t="s">
        <v>1311</v>
      </c>
      <c r="F1106" s="6" t="s">
        <v>1311</v>
      </c>
      <c r="G1106" s="6" t="s">
        <v>76</v>
      </c>
      <c r="H1106" s="6" t="s">
        <v>287</v>
      </c>
      <c r="I1106" s="6" t="s">
        <v>4680</v>
      </c>
      <c r="J1106" s="6" t="s">
        <v>5365</v>
      </c>
      <c r="K1106" s="6" t="s">
        <v>4679</v>
      </c>
      <c r="L1106" s="2" t="s">
        <v>1312</v>
      </c>
      <c r="M1106" s="2"/>
      <c r="N1106" s="6"/>
      <c r="O1106" s="6" t="s">
        <v>97</v>
      </c>
      <c r="P1106" s="6" t="s">
        <v>98</v>
      </c>
      <c r="Q1106" s="6" t="s">
        <v>33</v>
      </c>
      <c r="R1106" s="6" t="s">
        <v>5368</v>
      </c>
    </row>
    <row r="1107" customFormat="false" ht="15" hidden="false" customHeight="false" outlineLevel="0" collapsed="false">
      <c r="A1107" s="6" t="s">
        <v>33</v>
      </c>
      <c r="B1107" s="6" t="s">
        <v>93</v>
      </c>
      <c r="C1107" s="6" t="s">
        <v>93</v>
      </c>
      <c r="D1107" s="6" t="s">
        <v>1313</v>
      </c>
      <c r="E1107" s="6" t="s">
        <v>1313</v>
      </c>
      <c r="F1107" s="6" t="s">
        <v>1314</v>
      </c>
      <c r="G1107" s="6" t="s">
        <v>239</v>
      </c>
      <c r="H1107" s="6" t="s">
        <v>287</v>
      </c>
      <c r="I1107" s="6" t="s">
        <v>4680</v>
      </c>
      <c r="J1107" s="6" t="s">
        <v>5365</v>
      </c>
      <c r="K1107" s="6" t="s">
        <v>4679</v>
      </c>
      <c r="L1107" s="2" t="s">
        <v>1316</v>
      </c>
      <c r="M1107" s="2" t="s">
        <v>1315</v>
      </c>
      <c r="N1107" s="9" t="s">
        <v>1317</v>
      </c>
      <c r="O1107" s="6" t="s">
        <v>461</v>
      </c>
      <c r="P1107" s="6" t="s">
        <v>85</v>
      </c>
      <c r="Q1107" s="6" t="s">
        <v>93</v>
      </c>
      <c r="R1107" s="6" t="s">
        <v>5433</v>
      </c>
    </row>
    <row r="1108" customFormat="false" ht="23.85" hidden="false" customHeight="false" outlineLevel="0" collapsed="false">
      <c r="A1108" s="6" t="s">
        <v>33</v>
      </c>
      <c r="B1108" s="6" t="s">
        <v>93</v>
      </c>
      <c r="C1108" s="6" t="s">
        <v>93</v>
      </c>
      <c r="D1108" s="6" t="s">
        <v>1318</v>
      </c>
      <c r="E1108" s="6" t="s">
        <v>1318</v>
      </c>
      <c r="F1108" s="6" t="s">
        <v>795</v>
      </c>
      <c r="G1108" s="6" t="s">
        <v>76</v>
      </c>
      <c r="H1108" s="6" t="s">
        <v>287</v>
      </c>
      <c r="I1108" s="6" t="s">
        <v>4680</v>
      </c>
      <c r="J1108" s="6" t="s">
        <v>5365</v>
      </c>
      <c r="K1108" s="6" t="s">
        <v>4679</v>
      </c>
      <c r="L1108" s="2" t="s">
        <v>1320</v>
      </c>
      <c r="M1108" s="2" t="s">
        <v>1319</v>
      </c>
      <c r="N1108" s="9" t="s">
        <v>1321</v>
      </c>
      <c r="O1108" s="6" t="s">
        <v>160</v>
      </c>
      <c r="P1108" s="6" t="s">
        <v>98</v>
      </c>
      <c r="Q1108" s="6" t="s">
        <v>33</v>
      </c>
      <c r="R1108" s="6" t="s">
        <v>5368</v>
      </c>
    </row>
    <row r="1109" customFormat="false" ht="35.05" hidden="false" customHeight="false" outlineLevel="0" collapsed="false">
      <c r="A1109" s="6" t="s">
        <v>33</v>
      </c>
      <c r="B1109" s="6" t="s">
        <v>93</v>
      </c>
      <c r="C1109" s="6" t="s">
        <v>93</v>
      </c>
      <c r="D1109" s="6" t="s">
        <v>351</v>
      </c>
      <c r="E1109" s="6" t="s">
        <v>351</v>
      </c>
      <c r="F1109" s="6" t="s">
        <v>3015</v>
      </c>
      <c r="G1109" s="6" t="s">
        <v>118</v>
      </c>
      <c r="H1109" s="6" t="s">
        <v>287</v>
      </c>
      <c r="I1109" s="6" t="s">
        <v>4680</v>
      </c>
      <c r="J1109" s="6" t="s">
        <v>5365</v>
      </c>
      <c r="K1109" s="6" t="s">
        <v>4679</v>
      </c>
      <c r="L1109" s="2" t="s">
        <v>6258</v>
      </c>
      <c r="M1109" s="2" t="s">
        <v>6259</v>
      </c>
      <c r="N1109" s="9" t="s">
        <v>6260</v>
      </c>
      <c r="O1109" s="6" t="s">
        <v>123</v>
      </c>
      <c r="P1109" s="6" t="s">
        <v>98</v>
      </c>
      <c r="Q1109" s="6" t="s">
        <v>33</v>
      </c>
      <c r="R1109" s="6" t="s">
        <v>5357</v>
      </c>
    </row>
    <row r="1110" customFormat="false" ht="23.85" hidden="false" customHeight="false" outlineLevel="0" collapsed="false">
      <c r="A1110" s="6" t="s">
        <v>33</v>
      </c>
      <c r="B1110" s="6" t="s">
        <v>93</v>
      </c>
      <c r="C1110" s="6" t="s">
        <v>93</v>
      </c>
      <c r="D1110" s="6" t="s">
        <v>1817</v>
      </c>
      <c r="E1110" s="6" t="s">
        <v>1817</v>
      </c>
      <c r="F1110" s="6" t="s">
        <v>893</v>
      </c>
      <c r="G1110" s="6" t="s">
        <v>164</v>
      </c>
      <c r="H1110" s="6" t="s">
        <v>287</v>
      </c>
      <c r="I1110" s="6" t="s">
        <v>4680</v>
      </c>
      <c r="J1110" s="6" t="s">
        <v>5365</v>
      </c>
      <c r="K1110" s="6" t="s">
        <v>4679</v>
      </c>
      <c r="L1110" s="2" t="s">
        <v>1819</v>
      </c>
      <c r="M1110" s="2" t="s">
        <v>1818</v>
      </c>
      <c r="N1110" s="9" t="s">
        <v>896</v>
      </c>
      <c r="O1110" s="6" t="s">
        <v>150</v>
      </c>
      <c r="P1110" s="6" t="s">
        <v>98</v>
      </c>
      <c r="Q1110" s="6" t="s">
        <v>33</v>
      </c>
      <c r="R1110" s="6" t="s">
        <v>5368</v>
      </c>
    </row>
    <row r="1111" customFormat="false" ht="23.85" hidden="false" customHeight="false" outlineLevel="0" collapsed="false">
      <c r="A1111" s="6" t="s">
        <v>33</v>
      </c>
      <c r="B1111" s="6" t="s">
        <v>93</v>
      </c>
      <c r="C1111" s="6" t="s">
        <v>93</v>
      </c>
      <c r="D1111" s="6" t="s">
        <v>2366</v>
      </c>
      <c r="E1111" s="6" t="s">
        <v>2366</v>
      </c>
      <c r="F1111" s="6" t="s">
        <v>2367</v>
      </c>
      <c r="G1111" s="6" t="s">
        <v>507</v>
      </c>
      <c r="H1111" s="6" t="s">
        <v>287</v>
      </c>
      <c r="I1111" s="6" t="s">
        <v>4684</v>
      </c>
      <c r="J1111" s="6" t="s">
        <v>5365</v>
      </c>
      <c r="K1111" s="6" t="s">
        <v>4679</v>
      </c>
      <c r="L1111" s="2" t="s">
        <v>2369</v>
      </c>
      <c r="M1111" s="2" t="s">
        <v>2368</v>
      </c>
      <c r="N1111" s="9" t="s">
        <v>2370</v>
      </c>
      <c r="O1111" s="6" t="s">
        <v>504</v>
      </c>
      <c r="P1111" s="6" t="s">
        <v>98</v>
      </c>
      <c r="Q1111" s="6" t="s">
        <v>33</v>
      </c>
      <c r="R1111" s="6" t="s">
        <v>5357</v>
      </c>
    </row>
    <row r="1112" customFormat="false" ht="23.85" hidden="false" customHeight="false" outlineLevel="0" collapsed="false">
      <c r="A1112" s="6" t="s">
        <v>33</v>
      </c>
      <c r="B1112" s="6" t="s">
        <v>93</v>
      </c>
      <c r="C1112" s="6" t="s">
        <v>93</v>
      </c>
      <c r="D1112" s="6" t="s">
        <v>1609</v>
      </c>
      <c r="E1112" s="6" t="s">
        <v>1609</v>
      </c>
      <c r="F1112" s="6" t="s">
        <v>1610</v>
      </c>
      <c r="G1112" s="6" t="s">
        <v>1583</v>
      </c>
      <c r="H1112" s="6" t="s">
        <v>287</v>
      </c>
      <c r="I1112" s="6" t="s">
        <v>4680</v>
      </c>
      <c r="J1112" s="6" t="s">
        <v>5365</v>
      </c>
      <c r="K1112" s="6" t="s">
        <v>4679</v>
      </c>
      <c r="L1112" s="2" t="s">
        <v>1613</v>
      </c>
      <c r="M1112" s="2" t="s">
        <v>1612</v>
      </c>
      <c r="N1112" s="9" t="s">
        <v>1614</v>
      </c>
      <c r="O1112" s="6" t="s">
        <v>123</v>
      </c>
      <c r="P1112" s="6" t="s">
        <v>85</v>
      </c>
      <c r="Q1112" s="6" t="s">
        <v>93</v>
      </c>
      <c r="R1112" s="6" t="s">
        <v>5433</v>
      </c>
    </row>
    <row r="1113" customFormat="false" ht="15" hidden="false" customHeight="false" outlineLevel="0" collapsed="false">
      <c r="A1113" s="6" t="s">
        <v>33</v>
      </c>
      <c r="B1113" s="6" t="s">
        <v>93</v>
      </c>
      <c r="C1113" s="6" t="s">
        <v>93</v>
      </c>
      <c r="D1113" s="6" t="s">
        <v>1322</v>
      </c>
      <c r="E1113" s="6" t="s">
        <v>1322</v>
      </c>
      <c r="F1113" s="6" t="s">
        <v>1323</v>
      </c>
      <c r="G1113" s="6" t="s">
        <v>239</v>
      </c>
      <c r="H1113" s="6" t="s">
        <v>287</v>
      </c>
      <c r="I1113" s="6" t="s">
        <v>4680</v>
      </c>
      <c r="J1113" s="6" t="s">
        <v>5365</v>
      </c>
      <c r="K1113" s="6" t="s">
        <v>4679</v>
      </c>
      <c r="L1113" s="2" t="s">
        <v>1325</v>
      </c>
      <c r="M1113" s="2" t="s">
        <v>1324</v>
      </c>
      <c r="N1113" s="6"/>
      <c r="O1113" s="6" t="s">
        <v>97</v>
      </c>
      <c r="P1113" s="6" t="s">
        <v>98</v>
      </c>
      <c r="Q1113" s="6" t="s">
        <v>33</v>
      </c>
      <c r="R1113" s="6" t="s">
        <v>5368</v>
      </c>
    </row>
    <row r="1114" customFormat="false" ht="23.85" hidden="false" customHeight="false" outlineLevel="0" collapsed="false">
      <c r="A1114" s="6" t="s">
        <v>33</v>
      </c>
      <c r="B1114" s="6" t="s">
        <v>93</v>
      </c>
      <c r="C1114" s="6" t="s">
        <v>93</v>
      </c>
      <c r="D1114" s="6" t="s">
        <v>2461</v>
      </c>
      <c r="E1114" s="6" t="s">
        <v>6261</v>
      </c>
      <c r="F1114" s="6" t="s">
        <v>6262</v>
      </c>
      <c r="G1114" s="6" t="s">
        <v>153</v>
      </c>
      <c r="H1114" s="6" t="s">
        <v>287</v>
      </c>
      <c r="I1114" s="6" t="s">
        <v>4680</v>
      </c>
      <c r="J1114" s="6" t="s">
        <v>5365</v>
      </c>
      <c r="K1114" s="6" t="s">
        <v>4679</v>
      </c>
      <c r="L1114" s="2" t="s">
        <v>6263</v>
      </c>
      <c r="M1114" s="2" t="s">
        <v>6264</v>
      </c>
      <c r="N1114" s="9" t="s">
        <v>2465</v>
      </c>
      <c r="O1114" s="6" t="s">
        <v>389</v>
      </c>
      <c r="P1114" s="6" t="s">
        <v>98</v>
      </c>
      <c r="Q1114" s="6" t="s">
        <v>33</v>
      </c>
      <c r="R1114" s="6" t="s">
        <v>5357</v>
      </c>
    </row>
    <row r="1115" customFormat="false" ht="23.85" hidden="false" customHeight="false" outlineLevel="0" collapsed="false">
      <c r="A1115" s="6" t="s">
        <v>33</v>
      </c>
      <c r="B1115" s="6" t="s">
        <v>93</v>
      </c>
      <c r="C1115" s="6" t="s">
        <v>93</v>
      </c>
      <c r="D1115" s="6" t="s">
        <v>1105</v>
      </c>
      <c r="E1115" s="6" t="s">
        <v>6265</v>
      </c>
      <c r="F1115" s="6" t="s">
        <v>1106</v>
      </c>
      <c r="G1115" s="6" t="s">
        <v>507</v>
      </c>
      <c r="H1115" s="6" t="s">
        <v>287</v>
      </c>
      <c r="I1115" s="6" t="s">
        <v>4684</v>
      </c>
      <c r="J1115" s="6" t="s">
        <v>5365</v>
      </c>
      <c r="K1115" s="6" t="s">
        <v>4679</v>
      </c>
      <c r="L1115" s="2" t="s">
        <v>6266</v>
      </c>
      <c r="M1115" s="2" t="s">
        <v>6267</v>
      </c>
      <c r="N1115" s="9" t="s">
        <v>6268</v>
      </c>
      <c r="O1115" s="6" t="s">
        <v>97</v>
      </c>
      <c r="P1115" s="6" t="s">
        <v>98</v>
      </c>
      <c r="Q1115" s="6" t="s">
        <v>33</v>
      </c>
      <c r="R1115" s="6" t="s">
        <v>5357</v>
      </c>
    </row>
    <row r="1116" customFormat="false" ht="23.85" hidden="false" customHeight="false" outlineLevel="0" collapsed="false">
      <c r="A1116" s="6" t="s">
        <v>33</v>
      </c>
      <c r="B1116" s="6" t="s">
        <v>93</v>
      </c>
      <c r="C1116" s="6" t="s">
        <v>93</v>
      </c>
      <c r="D1116" s="6" t="s">
        <v>1114</v>
      </c>
      <c r="E1116" s="6" t="s">
        <v>1114</v>
      </c>
      <c r="F1116" s="6" t="s">
        <v>6269</v>
      </c>
      <c r="G1116" s="6" t="s">
        <v>507</v>
      </c>
      <c r="H1116" s="6" t="s">
        <v>287</v>
      </c>
      <c r="I1116" s="6" t="s">
        <v>5617</v>
      </c>
      <c r="J1116" s="6" t="s">
        <v>5365</v>
      </c>
      <c r="K1116" s="6" t="s">
        <v>4679</v>
      </c>
      <c r="L1116" s="2" t="s">
        <v>6270</v>
      </c>
      <c r="M1116" s="2" t="s">
        <v>6271</v>
      </c>
      <c r="N1116" s="9" t="s">
        <v>1119</v>
      </c>
      <c r="O1116" s="6" t="s">
        <v>97</v>
      </c>
      <c r="P1116" s="6" t="s">
        <v>98</v>
      </c>
      <c r="Q1116" s="6" t="s">
        <v>33</v>
      </c>
      <c r="R1116" s="6" t="s">
        <v>5357</v>
      </c>
    </row>
    <row r="1117" customFormat="false" ht="15" hidden="false" customHeight="false" outlineLevel="0" collapsed="false">
      <c r="A1117" s="6" t="s">
        <v>33</v>
      </c>
      <c r="B1117" s="6" t="s">
        <v>93</v>
      </c>
      <c r="C1117" s="6" t="s">
        <v>93</v>
      </c>
      <c r="D1117" s="6" t="s">
        <v>1623</v>
      </c>
      <c r="E1117" s="6" t="s">
        <v>1623</v>
      </c>
      <c r="F1117" s="6" t="s">
        <v>1623</v>
      </c>
      <c r="G1117" s="6" t="s">
        <v>1583</v>
      </c>
      <c r="H1117" s="6" t="s">
        <v>287</v>
      </c>
      <c r="I1117" s="6" t="s">
        <v>4680</v>
      </c>
      <c r="J1117" s="6" t="s">
        <v>5365</v>
      </c>
      <c r="K1117" s="6" t="s">
        <v>4679</v>
      </c>
      <c r="L1117" s="2" t="s">
        <v>1625</v>
      </c>
      <c r="M1117" s="2" t="s">
        <v>1624</v>
      </c>
      <c r="N1117" s="9" t="s">
        <v>1626</v>
      </c>
      <c r="O1117" s="6" t="s">
        <v>178</v>
      </c>
      <c r="P1117" s="6" t="s">
        <v>85</v>
      </c>
      <c r="Q1117" s="6" t="s">
        <v>93</v>
      </c>
      <c r="R1117" s="6" t="s">
        <v>5433</v>
      </c>
    </row>
    <row r="1118" customFormat="false" ht="15" hidden="false" customHeight="false" outlineLevel="0" collapsed="false">
      <c r="A1118" s="6" t="s">
        <v>33</v>
      </c>
      <c r="B1118" s="6" t="s">
        <v>93</v>
      </c>
      <c r="C1118" s="6" t="s">
        <v>93</v>
      </c>
      <c r="D1118" s="6" t="s">
        <v>794</v>
      </c>
      <c r="E1118" s="6" t="s">
        <v>794</v>
      </c>
      <c r="F1118" s="6" t="s">
        <v>795</v>
      </c>
      <c r="G1118" s="6" t="s">
        <v>76</v>
      </c>
      <c r="H1118" s="6" t="s">
        <v>287</v>
      </c>
      <c r="I1118" s="6" t="s">
        <v>4680</v>
      </c>
      <c r="J1118" s="6" t="s">
        <v>5365</v>
      </c>
      <c r="K1118" s="6" t="s">
        <v>4679</v>
      </c>
      <c r="L1118" s="2" t="s">
        <v>797</v>
      </c>
      <c r="M1118" s="2" t="s">
        <v>796</v>
      </c>
      <c r="N1118" s="9" t="s">
        <v>798</v>
      </c>
      <c r="O1118" s="6" t="s">
        <v>178</v>
      </c>
      <c r="P1118" s="6" t="s">
        <v>98</v>
      </c>
      <c r="Q1118" s="6" t="s">
        <v>33</v>
      </c>
      <c r="R1118" s="6" t="s">
        <v>5368</v>
      </c>
    </row>
    <row r="1119" customFormat="false" ht="15" hidden="false" customHeight="false" outlineLevel="0" collapsed="false">
      <c r="A1119" s="6" t="s">
        <v>33</v>
      </c>
      <c r="B1119" s="6" t="s">
        <v>93</v>
      </c>
      <c r="C1119" s="6" t="s">
        <v>93</v>
      </c>
      <c r="D1119" s="6" t="s">
        <v>1820</v>
      </c>
      <c r="E1119" s="6" t="s">
        <v>1820</v>
      </c>
      <c r="F1119" s="6" t="s">
        <v>1821</v>
      </c>
      <c r="G1119" s="6" t="s">
        <v>164</v>
      </c>
      <c r="H1119" s="6" t="s">
        <v>287</v>
      </c>
      <c r="I1119" s="6" t="s">
        <v>4680</v>
      </c>
      <c r="J1119" s="6" t="s">
        <v>5365</v>
      </c>
      <c r="K1119" s="6" t="s">
        <v>4679</v>
      </c>
      <c r="L1119" s="2" t="s">
        <v>1822</v>
      </c>
      <c r="M1119" s="2"/>
      <c r="N1119" s="6"/>
      <c r="O1119" s="6" t="s">
        <v>97</v>
      </c>
      <c r="P1119" s="6" t="s">
        <v>98</v>
      </c>
      <c r="Q1119" s="6" t="s">
        <v>33</v>
      </c>
      <c r="R1119" s="6" t="s">
        <v>5368</v>
      </c>
    </row>
    <row r="1120" customFormat="false" ht="15" hidden="false" customHeight="false" outlineLevel="0" collapsed="false">
      <c r="A1120" s="6" t="s">
        <v>33</v>
      </c>
      <c r="B1120" s="6" t="s">
        <v>93</v>
      </c>
      <c r="C1120" s="6" t="s">
        <v>93</v>
      </c>
      <c r="D1120" s="6" t="s">
        <v>1823</v>
      </c>
      <c r="E1120" s="6" t="s">
        <v>1823</v>
      </c>
      <c r="F1120" s="6" t="s">
        <v>1824</v>
      </c>
      <c r="G1120" s="6" t="s">
        <v>153</v>
      </c>
      <c r="H1120" s="6" t="s">
        <v>287</v>
      </c>
      <c r="I1120" s="6" t="s">
        <v>4680</v>
      </c>
      <c r="J1120" s="6" t="s">
        <v>5365</v>
      </c>
      <c r="K1120" s="6" t="s">
        <v>4679</v>
      </c>
      <c r="L1120" s="2" t="s">
        <v>1826</v>
      </c>
      <c r="M1120" s="2" t="s">
        <v>1825</v>
      </c>
      <c r="N1120" s="9" t="s">
        <v>1827</v>
      </c>
      <c r="O1120" s="6" t="s">
        <v>160</v>
      </c>
      <c r="P1120" s="6" t="s">
        <v>85</v>
      </c>
      <c r="Q1120" s="6" t="s">
        <v>93</v>
      </c>
      <c r="R1120" s="6" t="s">
        <v>5433</v>
      </c>
    </row>
    <row r="1121" customFormat="false" ht="23.85" hidden="false" customHeight="false" outlineLevel="0" collapsed="false">
      <c r="A1121" s="6" t="s">
        <v>33</v>
      </c>
      <c r="B1121" s="6" t="s">
        <v>93</v>
      </c>
      <c r="C1121" s="6" t="s">
        <v>93</v>
      </c>
      <c r="D1121" s="6" t="s">
        <v>1332</v>
      </c>
      <c r="E1121" s="6" t="s">
        <v>1332</v>
      </c>
      <c r="F1121" s="6" t="s">
        <v>1333</v>
      </c>
      <c r="G1121" s="6" t="s">
        <v>118</v>
      </c>
      <c r="H1121" s="6" t="s">
        <v>287</v>
      </c>
      <c r="I1121" s="6" t="s">
        <v>4680</v>
      </c>
      <c r="J1121" s="6" t="s">
        <v>5365</v>
      </c>
      <c r="K1121" s="6" t="s">
        <v>4679</v>
      </c>
      <c r="L1121" s="2" t="s">
        <v>1335</v>
      </c>
      <c r="M1121" s="2" t="s">
        <v>1334</v>
      </c>
      <c r="N1121" s="9" t="s">
        <v>1336</v>
      </c>
      <c r="O1121" s="6" t="s">
        <v>256</v>
      </c>
      <c r="P1121" s="6" t="s">
        <v>98</v>
      </c>
      <c r="Q1121" s="6" t="s">
        <v>33</v>
      </c>
      <c r="R1121" s="6" t="s">
        <v>5357</v>
      </c>
    </row>
    <row r="1122" customFormat="false" ht="15" hidden="false" customHeight="false" outlineLevel="0" collapsed="false">
      <c r="A1122" s="6" t="s">
        <v>33</v>
      </c>
      <c r="B1122" s="6" t="s">
        <v>93</v>
      </c>
      <c r="C1122" s="6" t="s">
        <v>93</v>
      </c>
      <c r="D1122" s="6" t="s">
        <v>1337</v>
      </c>
      <c r="E1122" s="6" t="s">
        <v>1337</v>
      </c>
      <c r="F1122" s="6" t="s">
        <v>1337</v>
      </c>
      <c r="G1122" s="6" t="s">
        <v>239</v>
      </c>
      <c r="H1122" s="6" t="s">
        <v>287</v>
      </c>
      <c r="I1122" s="6" t="s">
        <v>4680</v>
      </c>
      <c r="J1122" s="6" t="s">
        <v>5365</v>
      </c>
      <c r="K1122" s="6" t="s">
        <v>4679</v>
      </c>
      <c r="L1122" s="2" t="s">
        <v>1339</v>
      </c>
      <c r="M1122" s="2" t="s">
        <v>1338</v>
      </c>
      <c r="N1122" s="6"/>
      <c r="O1122" s="6" t="s">
        <v>97</v>
      </c>
      <c r="P1122" s="6" t="s">
        <v>98</v>
      </c>
      <c r="Q1122" s="6" t="s">
        <v>33</v>
      </c>
      <c r="R1122" s="6" t="s">
        <v>5368</v>
      </c>
    </row>
    <row r="1123" customFormat="false" ht="15" hidden="false" customHeight="false" outlineLevel="0" collapsed="false">
      <c r="A1123" s="6" t="s">
        <v>33</v>
      </c>
      <c r="B1123" s="6" t="s">
        <v>93</v>
      </c>
      <c r="C1123" s="6" t="s">
        <v>93</v>
      </c>
      <c r="D1123" s="6" t="s">
        <v>1828</v>
      </c>
      <c r="E1123" s="6" t="s">
        <v>1828</v>
      </c>
      <c r="F1123" s="6" t="s">
        <v>1829</v>
      </c>
      <c r="G1123" s="6" t="s">
        <v>626</v>
      </c>
      <c r="H1123" s="6" t="s">
        <v>287</v>
      </c>
      <c r="I1123" s="6" t="s">
        <v>4680</v>
      </c>
      <c r="J1123" s="6" t="s">
        <v>5365</v>
      </c>
      <c r="K1123" s="6" t="s">
        <v>4679</v>
      </c>
      <c r="L1123" s="2" t="s">
        <v>1831</v>
      </c>
      <c r="M1123" s="2" t="s">
        <v>1830</v>
      </c>
      <c r="N1123" s="6"/>
      <c r="O1123" s="6" t="s">
        <v>97</v>
      </c>
      <c r="P1123" s="6" t="s">
        <v>98</v>
      </c>
      <c r="Q1123" s="6" t="s">
        <v>33</v>
      </c>
      <c r="R1123" s="6" t="s">
        <v>5368</v>
      </c>
    </row>
    <row r="1124" customFormat="false" ht="15" hidden="false" customHeight="false" outlineLevel="0" collapsed="false">
      <c r="A1124" s="6" t="s">
        <v>33</v>
      </c>
      <c r="B1124" s="6" t="s">
        <v>93</v>
      </c>
      <c r="C1124" s="6" t="s">
        <v>93</v>
      </c>
      <c r="D1124" s="6" t="s">
        <v>673</v>
      </c>
      <c r="E1124" s="6" t="s">
        <v>673</v>
      </c>
      <c r="F1124" s="6" t="s">
        <v>674</v>
      </c>
      <c r="G1124" s="6" t="s">
        <v>182</v>
      </c>
      <c r="H1124" s="6" t="s">
        <v>287</v>
      </c>
      <c r="I1124" s="6" t="s">
        <v>4680</v>
      </c>
      <c r="J1124" s="6" t="s">
        <v>5365</v>
      </c>
      <c r="K1124" s="6" t="s">
        <v>4679</v>
      </c>
      <c r="L1124" s="2" t="s">
        <v>676</v>
      </c>
      <c r="M1124" s="2" t="s">
        <v>675</v>
      </c>
      <c r="N1124" s="9" t="s">
        <v>677</v>
      </c>
      <c r="O1124" s="6" t="s">
        <v>178</v>
      </c>
      <c r="P1124" s="6" t="s">
        <v>98</v>
      </c>
      <c r="Q1124" s="6" t="s">
        <v>33</v>
      </c>
      <c r="R1124" s="6" t="s">
        <v>5368</v>
      </c>
    </row>
    <row r="1125" customFormat="false" ht="15" hidden="false" customHeight="false" outlineLevel="0" collapsed="false">
      <c r="A1125" s="6" t="s">
        <v>33</v>
      </c>
      <c r="B1125" s="6" t="s">
        <v>93</v>
      </c>
      <c r="C1125" s="6" t="s">
        <v>93</v>
      </c>
      <c r="D1125" s="6" t="s">
        <v>2371</v>
      </c>
      <c r="E1125" s="6" t="s">
        <v>2371</v>
      </c>
      <c r="F1125" s="6" t="s">
        <v>2372</v>
      </c>
      <c r="G1125" s="6" t="s">
        <v>1127</v>
      </c>
      <c r="H1125" s="6" t="s">
        <v>287</v>
      </c>
      <c r="I1125" s="6" t="s">
        <v>4680</v>
      </c>
      <c r="J1125" s="6" t="s">
        <v>5365</v>
      </c>
      <c r="K1125" s="6" t="s">
        <v>4679</v>
      </c>
      <c r="L1125" s="2" t="s">
        <v>2374</v>
      </c>
      <c r="M1125" s="2" t="s">
        <v>2373</v>
      </c>
      <c r="N1125" s="6"/>
      <c r="O1125" s="6" t="s">
        <v>97</v>
      </c>
      <c r="P1125" s="6" t="s">
        <v>98</v>
      </c>
      <c r="Q1125" s="6" t="s">
        <v>33</v>
      </c>
      <c r="R1125" s="6" t="s">
        <v>5368</v>
      </c>
    </row>
    <row r="1126" customFormat="false" ht="15" hidden="false" customHeight="false" outlineLevel="0" collapsed="false">
      <c r="A1126" s="6" t="s">
        <v>33</v>
      </c>
      <c r="B1126" s="6" t="s">
        <v>93</v>
      </c>
      <c r="C1126" s="6" t="s">
        <v>93</v>
      </c>
      <c r="D1126" s="6" t="s">
        <v>1832</v>
      </c>
      <c r="E1126" s="6" t="s">
        <v>1832</v>
      </c>
      <c r="F1126" s="6" t="s">
        <v>1833</v>
      </c>
      <c r="G1126" s="6" t="s">
        <v>182</v>
      </c>
      <c r="H1126" s="6" t="s">
        <v>287</v>
      </c>
      <c r="I1126" s="6" t="s">
        <v>4680</v>
      </c>
      <c r="J1126" s="6" t="s">
        <v>5365</v>
      </c>
      <c r="K1126" s="6" t="s">
        <v>4679</v>
      </c>
      <c r="L1126" s="2" t="s">
        <v>1835</v>
      </c>
      <c r="M1126" s="2" t="s">
        <v>1834</v>
      </c>
      <c r="N1126" s="6"/>
      <c r="O1126" s="6" t="s">
        <v>97</v>
      </c>
      <c r="P1126" s="6" t="s">
        <v>98</v>
      </c>
      <c r="Q1126" s="6" t="s">
        <v>33</v>
      </c>
      <c r="R1126" s="6" t="s">
        <v>5368</v>
      </c>
    </row>
    <row r="1127" customFormat="false" ht="23.85" hidden="false" customHeight="false" outlineLevel="0" collapsed="false">
      <c r="A1127" s="6" t="s">
        <v>33</v>
      </c>
      <c r="B1127" s="6" t="s">
        <v>93</v>
      </c>
      <c r="C1127" s="6" t="s">
        <v>93</v>
      </c>
      <c r="D1127" s="6" t="s">
        <v>2375</v>
      </c>
      <c r="E1127" s="6" t="s">
        <v>2375</v>
      </c>
      <c r="F1127" s="6" t="s">
        <v>2376</v>
      </c>
      <c r="G1127" s="6" t="s">
        <v>507</v>
      </c>
      <c r="H1127" s="6" t="s">
        <v>287</v>
      </c>
      <c r="I1127" s="6" t="s">
        <v>4684</v>
      </c>
      <c r="J1127" s="6" t="s">
        <v>5365</v>
      </c>
      <c r="K1127" s="6" t="s">
        <v>4679</v>
      </c>
      <c r="L1127" s="2" t="s">
        <v>2378</v>
      </c>
      <c r="M1127" s="2" t="s">
        <v>2377</v>
      </c>
      <c r="N1127" s="9" t="s">
        <v>2379</v>
      </c>
      <c r="O1127" s="6" t="s">
        <v>440</v>
      </c>
      <c r="P1127" s="6" t="s">
        <v>98</v>
      </c>
      <c r="Q1127" s="6" t="s">
        <v>33</v>
      </c>
      <c r="R1127" s="6" t="s">
        <v>5357</v>
      </c>
    </row>
    <row r="1128" customFormat="false" ht="15" hidden="false" customHeight="false" outlineLevel="0" collapsed="false">
      <c r="A1128" s="6" t="s">
        <v>33</v>
      </c>
      <c r="B1128" s="6" t="s">
        <v>93</v>
      </c>
      <c r="C1128" s="6" t="s">
        <v>93</v>
      </c>
      <c r="D1128" s="6" t="s">
        <v>358</v>
      </c>
      <c r="E1128" s="6" t="s">
        <v>358</v>
      </c>
      <c r="F1128" s="6" t="s">
        <v>359</v>
      </c>
      <c r="G1128" s="6" t="s">
        <v>1085</v>
      </c>
      <c r="H1128" s="6" t="s">
        <v>287</v>
      </c>
      <c r="I1128" s="6" t="s">
        <v>4680</v>
      </c>
      <c r="J1128" s="6" t="s">
        <v>5365</v>
      </c>
      <c r="K1128" s="6" t="s">
        <v>4679</v>
      </c>
      <c r="L1128" s="2" t="s">
        <v>363</v>
      </c>
      <c r="M1128" s="2" t="s">
        <v>4688</v>
      </c>
      <c r="N1128" s="9" t="s">
        <v>364</v>
      </c>
      <c r="O1128" s="6" t="s">
        <v>97</v>
      </c>
      <c r="P1128" s="6" t="s">
        <v>85</v>
      </c>
      <c r="Q1128" s="6" t="s">
        <v>93</v>
      </c>
      <c r="R1128" s="6" t="s">
        <v>5433</v>
      </c>
    </row>
    <row r="1129" customFormat="false" ht="15" hidden="false" customHeight="false" outlineLevel="0" collapsed="false">
      <c r="A1129" s="6" t="s">
        <v>33</v>
      </c>
      <c r="B1129" s="6" t="s">
        <v>93</v>
      </c>
      <c r="C1129" s="6" t="s">
        <v>93</v>
      </c>
      <c r="D1129" s="6" t="s">
        <v>1732</v>
      </c>
      <c r="E1129" s="6" t="s">
        <v>1732</v>
      </c>
      <c r="F1129" s="6" t="s">
        <v>1732</v>
      </c>
      <c r="G1129" s="6" t="s">
        <v>507</v>
      </c>
      <c r="H1129" s="6" t="s">
        <v>287</v>
      </c>
      <c r="I1129" s="6" t="s">
        <v>4680</v>
      </c>
      <c r="J1129" s="6" t="s">
        <v>5365</v>
      </c>
      <c r="K1129" s="6" t="s">
        <v>4679</v>
      </c>
      <c r="L1129" s="2" t="s">
        <v>1735</v>
      </c>
      <c r="M1129" s="2" t="s">
        <v>4778</v>
      </c>
      <c r="N1129" s="9" t="s">
        <v>1736</v>
      </c>
      <c r="O1129" s="6" t="s">
        <v>178</v>
      </c>
      <c r="P1129" s="6" t="s">
        <v>85</v>
      </c>
      <c r="Q1129" s="6" t="s">
        <v>93</v>
      </c>
      <c r="R1129" s="6" t="s">
        <v>5433</v>
      </c>
    </row>
    <row r="1130" customFormat="false" ht="15" hidden="false" customHeight="false" outlineLevel="0" collapsed="false">
      <c r="A1130" s="6" t="s">
        <v>33</v>
      </c>
      <c r="B1130" s="6" t="s">
        <v>93</v>
      </c>
      <c r="C1130" s="6" t="s">
        <v>93</v>
      </c>
      <c r="D1130" s="6" t="s">
        <v>1225</v>
      </c>
      <c r="E1130" s="6" t="s">
        <v>6272</v>
      </c>
      <c r="F1130" s="6" t="s">
        <v>645</v>
      </c>
      <c r="G1130" s="6" t="s">
        <v>164</v>
      </c>
      <c r="H1130" s="6" t="s">
        <v>287</v>
      </c>
      <c r="I1130" s="6" t="s">
        <v>4680</v>
      </c>
      <c r="J1130" s="6" t="s">
        <v>5365</v>
      </c>
      <c r="K1130" s="6" t="s">
        <v>4679</v>
      </c>
      <c r="L1130" s="2" t="s">
        <v>6273</v>
      </c>
      <c r="M1130" s="2"/>
      <c r="N1130" s="6"/>
      <c r="O1130" s="6" t="s">
        <v>97</v>
      </c>
      <c r="P1130" s="6" t="s">
        <v>98</v>
      </c>
      <c r="Q1130" s="6" t="s">
        <v>33</v>
      </c>
      <c r="R1130" s="6" t="s">
        <v>5368</v>
      </c>
    </row>
    <row r="1131" customFormat="false" ht="15" hidden="false" customHeight="false" outlineLevel="0" collapsed="false">
      <c r="A1131" s="6" t="s">
        <v>33</v>
      </c>
      <c r="B1131" s="6" t="s">
        <v>93</v>
      </c>
      <c r="C1131" s="6" t="s">
        <v>93</v>
      </c>
      <c r="D1131" s="6" t="s">
        <v>1340</v>
      </c>
      <c r="E1131" s="6" t="s">
        <v>1340</v>
      </c>
      <c r="F1131" s="6" t="s">
        <v>1340</v>
      </c>
      <c r="G1131" s="6" t="s">
        <v>76</v>
      </c>
      <c r="H1131" s="6" t="s">
        <v>287</v>
      </c>
      <c r="I1131" s="6" t="s">
        <v>4680</v>
      </c>
      <c r="J1131" s="6" t="s">
        <v>5365</v>
      </c>
      <c r="K1131" s="6" t="s">
        <v>4679</v>
      </c>
      <c r="L1131" s="2" t="s">
        <v>1342</v>
      </c>
      <c r="M1131" s="2" t="s">
        <v>1341</v>
      </c>
      <c r="N1131" s="6"/>
      <c r="O1131" s="6" t="s">
        <v>97</v>
      </c>
      <c r="P1131" s="6" t="s">
        <v>98</v>
      </c>
      <c r="Q1131" s="6" t="s">
        <v>33</v>
      </c>
      <c r="R1131" s="6" t="s">
        <v>5368</v>
      </c>
    </row>
    <row r="1132" customFormat="false" ht="15" hidden="false" customHeight="false" outlineLevel="0" collapsed="false">
      <c r="A1132" s="6" t="s">
        <v>33</v>
      </c>
      <c r="B1132" s="6" t="s">
        <v>93</v>
      </c>
      <c r="C1132" s="6" t="s">
        <v>93</v>
      </c>
      <c r="D1132" s="6" t="s">
        <v>685</v>
      </c>
      <c r="E1132" s="6" t="s">
        <v>685</v>
      </c>
      <c r="F1132" s="6" t="s">
        <v>3029</v>
      </c>
      <c r="G1132" s="6" t="s">
        <v>153</v>
      </c>
      <c r="H1132" s="6" t="s">
        <v>287</v>
      </c>
      <c r="I1132" s="6" t="s">
        <v>4680</v>
      </c>
      <c r="J1132" s="6" t="s">
        <v>5365</v>
      </c>
      <c r="K1132" s="6" t="s">
        <v>4679</v>
      </c>
      <c r="L1132" s="2" t="s">
        <v>689</v>
      </c>
      <c r="M1132" s="2" t="s">
        <v>4716</v>
      </c>
      <c r="N1132" s="9" t="s">
        <v>691</v>
      </c>
      <c r="O1132" s="6" t="s">
        <v>160</v>
      </c>
      <c r="P1132" s="6" t="s">
        <v>85</v>
      </c>
      <c r="Q1132" s="6" t="s">
        <v>93</v>
      </c>
      <c r="R1132" s="6" t="s">
        <v>5433</v>
      </c>
    </row>
    <row r="1133" customFormat="false" ht="23.85" hidden="false" customHeight="false" outlineLevel="0" collapsed="false">
      <c r="A1133" s="6" t="s">
        <v>33</v>
      </c>
      <c r="B1133" s="6" t="s">
        <v>93</v>
      </c>
      <c r="C1133" s="6" t="s">
        <v>93</v>
      </c>
      <c r="D1133" s="6" t="s">
        <v>366</v>
      </c>
      <c r="E1133" s="6" t="s">
        <v>367</v>
      </c>
      <c r="F1133" s="6" t="s">
        <v>367</v>
      </c>
      <c r="G1133" s="6" t="s">
        <v>118</v>
      </c>
      <c r="H1133" s="6" t="s">
        <v>287</v>
      </c>
      <c r="I1133" s="6" t="s">
        <v>4680</v>
      </c>
      <c r="J1133" s="6" t="s">
        <v>5365</v>
      </c>
      <c r="K1133" s="6" t="s">
        <v>4679</v>
      </c>
      <c r="L1133" s="2" t="s">
        <v>369</v>
      </c>
      <c r="M1133" s="2" t="s">
        <v>368</v>
      </c>
      <c r="N1133" s="9" t="s">
        <v>370</v>
      </c>
      <c r="O1133" s="6" t="s">
        <v>256</v>
      </c>
      <c r="P1133" s="6" t="s">
        <v>85</v>
      </c>
      <c r="Q1133" s="6" t="s">
        <v>93</v>
      </c>
      <c r="R1133" s="6" t="s">
        <v>5433</v>
      </c>
    </row>
    <row r="1134" customFormat="false" ht="23.85" hidden="false" customHeight="false" outlineLevel="0" collapsed="false">
      <c r="A1134" s="6" t="s">
        <v>33</v>
      </c>
      <c r="B1134" s="6" t="s">
        <v>93</v>
      </c>
      <c r="C1134" s="6" t="s">
        <v>93</v>
      </c>
      <c r="D1134" s="6" t="s">
        <v>1841</v>
      </c>
      <c r="E1134" s="6" t="s">
        <v>1841</v>
      </c>
      <c r="F1134" s="6" t="s">
        <v>429</v>
      </c>
      <c r="G1134" s="6" t="s">
        <v>182</v>
      </c>
      <c r="H1134" s="6" t="s">
        <v>287</v>
      </c>
      <c r="I1134" s="6" t="s">
        <v>4680</v>
      </c>
      <c r="J1134" s="6" t="s">
        <v>5365</v>
      </c>
      <c r="K1134" s="6" t="s">
        <v>4679</v>
      </c>
      <c r="L1134" s="2" t="s">
        <v>1843</v>
      </c>
      <c r="M1134" s="2" t="s">
        <v>1842</v>
      </c>
      <c r="N1134" s="9" t="s">
        <v>1844</v>
      </c>
      <c r="O1134" s="6" t="s">
        <v>967</v>
      </c>
      <c r="P1134" s="6" t="s">
        <v>98</v>
      </c>
      <c r="Q1134" s="6" t="s">
        <v>33</v>
      </c>
      <c r="R1134" s="6" t="s">
        <v>5368</v>
      </c>
    </row>
    <row r="1135" customFormat="false" ht="15" hidden="false" customHeight="false" outlineLevel="0" collapsed="false">
      <c r="A1135" s="6" t="s">
        <v>33</v>
      </c>
      <c r="B1135" s="6" t="s">
        <v>93</v>
      </c>
      <c r="C1135" s="6" t="s">
        <v>93</v>
      </c>
      <c r="D1135" s="6" t="s">
        <v>806</v>
      </c>
      <c r="E1135" s="6" t="s">
        <v>806</v>
      </c>
      <c r="F1135" s="6" t="s">
        <v>806</v>
      </c>
      <c r="G1135" s="6" t="s">
        <v>76</v>
      </c>
      <c r="H1135" s="6" t="s">
        <v>287</v>
      </c>
      <c r="I1135" s="6" t="s">
        <v>4680</v>
      </c>
      <c r="J1135" s="6" t="s">
        <v>5365</v>
      </c>
      <c r="K1135" s="6" t="s">
        <v>4679</v>
      </c>
      <c r="L1135" s="2" t="s">
        <v>808</v>
      </c>
      <c r="M1135" s="2" t="s">
        <v>807</v>
      </c>
      <c r="N1135" s="9" t="s">
        <v>809</v>
      </c>
      <c r="O1135" s="6" t="s">
        <v>97</v>
      </c>
      <c r="P1135" s="6" t="s">
        <v>106</v>
      </c>
      <c r="Q1135" s="6" t="s">
        <v>93</v>
      </c>
      <c r="R1135" s="6" t="s">
        <v>5433</v>
      </c>
    </row>
    <row r="1136" customFormat="false" ht="23.85" hidden="false" customHeight="false" outlineLevel="0" collapsed="false">
      <c r="A1136" s="6" t="s">
        <v>33</v>
      </c>
      <c r="B1136" s="6" t="s">
        <v>93</v>
      </c>
      <c r="C1136" s="6" t="s">
        <v>93</v>
      </c>
      <c r="D1136" s="6" t="s">
        <v>385</v>
      </c>
      <c r="E1136" s="6" t="s">
        <v>385</v>
      </c>
      <c r="F1136" s="6" t="s">
        <v>386</v>
      </c>
      <c r="G1136" s="6" t="s">
        <v>76</v>
      </c>
      <c r="H1136" s="6" t="s">
        <v>287</v>
      </c>
      <c r="I1136" s="6" t="s">
        <v>4680</v>
      </c>
      <c r="J1136" s="6" t="s">
        <v>5365</v>
      </c>
      <c r="K1136" s="6" t="s">
        <v>4679</v>
      </c>
      <c r="L1136" s="2" t="s">
        <v>388</v>
      </c>
      <c r="M1136" s="2" t="s">
        <v>387</v>
      </c>
      <c r="N1136" s="9" t="s">
        <v>390</v>
      </c>
      <c r="O1136" s="6" t="s">
        <v>389</v>
      </c>
      <c r="P1136" s="6" t="s">
        <v>98</v>
      </c>
      <c r="Q1136" s="6" t="s">
        <v>33</v>
      </c>
      <c r="R1136" s="6" t="s">
        <v>5368</v>
      </c>
    </row>
    <row r="1137" customFormat="false" ht="15" hidden="false" customHeight="false" outlineLevel="0" collapsed="false">
      <c r="A1137" s="6" t="s">
        <v>33</v>
      </c>
      <c r="B1137" s="6" t="s">
        <v>93</v>
      </c>
      <c r="C1137" s="6" t="s">
        <v>93</v>
      </c>
      <c r="D1137" s="6" t="s">
        <v>696</v>
      </c>
      <c r="E1137" s="6" t="s">
        <v>696</v>
      </c>
      <c r="F1137" s="6" t="s">
        <v>696</v>
      </c>
      <c r="G1137" s="6" t="s">
        <v>182</v>
      </c>
      <c r="H1137" s="6" t="s">
        <v>287</v>
      </c>
      <c r="I1137" s="6" t="s">
        <v>4680</v>
      </c>
      <c r="J1137" s="6" t="s">
        <v>5365</v>
      </c>
      <c r="K1137" s="6" t="s">
        <v>4679</v>
      </c>
      <c r="L1137" s="2" t="s">
        <v>698</v>
      </c>
      <c r="M1137" s="2" t="s">
        <v>697</v>
      </c>
      <c r="N1137" s="9" t="s">
        <v>699</v>
      </c>
      <c r="O1137" s="6" t="s">
        <v>178</v>
      </c>
      <c r="P1137" s="6" t="s">
        <v>85</v>
      </c>
      <c r="Q1137" s="6" t="s">
        <v>93</v>
      </c>
      <c r="R1137" s="6" t="s">
        <v>5433</v>
      </c>
    </row>
    <row r="1138" customFormat="false" ht="23.85" hidden="false" customHeight="false" outlineLevel="0" collapsed="false">
      <c r="A1138" s="6" t="s">
        <v>33</v>
      </c>
      <c r="B1138" s="6" t="s">
        <v>93</v>
      </c>
      <c r="C1138" s="6" t="s">
        <v>93</v>
      </c>
      <c r="D1138" s="6" t="s">
        <v>1845</v>
      </c>
      <c r="E1138" s="6" t="s">
        <v>6274</v>
      </c>
      <c r="F1138" s="6" t="s">
        <v>701</v>
      </c>
      <c r="G1138" s="6" t="s">
        <v>153</v>
      </c>
      <c r="H1138" s="6" t="s">
        <v>287</v>
      </c>
      <c r="I1138" s="6" t="s">
        <v>4684</v>
      </c>
      <c r="J1138" s="6" t="s">
        <v>5365</v>
      </c>
      <c r="K1138" s="6" t="s">
        <v>4679</v>
      </c>
      <c r="L1138" s="2" t="s">
        <v>6275</v>
      </c>
      <c r="M1138" s="2" t="s">
        <v>6276</v>
      </c>
      <c r="N1138" s="6"/>
      <c r="O1138" s="6" t="s">
        <v>97</v>
      </c>
      <c r="P1138" s="6" t="s">
        <v>98</v>
      </c>
      <c r="Q1138" s="6" t="s">
        <v>33</v>
      </c>
      <c r="R1138" s="6" t="s">
        <v>5357</v>
      </c>
    </row>
    <row r="1139" customFormat="false" ht="23.85" hidden="false" customHeight="false" outlineLevel="0" collapsed="false">
      <c r="A1139" s="6" t="s">
        <v>33</v>
      </c>
      <c r="B1139" s="6" t="s">
        <v>93</v>
      </c>
      <c r="C1139" s="6" t="s">
        <v>93</v>
      </c>
      <c r="D1139" s="6" t="s">
        <v>391</v>
      </c>
      <c r="E1139" s="6" t="s">
        <v>391</v>
      </c>
      <c r="F1139" s="6" t="s">
        <v>392</v>
      </c>
      <c r="G1139" s="6" t="s">
        <v>90</v>
      </c>
      <c r="H1139" s="6" t="s">
        <v>287</v>
      </c>
      <c r="I1139" s="6" t="s">
        <v>4684</v>
      </c>
      <c r="J1139" s="6" t="s">
        <v>5365</v>
      </c>
      <c r="K1139" s="6" t="s">
        <v>4679</v>
      </c>
      <c r="L1139" s="2" t="s">
        <v>6277</v>
      </c>
      <c r="M1139" s="2" t="s">
        <v>6278</v>
      </c>
      <c r="N1139" s="9" t="s">
        <v>6279</v>
      </c>
      <c r="O1139" s="6" t="s">
        <v>160</v>
      </c>
      <c r="P1139" s="6" t="s">
        <v>98</v>
      </c>
      <c r="Q1139" s="6" t="s">
        <v>33</v>
      </c>
      <c r="R1139" s="6" t="s">
        <v>5357</v>
      </c>
    </row>
    <row r="1140" customFormat="false" ht="15" hidden="false" customHeight="false" outlineLevel="0" collapsed="false">
      <c r="A1140" s="6" t="s">
        <v>33</v>
      </c>
      <c r="B1140" s="6" t="s">
        <v>93</v>
      </c>
      <c r="C1140" s="6" t="s">
        <v>93</v>
      </c>
      <c r="D1140" s="6" t="s">
        <v>414</v>
      </c>
      <c r="E1140" s="6" t="s">
        <v>414</v>
      </c>
      <c r="F1140" s="6" t="s">
        <v>134</v>
      </c>
      <c r="G1140" s="6" t="s">
        <v>76</v>
      </c>
      <c r="H1140" s="6" t="s">
        <v>287</v>
      </c>
      <c r="I1140" s="6" t="s">
        <v>4680</v>
      </c>
      <c r="J1140" s="6" t="s">
        <v>5365</v>
      </c>
      <c r="K1140" s="6" t="s">
        <v>4679</v>
      </c>
      <c r="L1140" s="2" t="s">
        <v>417</v>
      </c>
      <c r="M1140" s="2" t="s">
        <v>4742</v>
      </c>
      <c r="N1140" s="9" t="s">
        <v>418</v>
      </c>
      <c r="O1140" s="6" t="s">
        <v>256</v>
      </c>
      <c r="P1140" s="6" t="s">
        <v>85</v>
      </c>
      <c r="Q1140" s="6" t="s">
        <v>93</v>
      </c>
      <c r="R1140" s="6" t="s">
        <v>5433</v>
      </c>
    </row>
    <row r="1141" customFormat="false" ht="23.85" hidden="false" customHeight="false" outlineLevel="0" collapsed="false">
      <c r="A1141" s="6" t="s">
        <v>33</v>
      </c>
      <c r="B1141" s="6" t="s">
        <v>93</v>
      </c>
      <c r="C1141" s="6" t="s">
        <v>93</v>
      </c>
      <c r="D1141" s="6" t="s">
        <v>707</v>
      </c>
      <c r="E1141" s="6" t="s">
        <v>707</v>
      </c>
      <c r="F1141" s="6" t="s">
        <v>708</v>
      </c>
      <c r="G1141" s="6" t="s">
        <v>182</v>
      </c>
      <c r="H1141" s="6" t="s">
        <v>287</v>
      </c>
      <c r="I1141" s="6" t="s">
        <v>4680</v>
      </c>
      <c r="J1141" s="6" t="s">
        <v>5365</v>
      </c>
      <c r="K1141" s="6" t="s">
        <v>4679</v>
      </c>
      <c r="L1141" s="2" t="s">
        <v>710</v>
      </c>
      <c r="M1141" s="2" t="s">
        <v>709</v>
      </c>
      <c r="N1141" s="6"/>
      <c r="O1141" s="6" t="s">
        <v>97</v>
      </c>
      <c r="P1141" s="6" t="s">
        <v>98</v>
      </c>
      <c r="Q1141" s="6" t="s">
        <v>33</v>
      </c>
      <c r="R1141" s="6" t="s">
        <v>5368</v>
      </c>
    </row>
    <row r="1142" customFormat="false" ht="15" hidden="false" customHeight="false" outlineLevel="0" collapsed="false">
      <c r="A1142" s="6" t="s">
        <v>33</v>
      </c>
      <c r="B1142" s="6" t="s">
        <v>93</v>
      </c>
      <c r="C1142" s="6" t="s">
        <v>93</v>
      </c>
      <c r="D1142" s="6" t="s">
        <v>2091</v>
      </c>
      <c r="E1142" s="6" t="s">
        <v>2091</v>
      </c>
      <c r="F1142" s="6" t="s">
        <v>2091</v>
      </c>
      <c r="G1142" s="6" t="s">
        <v>239</v>
      </c>
      <c r="H1142" s="6" t="s">
        <v>287</v>
      </c>
      <c r="I1142" s="6" t="s">
        <v>4680</v>
      </c>
      <c r="J1142" s="6" t="s">
        <v>5365</v>
      </c>
      <c r="K1142" s="6" t="s">
        <v>4679</v>
      </c>
      <c r="L1142" s="2" t="s">
        <v>2094</v>
      </c>
      <c r="M1142" s="2" t="s">
        <v>6280</v>
      </c>
      <c r="N1142" s="6"/>
      <c r="O1142" s="6" t="s">
        <v>97</v>
      </c>
      <c r="P1142" s="6" t="s">
        <v>98</v>
      </c>
      <c r="Q1142" s="6" t="s">
        <v>33</v>
      </c>
      <c r="R1142" s="6" t="s">
        <v>5368</v>
      </c>
    </row>
    <row r="1143" customFormat="false" ht="23.85" hidden="false" customHeight="false" outlineLevel="0" collapsed="false">
      <c r="A1143" s="6" t="s">
        <v>33</v>
      </c>
      <c r="B1143" s="6" t="s">
        <v>93</v>
      </c>
      <c r="C1143" s="6" t="s">
        <v>93</v>
      </c>
      <c r="D1143" s="6" t="s">
        <v>420</v>
      </c>
      <c r="E1143" s="6" t="s">
        <v>420</v>
      </c>
      <c r="F1143" s="6" t="s">
        <v>6281</v>
      </c>
      <c r="G1143" s="6" t="s">
        <v>3000</v>
      </c>
      <c r="H1143" s="6" t="s">
        <v>287</v>
      </c>
      <c r="I1143" s="6" t="s">
        <v>4680</v>
      </c>
      <c r="J1143" s="6" t="s">
        <v>5365</v>
      </c>
      <c r="K1143" s="6" t="s">
        <v>4679</v>
      </c>
      <c r="L1143" s="2" t="s">
        <v>4690</v>
      </c>
      <c r="M1143" s="2" t="s">
        <v>4689</v>
      </c>
      <c r="N1143" s="9" t="s">
        <v>4691</v>
      </c>
      <c r="O1143" s="6" t="s">
        <v>97</v>
      </c>
      <c r="P1143" s="6" t="s">
        <v>85</v>
      </c>
      <c r="Q1143" s="6" t="s">
        <v>93</v>
      </c>
      <c r="R1143" s="6" t="s">
        <v>5433</v>
      </c>
    </row>
    <row r="1144" customFormat="false" ht="15" hidden="false" customHeight="false" outlineLevel="0" collapsed="false">
      <c r="A1144" s="6" t="s">
        <v>33</v>
      </c>
      <c r="B1144" s="6" t="s">
        <v>93</v>
      </c>
      <c r="C1144" s="6" t="s">
        <v>93</v>
      </c>
      <c r="D1144" s="6" t="s">
        <v>1861</v>
      </c>
      <c r="E1144" s="6" t="s">
        <v>1861</v>
      </c>
      <c r="F1144" s="6" t="s">
        <v>1861</v>
      </c>
      <c r="G1144" s="6" t="s">
        <v>182</v>
      </c>
      <c r="H1144" s="6" t="s">
        <v>287</v>
      </c>
      <c r="I1144" s="6" t="s">
        <v>4680</v>
      </c>
      <c r="J1144" s="6" t="s">
        <v>5365</v>
      </c>
      <c r="K1144" s="6" t="s">
        <v>4679</v>
      </c>
      <c r="L1144" s="2" t="s">
        <v>1863</v>
      </c>
      <c r="M1144" s="2" t="s">
        <v>1862</v>
      </c>
      <c r="N1144" s="6"/>
      <c r="O1144" s="6" t="s">
        <v>97</v>
      </c>
      <c r="P1144" s="6" t="s">
        <v>98</v>
      </c>
      <c r="Q1144" s="6" t="s">
        <v>33</v>
      </c>
      <c r="R1144" s="6" t="s">
        <v>5368</v>
      </c>
    </row>
    <row r="1145" customFormat="false" ht="15" hidden="false" customHeight="false" outlineLevel="0" collapsed="false">
      <c r="A1145" s="6" t="s">
        <v>33</v>
      </c>
      <c r="B1145" s="6" t="s">
        <v>93</v>
      </c>
      <c r="C1145" s="6" t="s">
        <v>93</v>
      </c>
      <c r="D1145" s="6" t="s">
        <v>836</v>
      </c>
      <c r="E1145" s="6" t="s">
        <v>836</v>
      </c>
      <c r="F1145" s="6" t="s">
        <v>836</v>
      </c>
      <c r="G1145" s="6" t="s">
        <v>239</v>
      </c>
      <c r="H1145" s="6" t="s">
        <v>287</v>
      </c>
      <c r="I1145" s="6" t="s">
        <v>4680</v>
      </c>
      <c r="J1145" s="6" t="s">
        <v>5365</v>
      </c>
      <c r="K1145" s="6" t="s">
        <v>4679</v>
      </c>
      <c r="L1145" s="2" t="s">
        <v>838</v>
      </c>
      <c r="M1145" s="2" t="s">
        <v>837</v>
      </c>
      <c r="N1145" s="9" t="s">
        <v>839</v>
      </c>
      <c r="O1145" s="6" t="s">
        <v>130</v>
      </c>
      <c r="P1145" s="6" t="s">
        <v>85</v>
      </c>
      <c r="Q1145" s="6" t="s">
        <v>93</v>
      </c>
      <c r="R1145" s="6" t="s">
        <v>5433</v>
      </c>
    </row>
    <row r="1146" customFormat="false" ht="15" hidden="false" customHeight="false" outlineLevel="0" collapsed="false">
      <c r="A1146" s="6" t="s">
        <v>33</v>
      </c>
      <c r="B1146" s="6" t="s">
        <v>93</v>
      </c>
      <c r="C1146" s="6" t="s">
        <v>93</v>
      </c>
      <c r="D1146" s="6" t="s">
        <v>1355</v>
      </c>
      <c r="E1146" s="6" t="s">
        <v>1355</v>
      </c>
      <c r="F1146" s="6" t="s">
        <v>1356</v>
      </c>
      <c r="G1146" s="6" t="s">
        <v>239</v>
      </c>
      <c r="H1146" s="6" t="s">
        <v>287</v>
      </c>
      <c r="I1146" s="6" t="s">
        <v>4680</v>
      </c>
      <c r="J1146" s="6" t="s">
        <v>5365</v>
      </c>
      <c r="K1146" s="6" t="s">
        <v>4679</v>
      </c>
      <c r="L1146" s="2" t="s">
        <v>1358</v>
      </c>
      <c r="M1146" s="2" t="s">
        <v>1357</v>
      </c>
      <c r="N1146" s="6"/>
      <c r="O1146" s="6" t="s">
        <v>97</v>
      </c>
      <c r="P1146" s="6" t="s">
        <v>98</v>
      </c>
      <c r="Q1146" s="6" t="s">
        <v>33</v>
      </c>
      <c r="R1146" s="6" t="s">
        <v>5368</v>
      </c>
    </row>
    <row r="1147" customFormat="false" ht="23.85" hidden="false" customHeight="false" outlineLevel="0" collapsed="false">
      <c r="A1147" s="6" t="s">
        <v>33</v>
      </c>
      <c r="B1147" s="6" t="s">
        <v>93</v>
      </c>
      <c r="C1147" s="6" t="s">
        <v>93</v>
      </c>
      <c r="D1147" s="6" t="s">
        <v>1864</v>
      </c>
      <c r="E1147" s="6" t="s">
        <v>1864</v>
      </c>
      <c r="F1147" s="6" t="s">
        <v>1865</v>
      </c>
      <c r="G1147" s="6" t="s">
        <v>626</v>
      </c>
      <c r="H1147" s="6" t="s">
        <v>287</v>
      </c>
      <c r="I1147" s="6" t="s">
        <v>4680</v>
      </c>
      <c r="J1147" s="6" t="s">
        <v>5365</v>
      </c>
      <c r="K1147" s="6" t="s">
        <v>4679</v>
      </c>
      <c r="L1147" s="2" t="s">
        <v>1867</v>
      </c>
      <c r="M1147" s="2" t="s">
        <v>1866</v>
      </c>
      <c r="N1147" s="9" t="s">
        <v>1868</v>
      </c>
      <c r="O1147" s="6" t="s">
        <v>461</v>
      </c>
      <c r="P1147" s="6" t="s">
        <v>98</v>
      </c>
      <c r="Q1147" s="6" t="s">
        <v>33</v>
      </c>
      <c r="R1147" s="6" t="s">
        <v>5368</v>
      </c>
    </row>
    <row r="1148" customFormat="false" ht="23.85" hidden="false" customHeight="false" outlineLevel="0" collapsed="false">
      <c r="A1148" s="6" t="s">
        <v>33</v>
      </c>
      <c r="B1148" s="6" t="s">
        <v>93</v>
      </c>
      <c r="C1148" s="6" t="s">
        <v>93</v>
      </c>
      <c r="D1148" s="6" t="s">
        <v>1233</v>
      </c>
      <c r="E1148" s="6" t="s">
        <v>1233</v>
      </c>
      <c r="F1148" s="6" t="s">
        <v>429</v>
      </c>
      <c r="G1148" s="6" t="s">
        <v>182</v>
      </c>
      <c r="H1148" s="6" t="s">
        <v>287</v>
      </c>
      <c r="I1148" s="6" t="s">
        <v>4680</v>
      </c>
      <c r="J1148" s="6" t="s">
        <v>5365</v>
      </c>
      <c r="K1148" s="6" t="s">
        <v>4679</v>
      </c>
      <c r="L1148" s="2" t="s">
        <v>6282</v>
      </c>
      <c r="M1148" s="2" t="s">
        <v>6283</v>
      </c>
      <c r="N1148" s="9" t="s">
        <v>1238</v>
      </c>
      <c r="O1148" s="6" t="s">
        <v>97</v>
      </c>
      <c r="P1148" s="6" t="s">
        <v>98</v>
      </c>
      <c r="Q1148" s="6" t="s">
        <v>33</v>
      </c>
      <c r="R1148" s="6" t="s">
        <v>5368</v>
      </c>
    </row>
    <row r="1149" customFormat="false" ht="23.85" hidden="false" customHeight="false" outlineLevel="0" collapsed="false">
      <c r="A1149" s="6" t="s">
        <v>33</v>
      </c>
      <c r="B1149" s="6" t="s">
        <v>93</v>
      </c>
      <c r="C1149" s="6" t="s">
        <v>93</v>
      </c>
      <c r="D1149" s="6" t="s">
        <v>428</v>
      </c>
      <c r="E1149" s="6" t="s">
        <v>428</v>
      </c>
      <c r="F1149" s="6" t="s">
        <v>429</v>
      </c>
      <c r="G1149" s="6" t="s">
        <v>239</v>
      </c>
      <c r="H1149" s="6" t="s">
        <v>287</v>
      </c>
      <c r="I1149" s="6" t="s">
        <v>4680</v>
      </c>
      <c r="J1149" s="6" t="s">
        <v>5365</v>
      </c>
      <c r="K1149" s="6" t="s">
        <v>4679</v>
      </c>
      <c r="L1149" s="2" t="s">
        <v>431</v>
      </c>
      <c r="M1149" s="2" t="s">
        <v>430</v>
      </c>
      <c r="N1149" s="9" t="s">
        <v>432</v>
      </c>
      <c r="O1149" s="6" t="s">
        <v>150</v>
      </c>
      <c r="P1149" s="6" t="s">
        <v>98</v>
      </c>
      <c r="Q1149" s="6" t="s">
        <v>33</v>
      </c>
      <c r="R1149" s="6" t="s">
        <v>5368</v>
      </c>
    </row>
    <row r="1150" customFormat="false" ht="15" hidden="false" customHeight="false" outlineLevel="0" collapsed="false">
      <c r="A1150" s="6" t="s">
        <v>33</v>
      </c>
      <c r="B1150" s="6" t="s">
        <v>93</v>
      </c>
      <c r="C1150" s="6" t="s">
        <v>93</v>
      </c>
      <c r="D1150" s="6" t="s">
        <v>2393</v>
      </c>
      <c r="E1150" s="6" t="s">
        <v>2393</v>
      </c>
      <c r="F1150" s="6" t="s">
        <v>2394</v>
      </c>
      <c r="G1150" s="6" t="s">
        <v>507</v>
      </c>
      <c r="H1150" s="6" t="s">
        <v>287</v>
      </c>
      <c r="I1150" s="6" t="s">
        <v>4676</v>
      </c>
      <c r="J1150" s="6" t="s">
        <v>5365</v>
      </c>
      <c r="K1150" s="6" t="s">
        <v>4679</v>
      </c>
      <c r="L1150" s="2" t="s">
        <v>285</v>
      </c>
      <c r="M1150" s="2" t="s">
        <v>2395</v>
      </c>
      <c r="N1150" s="6"/>
      <c r="O1150" s="6" t="s">
        <v>97</v>
      </c>
      <c r="P1150" s="6" t="s">
        <v>98</v>
      </c>
      <c r="Q1150" s="6" t="s">
        <v>33</v>
      </c>
      <c r="R1150" s="6" t="s">
        <v>5357</v>
      </c>
    </row>
    <row r="1151" customFormat="false" ht="15" hidden="false" customHeight="false" outlineLevel="0" collapsed="false">
      <c r="A1151" s="6" t="s">
        <v>33</v>
      </c>
      <c r="B1151" s="6" t="s">
        <v>93</v>
      </c>
      <c r="C1151" s="6" t="s">
        <v>93</v>
      </c>
      <c r="D1151" s="6" t="s">
        <v>433</v>
      </c>
      <c r="E1151" s="6" t="s">
        <v>433</v>
      </c>
      <c r="F1151" s="6" t="s">
        <v>433</v>
      </c>
      <c r="G1151" s="6" t="s">
        <v>118</v>
      </c>
      <c r="H1151" s="6" t="s">
        <v>287</v>
      </c>
      <c r="I1151" s="6" t="s">
        <v>4680</v>
      </c>
      <c r="J1151" s="6" t="s">
        <v>5365</v>
      </c>
      <c r="K1151" s="6" t="s">
        <v>4679</v>
      </c>
      <c r="L1151" s="2" t="s">
        <v>435</v>
      </c>
      <c r="M1151" s="2" t="s">
        <v>434</v>
      </c>
      <c r="N1151" s="9" t="s">
        <v>436</v>
      </c>
      <c r="O1151" s="6" t="s">
        <v>308</v>
      </c>
      <c r="P1151" s="6" t="s">
        <v>85</v>
      </c>
      <c r="Q1151" s="6" t="s">
        <v>93</v>
      </c>
      <c r="R1151" s="6" t="s">
        <v>5433</v>
      </c>
    </row>
    <row r="1152" customFormat="false" ht="15" hidden="false" customHeight="false" outlineLevel="0" collapsed="false">
      <c r="A1152" s="6" t="s">
        <v>33</v>
      </c>
      <c r="B1152" s="6" t="s">
        <v>93</v>
      </c>
      <c r="C1152" s="6" t="s">
        <v>93</v>
      </c>
      <c r="D1152" s="6" t="s">
        <v>1359</v>
      </c>
      <c r="E1152" s="6" t="s">
        <v>5956</v>
      </c>
      <c r="F1152" s="6" t="s">
        <v>1360</v>
      </c>
      <c r="G1152" s="6" t="s">
        <v>76</v>
      </c>
      <c r="H1152" s="6" t="s">
        <v>287</v>
      </c>
      <c r="I1152" s="6" t="s">
        <v>4680</v>
      </c>
      <c r="J1152" s="6" t="s">
        <v>5365</v>
      </c>
      <c r="K1152" s="6" t="s">
        <v>4679</v>
      </c>
      <c r="L1152" s="2" t="s">
        <v>6284</v>
      </c>
      <c r="M1152" s="2"/>
      <c r="N1152" s="6"/>
      <c r="O1152" s="6" t="s">
        <v>97</v>
      </c>
      <c r="P1152" s="6" t="s">
        <v>98</v>
      </c>
      <c r="Q1152" s="6" t="s">
        <v>33</v>
      </c>
      <c r="R1152" s="6" t="s">
        <v>5368</v>
      </c>
    </row>
    <row r="1153" customFormat="false" ht="23.85" hidden="false" customHeight="false" outlineLevel="0" collapsed="false">
      <c r="A1153" s="6" t="s">
        <v>33</v>
      </c>
      <c r="B1153" s="6" t="s">
        <v>93</v>
      </c>
      <c r="C1153" s="6" t="s">
        <v>93</v>
      </c>
      <c r="D1153" s="6" t="s">
        <v>711</v>
      </c>
      <c r="E1153" s="6" t="s">
        <v>711</v>
      </c>
      <c r="F1153" s="6" t="s">
        <v>708</v>
      </c>
      <c r="G1153" s="6" t="s">
        <v>626</v>
      </c>
      <c r="H1153" s="6" t="s">
        <v>287</v>
      </c>
      <c r="I1153" s="6" t="s">
        <v>4680</v>
      </c>
      <c r="J1153" s="6" t="s">
        <v>5365</v>
      </c>
      <c r="K1153" s="6" t="s">
        <v>4679</v>
      </c>
      <c r="L1153" s="2" t="s">
        <v>713</v>
      </c>
      <c r="M1153" s="2" t="s">
        <v>712</v>
      </c>
      <c r="N1153" s="9" t="s">
        <v>714</v>
      </c>
      <c r="O1153" s="6" t="s">
        <v>160</v>
      </c>
      <c r="P1153" s="6" t="s">
        <v>85</v>
      </c>
      <c r="Q1153" s="6" t="s">
        <v>93</v>
      </c>
      <c r="R1153" s="6" t="s">
        <v>5433</v>
      </c>
    </row>
    <row r="1154" customFormat="false" ht="15" hidden="false" customHeight="false" outlineLevel="0" collapsed="false">
      <c r="A1154" s="6" t="s">
        <v>33</v>
      </c>
      <c r="B1154" s="6" t="s">
        <v>93</v>
      </c>
      <c r="C1154" s="6" t="s">
        <v>93</v>
      </c>
      <c r="D1154" s="6" t="s">
        <v>2396</v>
      </c>
      <c r="E1154" s="6" t="s">
        <v>2396</v>
      </c>
      <c r="F1154" s="6" t="s">
        <v>2396</v>
      </c>
      <c r="G1154" s="6" t="s">
        <v>1127</v>
      </c>
      <c r="H1154" s="6" t="s">
        <v>287</v>
      </c>
      <c r="I1154" s="6" t="s">
        <v>4680</v>
      </c>
      <c r="J1154" s="6" t="s">
        <v>5365</v>
      </c>
      <c r="K1154" s="6" t="s">
        <v>4679</v>
      </c>
      <c r="L1154" s="2" t="s">
        <v>2397</v>
      </c>
      <c r="M1154" s="2"/>
      <c r="N1154" s="6"/>
      <c r="O1154" s="6" t="s">
        <v>97</v>
      </c>
      <c r="P1154" s="6" t="s">
        <v>98</v>
      </c>
      <c r="Q1154" s="6" t="s">
        <v>33</v>
      </c>
      <c r="R1154" s="6" t="s">
        <v>5368</v>
      </c>
    </row>
    <row r="1155" customFormat="false" ht="15" hidden="false" customHeight="false" outlineLevel="0" collapsed="false">
      <c r="A1155" s="6" t="s">
        <v>33</v>
      </c>
      <c r="B1155" s="6" t="s">
        <v>93</v>
      </c>
      <c r="C1155" s="6" t="s">
        <v>93</v>
      </c>
      <c r="D1155" s="6" t="s">
        <v>1366</v>
      </c>
      <c r="E1155" s="6" t="s">
        <v>1366</v>
      </c>
      <c r="F1155" s="6" t="s">
        <v>1367</v>
      </c>
      <c r="G1155" s="6" t="s">
        <v>76</v>
      </c>
      <c r="H1155" s="6" t="s">
        <v>287</v>
      </c>
      <c r="I1155" s="6" t="s">
        <v>4680</v>
      </c>
      <c r="J1155" s="6" t="s">
        <v>5365</v>
      </c>
      <c r="K1155" s="6" t="s">
        <v>4679</v>
      </c>
      <c r="L1155" s="2" t="s">
        <v>1369</v>
      </c>
      <c r="M1155" s="2" t="s">
        <v>1368</v>
      </c>
      <c r="N1155" s="6"/>
      <c r="O1155" s="6" t="s">
        <v>97</v>
      </c>
      <c r="P1155" s="6" t="s">
        <v>98</v>
      </c>
      <c r="Q1155" s="6" t="s">
        <v>33</v>
      </c>
      <c r="R1155" s="6" t="s">
        <v>5368</v>
      </c>
    </row>
    <row r="1156" customFormat="false" ht="23.85" hidden="false" customHeight="false" outlineLevel="0" collapsed="false">
      <c r="A1156" s="6" t="s">
        <v>33</v>
      </c>
      <c r="B1156" s="6" t="s">
        <v>93</v>
      </c>
      <c r="C1156" s="6" t="s">
        <v>93</v>
      </c>
      <c r="D1156" s="6" t="s">
        <v>645</v>
      </c>
      <c r="E1156" s="6" t="s">
        <v>645</v>
      </c>
      <c r="F1156" s="6" t="s">
        <v>715</v>
      </c>
      <c r="G1156" s="6" t="s">
        <v>164</v>
      </c>
      <c r="H1156" s="6" t="s">
        <v>287</v>
      </c>
      <c r="I1156" s="6" t="s">
        <v>4684</v>
      </c>
      <c r="J1156" s="6" t="s">
        <v>5365</v>
      </c>
      <c r="K1156" s="6" t="s">
        <v>4718</v>
      </c>
      <c r="L1156" s="2" t="s">
        <v>4836</v>
      </c>
      <c r="M1156" s="2" t="s">
        <v>4835</v>
      </c>
      <c r="N1156" s="9" t="s">
        <v>721</v>
      </c>
      <c r="O1156" s="6" t="s">
        <v>504</v>
      </c>
      <c r="P1156" s="6" t="s">
        <v>98</v>
      </c>
      <c r="Q1156" s="6" t="s">
        <v>93</v>
      </c>
      <c r="R1156" s="6" t="s">
        <v>5433</v>
      </c>
    </row>
    <row r="1157" customFormat="false" ht="23.85" hidden="false" customHeight="false" outlineLevel="0" collapsed="false">
      <c r="A1157" s="6" t="s">
        <v>33</v>
      </c>
      <c r="B1157" s="6" t="s">
        <v>93</v>
      </c>
      <c r="C1157" s="6" t="s">
        <v>93</v>
      </c>
      <c r="D1157" s="6" t="s">
        <v>1658</v>
      </c>
      <c r="E1157" s="6" t="s">
        <v>1658</v>
      </c>
      <c r="F1157" s="6" t="s">
        <v>1659</v>
      </c>
      <c r="G1157" s="6" t="s">
        <v>1583</v>
      </c>
      <c r="H1157" s="6" t="s">
        <v>287</v>
      </c>
      <c r="I1157" s="6" t="s">
        <v>4684</v>
      </c>
      <c r="J1157" s="6" t="s">
        <v>5365</v>
      </c>
      <c r="K1157" s="6" t="s">
        <v>4718</v>
      </c>
      <c r="L1157" s="2" t="s">
        <v>1662</v>
      </c>
      <c r="M1157" s="2" t="s">
        <v>4717</v>
      </c>
      <c r="N1157" s="9" t="s">
        <v>1664</v>
      </c>
      <c r="O1157" s="6" t="s">
        <v>160</v>
      </c>
      <c r="P1157" s="6" t="s">
        <v>85</v>
      </c>
      <c r="Q1157" s="6" t="s">
        <v>93</v>
      </c>
      <c r="R1157" s="6" t="s">
        <v>5433</v>
      </c>
    </row>
    <row r="1158" customFormat="false" ht="23.85" hidden="false" customHeight="false" outlineLevel="0" collapsed="false">
      <c r="A1158" s="6" t="s">
        <v>33</v>
      </c>
      <c r="B1158" s="6" t="s">
        <v>93</v>
      </c>
      <c r="C1158" s="6" t="s">
        <v>93</v>
      </c>
      <c r="D1158" s="6" t="s">
        <v>2116</v>
      </c>
      <c r="E1158" s="6" t="s">
        <v>2116</v>
      </c>
      <c r="F1158" s="6" t="s">
        <v>6285</v>
      </c>
      <c r="G1158" s="6" t="s">
        <v>76</v>
      </c>
      <c r="H1158" s="6" t="s">
        <v>287</v>
      </c>
      <c r="I1158" s="6" t="s">
        <v>4680</v>
      </c>
      <c r="J1158" s="6" t="s">
        <v>5365</v>
      </c>
      <c r="K1158" s="6" t="s">
        <v>4679</v>
      </c>
      <c r="L1158" s="2" t="s">
        <v>6286</v>
      </c>
      <c r="M1158" s="2" t="s">
        <v>6287</v>
      </c>
      <c r="N1158" s="9" t="s">
        <v>2122</v>
      </c>
      <c r="O1158" s="6" t="s">
        <v>178</v>
      </c>
      <c r="P1158" s="6" t="s">
        <v>98</v>
      </c>
      <c r="Q1158" s="6" t="s">
        <v>33</v>
      </c>
      <c r="R1158" s="6" t="s">
        <v>5368</v>
      </c>
    </row>
    <row r="1159" customFormat="false" ht="23.85" hidden="false" customHeight="false" outlineLevel="0" collapsed="false">
      <c r="A1159" s="6" t="s">
        <v>33</v>
      </c>
      <c r="B1159" s="6" t="s">
        <v>93</v>
      </c>
      <c r="C1159" s="6" t="s">
        <v>93</v>
      </c>
      <c r="D1159" s="6" t="s">
        <v>840</v>
      </c>
      <c r="E1159" s="6" t="s">
        <v>840</v>
      </c>
      <c r="F1159" s="6" t="s">
        <v>841</v>
      </c>
      <c r="G1159" s="6" t="s">
        <v>118</v>
      </c>
      <c r="H1159" s="6" t="s">
        <v>287</v>
      </c>
      <c r="I1159" s="6" t="s">
        <v>4684</v>
      </c>
      <c r="J1159" s="6" t="s">
        <v>5365</v>
      </c>
      <c r="K1159" s="6" t="s">
        <v>4679</v>
      </c>
      <c r="L1159" s="2" t="s">
        <v>6288</v>
      </c>
      <c r="M1159" s="2" t="s">
        <v>6289</v>
      </c>
      <c r="N1159" s="9" t="s">
        <v>846</v>
      </c>
      <c r="O1159" s="6" t="s">
        <v>160</v>
      </c>
      <c r="P1159" s="6" t="s">
        <v>98</v>
      </c>
      <c r="Q1159" s="6" t="s">
        <v>33</v>
      </c>
      <c r="R1159" s="6" t="s">
        <v>5357</v>
      </c>
    </row>
    <row r="1160" customFormat="false" ht="23.85" hidden="false" customHeight="false" outlineLevel="0" collapsed="false">
      <c r="A1160" s="6" t="s">
        <v>33</v>
      </c>
      <c r="B1160" s="6" t="s">
        <v>93</v>
      </c>
      <c r="C1160" s="6" t="s">
        <v>93</v>
      </c>
      <c r="D1160" s="6" t="s">
        <v>1239</v>
      </c>
      <c r="E1160" s="6" t="s">
        <v>1239</v>
      </c>
      <c r="F1160" s="6" t="s">
        <v>6290</v>
      </c>
      <c r="G1160" s="6" t="s">
        <v>626</v>
      </c>
      <c r="H1160" s="6" t="s">
        <v>287</v>
      </c>
      <c r="I1160" s="6" t="s">
        <v>4680</v>
      </c>
      <c r="J1160" s="6" t="s">
        <v>5365</v>
      </c>
      <c r="K1160" s="6" t="s">
        <v>4679</v>
      </c>
      <c r="L1160" s="2" t="s">
        <v>6291</v>
      </c>
      <c r="M1160" s="2" t="s">
        <v>6292</v>
      </c>
      <c r="N1160" s="9" t="s">
        <v>1245</v>
      </c>
      <c r="O1160" s="6" t="s">
        <v>308</v>
      </c>
      <c r="P1160" s="6" t="s">
        <v>98</v>
      </c>
      <c r="Q1160" s="6" t="s">
        <v>33</v>
      </c>
      <c r="R1160" s="6" t="s">
        <v>5368</v>
      </c>
    </row>
    <row r="1161" customFormat="false" ht="23.85" hidden="false" customHeight="false" outlineLevel="0" collapsed="false">
      <c r="A1161" s="6" t="s">
        <v>33</v>
      </c>
      <c r="B1161" s="6" t="s">
        <v>93</v>
      </c>
      <c r="C1161" s="6" t="s">
        <v>93</v>
      </c>
      <c r="D1161" s="6" t="s">
        <v>451</v>
      </c>
      <c r="E1161" s="6" t="s">
        <v>451</v>
      </c>
      <c r="F1161" s="6" t="s">
        <v>452</v>
      </c>
      <c r="G1161" s="6" t="s">
        <v>90</v>
      </c>
      <c r="H1161" s="6" t="s">
        <v>287</v>
      </c>
      <c r="I1161" s="6" t="s">
        <v>4680</v>
      </c>
      <c r="J1161" s="6" t="s">
        <v>5365</v>
      </c>
      <c r="K1161" s="6" t="s">
        <v>4679</v>
      </c>
      <c r="L1161" s="2" t="s">
        <v>455</v>
      </c>
      <c r="M1161" s="2" t="s">
        <v>454</v>
      </c>
      <c r="N1161" s="9" t="s">
        <v>456</v>
      </c>
      <c r="O1161" s="6" t="s">
        <v>178</v>
      </c>
      <c r="P1161" s="6" t="s">
        <v>98</v>
      </c>
      <c r="Q1161" s="6" t="s">
        <v>33</v>
      </c>
      <c r="R1161" s="6" t="s">
        <v>5357</v>
      </c>
    </row>
    <row r="1162" customFormat="false" ht="23.85" hidden="false" customHeight="false" outlineLevel="0" collapsed="false">
      <c r="A1162" s="6" t="s">
        <v>33</v>
      </c>
      <c r="B1162" s="6" t="s">
        <v>93</v>
      </c>
      <c r="C1162" s="6" t="s">
        <v>93</v>
      </c>
      <c r="D1162" s="6" t="s">
        <v>462</v>
      </c>
      <c r="E1162" s="6" t="s">
        <v>462</v>
      </c>
      <c r="F1162" s="6" t="s">
        <v>457</v>
      </c>
      <c r="G1162" s="6" t="s">
        <v>239</v>
      </c>
      <c r="H1162" s="6" t="s">
        <v>287</v>
      </c>
      <c r="I1162" s="6" t="s">
        <v>4680</v>
      </c>
      <c r="J1162" s="6" t="s">
        <v>5365</v>
      </c>
      <c r="K1162" s="6" t="s">
        <v>4679</v>
      </c>
      <c r="L1162" s="2" t="s">
        <v>464</v>
      </c>
      <c r="M1162" s="2" t="s">
        <v>463</v>
      </c>
      <c r="N1162" s="9" t="s">
        <v>465</v>
      </c>
      <c r="O1162" s="6" t="s">
        <v>97</v>
      </c>
      <c r="P1162" s="6" t="s">
        <v>85</v>
      </c>
      <c r="Q1162" s="6" t="s">
        <v>93</v>
      </c>
      <c r="R1162" s="6" t="s">
        <v>5433</v>
      </c>
    </row>
    <row r="1163" customFormat="false" ht="23.85" hidden="false" customHeight="false" outlineLevel="0" collapsed="false">
      <c r="A1163" s="6" t="s">
        <v>33</v>
      </c>
      <c r="B1163" s="6" t="s">
        <v>93</v>
      </c>
      <c r="C1163" s="6" t="s">
        <v>93</v>
      </c>
      <c r="D1163" s="6" t="s">
        <v>1370</v>
      </c>
      <c r="E1163" s="6" t="s">
        <v>1370</v>
      </c>
      <c r="F1163" s="6" t="s">
        <v>1371</v>
      </c>
      <c r="G1163" s="6" t="s">
        <v>118</v>
      </c>
      <c r="H1163" s="6" t="s">
        <v>287</v>
      </c>
      <c r="I1163" s="6" t="s">
        <v>4680</v>
      </c>
      <c r="J1163" s="6" t="s">
        <v>5365</v>
      </c>
      <c r="K1163" s="6" t="s">
        <v>4679</v>
      </c>
      <c r="L1163" s="2" t="s">
        <v>1373</v>
      </c>
      <c r="M1163" s="2" t="s">
        <v>1372</v>
      </c>
      <c r="N1163" s="9" t="s">
        <v>1374</v>
      </c>
      <c r="O1163" s="6" t="s">
        <v>256</v>
      </c>
      <c r="P1163" s="6" t="s">
        <v>85</v>
      </c>
      <c r="Q1163" s="6" t="s">
        <v>93</v>
      </c>
      <c r="R1163" s="6" t="s">
        <v>5433</v>
      </c>
    </row>
    <row r="1164" customFormat="false" ht="15" hidden="false" customHeight="false" outlineLevel="0" collapsed="false">
      <c r="A1164" s="6" t="s">
        <v>33</v>
      </c>
      <c r="B1164" s="6" t="s">
        <v>93</v>
      </c>
      <c r="C1164" s="6" t="s">
        <v>93</v>
      </c>
      <c r="D1164" s="6" t="s">
        <v>1142</v>
      </c>
      <c r="E1164" s="6" t="s">
        <v>1142</v>
      </c>
      <c r="F1164" s="6" t="s">
        <v>1142</v>
      </c>
      <c r="G1164" s="6" t="s">
        <v>507</v>
      </c>
      <c r="H1164" s="6" t="s">
        <v>287</v>
      </c>
      <c r="I1164" s="6" t="s">
        <v>4680</v>
      </c>
      <c r="J1164" s="6" t="s">
        <v>5365</v>
      </c>
      <c r="K1164" s="6" t="s">
        <v>4679</v>
      </c>
      <c r="L1164" s="2" t="s">
        <v>1144</v>
      </c>
      <c r="M1164" s="2" t="s">
        <v>1143</v>
      </c>
      <c r="N1164" s="9" t="s">
        <v>1145</v>
      </c>
      <c r="O1164" s="6" t="s">
        <v>178</v>
      </c>
      <c r="P1164" s="6" t="s">
        <v>85</v>
      </c>
      <c r="Q1164" s="6" t="s">
        <v>93</v>
      </c>
      <c r="R1164" s="6" t="s">
        <v>5433</v>
      </c>
    </row>
    <row r="1165" customFormat="false" ht="15" hidden="false" customHeight="false" outlineLevel="0" collapsed="false">
      <c r="A1165" s="6" t="s">
        <v>33</v>
      </c>
      <c r="B1165" s="6" t="s">
        <v>93</v>
      </c>
      <c r="C1165" s="6" t="s">
        <v>93</v>
      </c>
      <c r="D1165" s="6" t="s">
        <v>1375</v>
      </c>
      <c r="E1165" s="6" t="s">
        <v>1375</v>
      </c>
      <c r="F1165" s="6" t="s">
        <v>263</v>
      </c>
      <c r="G1165" s="6" t="s">
        <v>76</v>
      </c>
      <c r="H1165" s="6" t="s">
        <v>287</v>
      </c>
      <c r="I1165" s="6" t="s">
        <v>4680</v>
      </c>
      <c r="J1165" s="6" t="s">
        <v>5365</v>
      </c>
      <c r="K1165" s="6" t="s">
        <v>4679</v>
      </c>
      <c r="L1165" s="2" t="s">
        <v>6293</v>
      </c>
      <c r="M1165" s="2" t="s">
        <v>6294</v>
      </c>
      <c r="N1165" s="6"/>
      <c r="O1165" s="6" t="s">
        <v>97</v>
      </c>
      <c r="P1165" s="6" t="s">
        <v>98</v>
      </c>
      <c r="Q1165" s="6" t="s">
        <v>33</v>
      </c>
      <c r="R1165" s="6" t="s">
        <v>5368</v>
      </c>
    </row>
    <row r="1166" customFormat="false" ht="23.85" hidden="false" customHeight="false" outlineLevel="0" collapsed="false">
      <c r="A1166" s="6" t="s">
        <v>33</v>
      </c>
      <c r="B1166" s="6" t="s">
        <v>93</v>
      </c>
      <c r="C1166" s="6" t="s">
        <v>93</v>
      </c>
      <c r="D1166" s="6" t="s">
        <v>1246</v>
      </c>
      <c r="E1166" s="6" t="s">
        <v>1246</v>
      </c>
      <c r="F1166" s="6" t="s">
        <v>663</v>
      </c>
      <c r="G1166" s="6" t="s">
        <v>153</v>
      </c>
      <c r="H1166" s="6" t="s">
        <v>287</v>
      </c>
      <c r="I1166" s="6" t="s">
        <v>4684</v>
      </c>
      <c r="J1166" s="6" t="s">
        <v>5365</v>
      </c>
      <c r="K1166" s="6" t="s">
        <v>4679</v>
      </c>
      <c r="L1166" s="2" t="s">
        <v>1248</v>
      </c>
      <c r="M1166" s="2" t="s">
        <v>1247</v>
      </c>
      <c r="N1166" s="9" t="s">
        <v>1249</v>
      </c>
      <c r="O1166" s="6" t="s">
        <v>143</v>
      </c>
      <c r="P1166" s="6" t="s">
        <v>98</v>
      </c>
      <c r="Q1166" s="6" t="s">
        <v>33</v>
      </c>
      <c r="R1166" s="6" t="s">
        <v>5357</v>
      </c>
    </row>
    <row r="1167" customFormat="false" ht="15" hidden="false" customHeight="false" outlineLevel="0" collapsed="false">
      <c r="A1167" s="6" t="s">
        <v>33</v>
      </c>
      <c r="B1167" s="6" t="s">
        <v>93</v>
      </c>
      <c r="C1167" s="6" t="s">
        <v>93</v>
      </c>
      <c r="D1167" s="6" t="s">
        <v>3441</v>
      </c>
      <c r="E1167" s="6" t="s">
        <v>6295</v>
      </c>
      <c r="F1167" s="6" t="s">
        <v>3442</v>
      </c>
      <c r="G1167" s="6" t="s">
        <v>1583</v>
      </c>
      <c r="H1167" s="6" t="s">
        <v>287</v>
      </c>
      <c r="I1167" s="6" t="s">
        <v>4680</v>
      </c>
      <c r="J1167" s="6" t="s">
        <v>5365</v>
      </c>
      <c r="K1167" s="6" t="s">
        <v>4679</v>
      </c>
      <c r="L1167" s="2" t="s">
        <v>4780</v>
      </c>
      <c r="M1167" s="2" t="s">
        <v>4779</v>
      </c>
      <c r="N1167" s="9" t="s">
        <v>3448</v>
      </c>
      <c r="O1167" s="6" t="s">
        <v>178</v>
      </c>
      <c r="P1167" s="6" t="s">
        <v>85</v>
      </c>
      <c r="Q1167" s="6" t="s">
        <v>93</v>
      </c>
      <c r="R1167" s="6" t="s">
        <v>5433</v>
      </c>
    </row>
    <row r="1168" customFormat="false" ht="23.85" hidden="false" customHeight="false" outlineLevel="0" collapsed="false">
      <c r="A1168" s="6" t="s">
        <v>33</v>
      </c>
      <c r="B1168" s="6" t="s">
        <v>93</v>
      </c>
      <c r="C1168" s="6" t="s">
        <v>93</v>
      </c>
      <c r="D1168" s="6" t="s">
        <v>1381</v>
      </c>
      <c r="E1168" s="6" t="s">
        <v>1381</v>
      </c>
      <c r="F1168" s="6" t="s">
        <v>1381</v>
      </c>
      <c r="G1168" s="6" t="s">
        <v>118</v>
      </c>
      <c r="H1168" s="6" t="s">
        <v>287</v>
      </c>
      <c r="I1168" s="6" t="s">
        <v>4684</v>
      </c>
      <c r="J1168" s="6" t="s">
        <v>5365</v>
      </c>
      <c r="K1168" s="6" t="s">
        <v>4679</v>
      </c>
      <c r="L1168" s="2" t="s">
        <v>1383</v>
      </c>
      <c r="M1168" s="2" t="s">
        <v>1382</v>
      </c>
      <c r="N1168" s="9" t="s">
        <v>1384</v>
      </c>
      <c r="O1168" s="6" t="s">
        <v>97</v>
      </c>
      <c r="P1168" s="6" t="s">
        <v>98</v>
      </c>
      <c r="Q1168" s="6" t="s">
        <v>33</v>
      </c>
      <c r="R1168" s="6" t="s">
        <v>5357</v>
      </c>
    </row>
    <row r="1169" customFormat="false" ht="23.85" hidden="false" customHeight="false" outlineLevel="0" collapsed="false">
      <c r="A1169" s="6" t="s">
        <v>33</v>
      </c>
      <c r="B1169" s="6" t="s">
        <v>93</v>
      </c>
      <c r="C1169" s="6" t="s">
        <v>93</v>
      </c>
      <c r="D1169" s="6" t="s">
        <v>1672</v>
      </c>
      <c r="E1169" s="6" t="s">
        <v>1672</v>
      </c>
      <c r="F1169" s="6" t="s">
        <v>1673</v>
      </c>
      <c r="G1169" s="6" t="s">
        <v>1215</v>
      </c>
      <c r="H1169" s="6" t="s">
        <v>287</v>
      </c>
      <c r="I1169" s="6" t="s">
        <v>4697</v>
      </c>
      <c r="J1169" s="6" t="s">
        <v>5365</v>
      </c>
      <c r="K1169" s="6" t="s">
        <v>4718</v>
      </c>
      <c r="L1169" s="2" t="s">
        <v>1677</v>
      </c>
      <c r="M1169" s="2" t="s">
        <v>1676</v>
      </c>
      <c r="N1169" s="9" t="s">
        <v>1678</v>
      </c>
      <c r="O1169" s="6" t="s">
        <v>308</v>
      </c>
      <c r="P1169" s="6" t="s">
        <v>85</v>
      </c>
      <c r="Q1169" s="6" t="s">
        <v>93</v>
      </c>
      <c r="R1169" s="6" t="s">
        <v>5433</v>
      </c>
    </row>
    <row r="1170" customFormat="false" ht="23.85" hidden="false" customHeight="false" outlineLevel="0" collapsed="false">
      <c r="A1170" s="6" t="s">
        <v>33</v>
      </c>
      <c r="B1170" s="6" t="s">
        <v>93</v>
      </c>
      <c r="C1170" s="6" t="s">
        <v>93</v>
      </c>
      <c r="D1170" s="6" t="s">
        <v>1392</v>
      </c>
      <c r="E1170" s="6" t="s">
        <v>1392</v>
      </c>
      <c r="F1170" s="6" t="s">
        <v>467</v>
      </c>
      <c r="G1170" s="6" t="s">
        <v>76</v>
      </c>
      <c r="H1170" s="6" t="s">
        <v>287</v>
      </c>
      <c r="I1170" s="6" t="s">
        <v>4680</v>
      </c>
      <c r="J1170" s="6" t="s">
        <v>5365</v>
      </c>
      <c r="K1170" s="6" t="s">
        <v>4679</v>
      </c>
      <c r="L1170" s="2" t="s">
        <v>1394</v>
      </c>
      <c r="M1170" s="2" t="s">
        <v>1393</v>
      </c>
      <c r="N1170" s="9" t="s">
        <v>1395</v>
      </c>
      <c r="O1170" s="6" t="s">
        <v>97</v>
      </c>
      <c r="P1170" s="6" t="s">
        <v>98</v>
      </c>
      <c r="Q1170" s="6" t="s">
        <v>33</v>
      </c>
      <c r="R1170" s="6" t="s">
        <v>5368</v>
      </c>
    </row>
    <row r="1171" customFormat="false" ht="23.85" hidden="false" customHeight="false" outlineLevel="0" collapsed="false">
      <c r="A1171" s="6" t="s">
        <v>33</v>
      </c>
      <c r="B1171" s="6" t="s">
        <v>93</v>
      </c>
      <c r="C1171" s="6" t="s">
        <v>93</v>
      </c>
      <c r="D1171" s="6" t="s">
        <v>847</v>
      </c>
      <c r="E1171" s="6" t="s">
        <v>847</v>
      </c>
      <c r="F1171" s="6" t="s">
        <v>848</v>
      </c>
      <c r="G1171" s="6" t="s">
        <v>118</v>
      </c>
      <c r="H1171" s="6" t="s">
        <v>287</v>
      </c>
      <c r="I1171" s="6" t="s">
        <v>4680</v>
      </c>
      <c r="J1171" s="6" t="s">
        <v>5365</v>
      </c>
      <c r="K1171" s="6" t="s">
        <v>4679</v>
      </c>
      <c r="L1171" s="2" t="s">
        <v>850</v>
      </c>
      <c r="M1171" s="2" t="s">
        <v>849</v>
      </c>
      <c r="N1171" s="9" t="s">
        <v>851</v>
      </c>
      <c r="O1171" s="6" t="s">
        <v>389</v>
      </c>
      <c r="P1171" s="6" t="s">
        <v>98</v>
      </c>
      <c r="Q1171" s="6" t="s">
        <v>33</v>
      </c>
      <c r="R1171" s="6" t="s">
        <v>5357</v>
      </c>
    </row>
    <row r="1172" customFormat="false" ht="15" hidden="false" customHeight="false" outlineLevel="0" collapsed="false">
      <c r="A1172" s="6" t="s">
        <v>33</v>
      </c>
      <c r="B1172" s="6" t="s">
        <v>93</v>
      </c>
      <c r="C1172" s="6" t="s">
        <v>93</v>
      </c>
      <c r="D1172" s="6" t="s">
        <v>1250</v>
      </c>
      <c r="E1172" s="6" t="s">
        <v>1250</v>
      </c>
      <c r="F1172" s="6" t="s">
        <v>1251</v>
      </c>
      <c r="G1172" s="6" t="s">
        <v>626</v>
      </c>
      <c r="H1172" s="6" t="s">
        <v>287</v>
      </c>
      <c r="I1172" s="6" t="s">
        <v>4680</v>
      </c>
      <c r="J1172" s="6" t="s">
        <v>5365</v>
      </c>
      <c r="K1172" s="6" t="s">
        <v>4679</v>
      </c>
      <c r="L1172" s="2" t="s">
        <v>1253</v>
      </c>
      <c r="M1172" s="2" t="s">
        <v>1252</v>
      </c>
      <c r="N1172" s="6"/>
      <c r="O1172" s="6" t="s">
        <v>97</v>
      </c>
      <c r="P1172" s="6" t="s">
        <v>98</v>
      </c>
      <c r="Q1172" s="6" t="s">
        <v>33</v>
      </c>
      <c r="R1172" s="6" t="s">
        <v>5368</v>
      </c>
    </row>
    <row r="1173" customFormat="false" ht="23.85" hidden="false" customHeight="false" outlineLevel="0" collapsed="false">
      <c r="A1173" s="6" t="s">
        <v>33</v>
      </c>
      <c r="B1173" s="6" t="s">
        <v>93</v>
      </c>
      <c r="C1173" s="6" t="s">
        <v>93</v>
      </c>
      <c r="D1173" s="6" t="s">
        <v>741</v>
      </c>
      <c r="E1173" s="6" t="s">
        <v>742</v>
      </c>
      <c r="F1173" s="6" t="s">
        <v>5605</v>
      </c>
      <c r="G1173" s="6" t="s">
        <v>153</v>
      </c>
      <c r="H1173" s="6" t="s">
        <v>287</v>
      </c>
      <c r="I1173" s="6" t="s">
        <v>4680</v>
      </c>
      <c r="J1173" s="6" t="s">
        <v>5365</v>
      </c>
      <c r="K1173" s="6" t="s">
        <v>4679</v>
      </c>
      <c r="L1173" s="2" t="s">
        <v>4744</v>
      </c>
      <c r="M1173" s="2" t="s">
        <v>4743</v>
      </c>
      <c r="N1173" s="9" t="s">
        <v>4745</v>
      </c>
      <c r="O1173" s="6" t="s">
        <v>256</v>
      </c>
      <c r="P1173" s="6" t="s">
        <v>106</v>
      </c>
      <c r="Q1173" s="6" t="s">
        <v>93</v>
      </c>
      <c r="R1173" s="6" t="s">
        <v>5433</v>
      </c>
    </row>
    <row r="1174" customFormat="false" ht="15" hidden="false" customHeight="false" outlineLevel="0" collapsed="false">
      <c r="A1174" s="6" t="s">
        <v>33</v>
      </c>
      <c r="B1174" s="6" t="s">
        <v>93</v>
      </c>
      <c r="C1174" s="6" t="s">
        <v>93</v>
      </c>
      <c r="D1174" s="6" t="s">
        <v>1404</v>
      </c>
      <c r="E1174" s="6" t="s">
        <v>1404</v>
      </c>
      <c r="F1174" s="6" t="s">
        <v>1404</v>
      </c>
      <c r="G1174" s="6" t="s">
        <v>118</v>
      </c>
      <c r="H1174" s="6" t="s">
        <v>287</v>
      </c>
      <c r="I1174" s="6" t="s">
        <v>4680</v>
      </c>
      <c r="J1174" s="6" t="s">
        <v>5365</v>
      </c>
      <c r="K1174" s="6" t="s">
        <v>4679</v>
      </c>
      <c r="L1174" s="2" t="s">
        <v>285</v>
      </c>
      <c r="M1174" s="2" t="s">
        <v>1405</v>
      </c>
      <c r="N1174" s="6"/>
      <c r="O1174" s="6" t="s">
        <v>97</v>
      </c>
      <c r="P1174" s="6" t="s">
        <v>98</v>
      </c>
      <c r="Q1174" s="6" t="s">
        <v>33</v>
      </c>
      <c r="R1174" s="6" t="s">
        <v>5357</v>
      </c>
    </row>
    <row r="1175" customFormat="false" ht="15" hidden="false" customHeight="false" outlineLevel="0" collapsed="false">
      <c r="A1175" s="6" t="s">
        <v>33</v>
      </c>
      <c r="B1175" s="6" t="s">
        <v>93</v>
      </c>
      <c r="C1175" s="6" t="s">
        <v>93</v>
      </c>
      <c r="D1175" s="6" t="s">
        <v>1146</v>
      </c>
      <c r="E1175" s="6" t="s">
        <v>6296</v>
      </c>
      <c r="F1175" s="6" t="s">
        <v>1147</v>
      </c>
      <c r="G1175" s="6" t="s">
        <v>507</v>
      </c>
      <c r="H1175" s="6" t="s">
        <v>287</v>
      </c>
      <c r="I1175" s="6" t="s">
        <v>4680</v>
      </c>
      <c r="J1175" s="6" t="s">
        <v>5365</v>
      </c>
      <c r="K1175" s="6" t="s">
        <v>4679</v>
      </c>
      <c r="L1175" s="2" t="s">
        <v>1149</v>
      </c>
      <c r="M1175" s="2" t="s">
        <v>4781</v>
      </c>
      <c r="N1175" s="9" t="s">
        <v>1150</v>
      </c>
      <c r="O1175" s="6" t="s">
        <v>178</v>
      </c>
      <c r="P1175" s="6" t="s">
        <v>85</v>
      </c>
      <c r="Q1175" s="6" t="s">
        <v>93</v>
      </c>
      <c r="R1175" s="6" t="s">
        <v>5433</v>
      </c>
    </row>
    <row r="1176" customFormat="false" ht="15" hidden="false" customHeight="false" outlineLevel="0" collapsed="false">
      <c r="A1176" s="6" t="s">
        <v>33</v>
      </c>
      <c r="B1176" s="6" t="s">
        <v>93</v>
      </c>
      <c r="C1176" s="6" t="s">
        <v>93</v>
      </c>
      <c r="D1176" s="6" t="s">
        <v>1883</v>
      </c>
      <c r="E1176" s="6" t="s">
        <v>1883</v>
      </c>
      <c r="F1176" s="6" t="s">
        <v>1884</v>
      </c>
      <c r="G1176" s="6" t="s">
        <v>164</v>
      </c>
      <c r="H1176" s="6" t="s">
        <v>287</v>
      </c>
      <c r="I1176" s="6" t="s">
        <v>4680</v>
      </c>
      <c r="J1176" s="6" t="s">
        <v>5365</v>
      </c>
      <c r="K1176" s="6" t="s">
        <v>4679</v>
      </c>
      <c r="L1176" s="2" t="s">
        <v>1886</v>
      </c>
      <c r="M1176" s="2" t="s">
        <v>1885</v>
      </c>
      <c r="N1176" s="6"/>
      <c r="O1176" s="6" t="s">
        <v>97</v>
      </c>
      <c r="P1176" s="6" t="s">
        <v>98</v>
      </c>
      <c r="Q1176" s="6" t="s">
        <v>33</v>
      </c>
      <c r="R1176" s="6" t="s">
        <v>5368</v>
      </c>
    </row>
    <row r="1177" customFormat="false" ht="15" hidden="false" customHeight="false" outlineLevel="0" collapsed="false">
      <c r="A1177" s="6" t="s">
        <v>33</v>
      </c>
      <c r="B1177" s="6" t="s">
        <v>93</v>
      </c>
      <c r="C1177" s="6" t="s">
        <v>93</v>
      </c>
      <c r="D1177" s="6" t="s">
        <v>2565</v>
      </c>
      <c r="E1177" s="6" t="s">
        <v>2565</v>
      </c>
      <c r="F1177" s="6" t="s">
        <v>2566</v>
      </c>
      <c r="G1177" s="6" t="s">
        <v>182</v>
      </c>
      <c r="H1177" s="6" t="s">
        <v>287</v>
      </c>
      <c r="I1177" s="6" t="s">
        <v>4680</v>
      </c>
      <c r="J1177" s="6" t="s">
        <v>5365</v>
      </c>
      <c r="K1177" s="6" t="s">
        <v>4679</v>
      </c>
      <c r="L1177" s="2" t="s">
        <v>6297</v>
      </c>
      <c r="M1177" s="2" t="s">
        <v>6298</v>
      </c>
      <c r="N1177" s="9" t="s">
        <v>2571</v>
      </c>
      <c r="O1177" s="6" t="s">
        <v>411</v>
      </c>
      <c r="P1177" s="6" t="s">
        <v>98</v>
      </c>
      <c r="Q1177" s="6" t="s">
        <v>33</v>
      </c>
      <c r="R1177" s="6" t="s">
        <v>5368</v>
      </c>
    </row>
    <row r="1178" customFormat="false" ht="15" hidden="false" customHeight="false" outlineLevel="0" collapsed="false">
      <c r="A1178" s="6" t="s">
        <v>33</v>
      </c>
      <c r="B1178" s="6" t="s">
        <v>93</v>
      </c>
      <c r="C1178" s="6" t="s">
        <v>93</v>
      </c>
      <c r="D1178" s="6" t="s">
        <v>1887</v>
      </c>
      <c r="E1178" s="6" t="s">
        <v>1887</v>
      </c>
      <c r="F1178" s="6" t="s">
        <v>1888</v>
      </c>
      <c r="G1178" s="6" t="s">
        <v>164</v>
      </c>
      <c r="H1178" s="6" t="s">
        <v>287</v>
      </c>
      <c r="I1178" s="6" t="s">
        <v>4680</v>
      </c>
      <c r="J1178" s="6" t="s">
        <v>5365</v>
      </c>
      <c r="K1178" s="6" t="s">
        <v>4679</v>
      </c>
      <c r="L1178" s="2" t="s">
        <v>1890</v>
      </c>
      <c r="M1178" s="2" t="s">
        <v>1889</v>
      </c>
      <c r="N1178" s="9" t="s">
        <v>1891</v>
      </c>
      <c r="O1178" s="6" t="s">
        <v>160</v>
      </c>
      <c r="P1178" s="6" t="s">
        <v>98</v>
      </c>
      <c r="Q1178" s="6" t="s">
        <v>33</v>
      </c>
      <c r="R1178" s="6" t="s">
        <v>5368</v>
      </c>
    </row>
    <row r="1179" customFormat="false" ht="35.05" hidden="false" customHeight="false" outlineLevel="0" collapsed="false">
      <c r="A1179" s="6" t="s">
        <v>33</v>
      </c>
      <c r="B1179" s="6" t="s">
        <v>93</v>
      </c>
      <c r="C1179" s="6" t="s">
        <v>93</v>
      </c>
      <c r="D1179" s="6" t="s">
        <v>750</v>
      </c>
      <c r="E1179" s="6" t="s">
        <v>6299</v>
      </c>
      <c r="F1179" s="6" t="s">
        <v>751</v>
      </c>
      <c r="G1179" s="6" t="s">
        <v>153</v>
      </c>
      <c r="H1179" s="6" t="s">
        <v>287</v>
      </c>
      <c r="I1179" s="6" t="s">
        <v>4684</v>
      </c>
      <c r="J1179" s="6" t="s">
        <v>5365</v>
      </c>
      <c r="K1179" s="6" t="s">
        <v>4679</v>
      </c>
      <c r="L1179" s="2" t="s">
        <v>6300</v>
      </c>
      <c r="M1179" s="2" t="s">
        <v>6301</v>
      </c>
      <c r="N1179" s="9" t="s">
        <v>6302</v>
      </c>
      <c r="O1179" s="6" t="s">
        <v>160</v>
      </c>
      <c r="P1179" s="6" t="s">
        <v>98</v>
      </c>
      <c r="Q1179" s="6" t="s">
        <v>33</v>
      </c>
      <c r="R1179" s="6" t="s">
        <v>5357</v>
      </c>
    </row>
    <row r="1180" customFormat="false" ht="15" hidden="false" customHeight="false" outlineLevel="0" collapsed="false">
      <c r="A1180" s="6" t="s">
        <v>33</v>
      </c>
      <c r="B1180" s="6" t="s">
        <v>93</v>
      </c>
      <c r="C1180" s="6" t="s">
        <v>93</v>
      </c>
      <c r="D1180" s="6" t="s">
        <v>750</v>
      </c>
      <c r="E1180" s="6" t="s">
        <v>6303</v>
      </c>
      <c r="F1180" s="6" t="s">
        <v>751</v>
      </c>
      <c r="G1180" s="6" t="s">
        <v>153</v>
      </c>
      <c r="H1180" s="6" t="s">
        <v>287</v>
      </c>
      <c r="I1180" s="6" t="s">
        <v>4680</v>
      </c>
      <c r="J1180" s="6" t="s">
        <v>5365</v>
      </c>
      <c r="K1180" s="6" t="s">
        <v>4679</v>
      </c>
      <c r="L1180" s="2" t="s">
        <v>755</v>
      </c>
      <c r="M1180" s="2" t="s">
        <v>4755</v>
      </c>
      <c r="N1180" s="9" t="s">
        <v>757</v>
      </c>
      <c r="O1180" s="6" t="s">
        <v>130</v>
      </c>
      <c r="P1180" s="6" t="s">
        <v>85</v>
      </c>
      <c r="Q1180" s="6" t="s">
        <v>93</v>
      </c>
      <c r="R1180" s="6" t="s">
        <v>5433</v>
      </c>
    </row>
    <row r="1181" customFormat="false" ht="23.85" hidden="false" customHeight="false" outlineLevel="0" collapsed="false">
      <c r="A1181" s="6" t="s">
        <v>33</v>
      </c>
      <c r="B1181" s="6" t="s">
        <v>93</v>
      </c>
      <c r="C1181" s="6" t="s">
        <v>93</v>
      </c>
      <c r="D1181" s="6" t="s">
        <v>475</v>
      </c>
      <c r="E1181" s="6" t="s">
        <v>475</v>
      </c>
      <c r="F1181" s="6" t="s">
        <v>476</v>
      </c>
      <c r="G1181" s="6" t="s">
        <v>118</v>
      </c>
      <c r="H1181" s="6" t="s">
        <v>287</v>
      </c>
      <c r="I1181" s="6" t="s">
        <v>4680</v>
      </c>
      <c r="J1181" s="6" t="s">
        <v>5365</v>
      </c>
      <c r="K1181" s="6" t="s">
        <v>4679</v>
      </c>
      <c r="L1181" s="2" t="s">
        <v>478</v>
      </c>
      <c r="M1181" s="2" t="s">
        <v>477</v>
      </c>
      <c r="N1181" s="9" t="s">
        <v>479</v>
      </c>
      <c r="O1181" s="6" t="s">
        <v>97</v>
      </c>
      <c r="P1181" s="6" t="s">
        <v>98</v>
      </c>
      <c r="Q1181" s="6" t="s">
        <v>33</v>
      </c>
      <c r="R1181" s="6" t="s">
        <v>5357</v>
      </c>
    </row>
    <row r="1182" customFormat="false" ht="23.85" hidden="false" customHeight="false" outlineLevel="0" collapsed="false">
      <c r="A1182" s="6" t="s">
        <v>33</v>
      </c>
      <c r="B1182" s="6" t="s">
        <v>93</v>
      </c>
      <c r="C1182" s="6" t="s">
        <v>93</v>
      </c>
      <c r="D1182" s="6" t="s">
        <v>2923</v>
      </c>
      <c r="E1182" s="6" t="s">
        <v>2923</v>
      </c>
      <c r="F1182" s="6" t="s">
        <v>2924</v>
      </c>
      <c r="G1182" s="6" t="s">
        <v>1127</v>
      </c>
      <c r="H1182" s="6" t="s">
        <v>287</v>
      </c>
      <c r="I1182" s="6" t="s">
        <v>4680</v>
      </c>
      <c r="J1182" s="6" t="s">
        <v>5365</v>
      </c>
      <c r="K1182" s="6" t="s">
        <v>4679</v>
      </c>
      <c r="L1182" s="2" t="s">
        <v>6304</v>
      </c>
      <c r="M1182" s="2" t="s">
        <v>6305</v>
      </c>
      <c r="N1182" s="9" t="s">
        <v>2929</v>
      </c>
      <c r="O1182" s="6" t="s">
        <v>308</v>
      </c>
      <c r="P1182" s="6" t="s">
        <v>98</v>
      </c>
      <c r="Q1182" s="6" t="s">
        <v>33</v>
      </c>
      <c r="R1182" s="6" t="s">
        <v>5368</v>
      </c>
    </row>
    <row r="1183" customFormat="false" ht="15" hidden="false" customHeight="false" outlineLevel="0" collapsed="false">
      <c r="A1183" s="6" t="s">
        <v>33</v>
      </c>
      <c r="B1183" s="6" t="s">
        <v>93</v>
      </c>
      <c r="C1183" s="6" t="s">
        <v>93</v>
      </c>
      <c r="D1183" s="6" t="s">
        <v>480</v>
      </c>
      <c r="E1183" s="6" t="s">
        <v>480</v>
      </c>
      <c r="F1183" s="6" t="s">
        <v>481</v>
      </c>
      <c r="G1183" s="6" t="s">
        <v>239</v>
      </c>
      <c r="H1183" s="6" t="s">
        <v>287</v>
      </c>
      <c r="I1183" s="6" t="s">
        <v>4680</v>
      </c>
      <c r="J1183" s="6" t="s">
        <v>5365</v>
      </c>
      <c r="K1183" s="6" t="s">
        <v>4679</v>
      </c>
      <c r="L1183" s="2" t="s">
        <v>484</v>
      </c>
      <c r="M1183" s="2" t="s">
        <v>483</v>
      </c>
      <c r="N1183" s="6"/>
      <c r="O1183" s="6" t="s">
        <v>97</v>
      </c>
      <c r="P1183" s="6" t="s">
        <v>98</v>
      </c>
      <c r="Q1183" s="6" t="s">
        <v>33</v>
      </c>
      <c r="R1183" s="6" t="s">
        <v>5368</v>
      </c>
    </row>
    <row r="1184" customFormat="false" ht="15" hidden="false" customHeight="false" outlineLevel="0" collapsed="false">
      <c r="A1184" s="6" t="s">
        <v>33</v>
      </c>
      <c r="B1184" s="6" t="s">
        <v>93</v>
      </c>
      <c r="C1184" s="6" t="s">
        <v>93</v>
      </c>
      <c r="D1184" s="6" t="s">
        <v>1892</v>
      </c>
      <c r="E1184" s="6" t="s">
        <v>1892</v>
      </c>
      <c r="F1184" s="6" t="s">
        <v>1893</v>
      </c>
      <c r="G1184" s="6" t="s">
        <v>182</v>
      </c>
      <c r="H1184" s="6" t="s">
        <v>287</v>
      </c>
      <c r="I1184" s="6" t="s">
        <v>4680</v>
      </c>
      <c r="J1184" s="6" t="s">
        <v>5365</v>
      </c>
      <c r="K1184" s="6" t="s">
        <v>4679</v>
      </c>
      <c r="L1184" s="2" t="s">
        <v>1895</v>
      </c>
      <c r="M1184" s="2" t="s">
        <v>1894</v>
      </c>
      <c r="N1184" s="9" t="s">
        <v>1896</v>
      </c>
      <c r="O1184" s="6" t="s">
        <v>178</v>
      </c>
      <c r="P1184" s="6" t="s">
        <v>98</v>
      </c>
      <c r="Q1184" s="6" t="s">
        <v>33</v>
      </c>
      <c r="R1184" s="6" t="s">
        <v>5368</v>
      </c>
    </row>
    <row r="1185" customFormat="false" ht="23.85" hidden="false" customHeight="false" outlineLevel="0" collapsed="false">
      <c r="A1185" s="6" t="s">
        <v>33</v>
      </c>
      <c r="B1185" s="6" t="s">
        <v>93</v>
      </c>
      <c r="C1185" s="6" t="s">
        <v>93</v>
      </c>
      <c r="D1185" s="6" t="s">
        <v>485</v>
      </c>
      <c r="E1185" s="6" t="s">
        <v>485</v>
      </c>
      <c r="F1185" s="6" t="s">
        <v>486</v>
      </c>
      <c r="G1185" s="6" t="s">
        <v>118</v>
      </c>
      <c r="H1185" s="6" t="s">
        <v>287</v>
      </c>
      <c r="I1185" s="6" t="s">
        <v>4684</v>
      </c>
      <c r="J1185" s="6" t="s">
        <v>5365</v>
      </c>
      <c r="K1185" s="6" t="s">
        <v>4679</v>
      </c>
      <c r="L1185" s="2" t="s">
        <v>488</v>
      </c>
      <c r="M1185" s="2" t="s">
        <v>487</v>
      </c>
      <c r="N1185" s="9" t="s">
        <v>489</v>
      </c>
      <c r="O1185" s="6" t="s">
        <v>178</v>
      </c>
      <c r="P1185" s="6" t="s">
        <v>98</v>
      </c>
      <c r="Q1185" s="6" t="s">
        <v>33</v>
      </c>
      <c r="R1185" s="6" t="s">
        <v>5357</v>
      </c>
    </row>
    <row r="1186" customFormat="false" ht="15" hidden="false" customHeight="false" outlineLevel="0" collapsed="false">
      <c r="A1186" s="6" t="s">
        <v>33</v>
      </c>
      <c r="B1186" s="6" t="s">
        <v>93</v>
      </c>
      <c r="C1186" s="6" t="s">
        <v>93</v>
      </c>
      <c r="D1186" s="6" t="s">
        <v>2403</v>
      </c>
      <c r="E1186" s="6" t="s">
        <v>2403</v>
      </c>
      <c r="F1186" s="6" t="s">
        <v>2403</v>
      </c>
      <c r="G1186" s="6" t="s">
        <v>1127</v>
      </c>
      <c r="H1186" s="6" t="s">
        <v>287</v>
      </c>
      <c r="I1186" s="6" t="s">
        <v>4680</v>
      </c>
      <c r="J1186" s="6" t="s">
        <v>5365</v>
      </c>
      <c r="K1186" s="6" t="s">
        <v>4679</v>
      </c>
      <c r="L1186" s="2" t="s">
        <v>2405</v>
      </c>
      <c r="M1186" s="2" t="s">
        <v>2404</v>
      </c>
      <c r="N1186" s="9" t="s">
        <v>2406</v>
      </c>
      <c r="O1186" s="6" t="s">
        <v>236</v>
      </c>
      <c r="P1186" s="6" t="s">
        <v>98</v>
      </c>
      <c r="Q1186" s="6" t="s">
        <v>33</v>
      </c>
      <c r="R1186" s="6" t="s">
        <v>5368</v>
      </c>
    </row>
    <row r="1187" customFormat="false" ht="23.85" hidden="false" customHeight="false" outlineLevel="0" collapsed="false">
      <c r="A1187" s="6" t="s">
        <v>33</v>
      </c>
      <c r="B1187" s="6" t="s">
        <v>93</v>
      </c>
      <c r="C1187" s="6" t="s">
        <v>93</v>
      </c>
      <c r="D1187" s="6" t="s">
        <v>490</v>
      </c>
      <c r="E1187" s="6" t="s">
        <v>490</v>
      </c>
      <c r="F1187" s="6" t="s">
        <v>491</v>
      </c>
      <c r="G1187" s="6" t="s">
        <v>90</v>
      </c>
      <c r="H1187" s="6" t="s">
        <v>287</v>
      </c>
      <c r="I1187" s="6" t="s">
        <v>4680</v>
      </c>
      <c r="J1187" s="6" t="s">
        <v>5365</v>
      </c>
      <c r="K1187" s="6" t="s">
        <v>4679</v>
      </c>
      <c r="L1187" s="2" t="s">
        <v>493</v>
      </c>
      <c r="M1187" s="2" t="s">
        <v>492</v>
      </c>
      <c r="N1187" s="9" t="s">
        <v>494</v>
      </c>
      <c r="O1187" s="6" t="s">
        <v>84</v>
      </c>
      <c r="P1187" s="6" t="s">
        <v>98</v>
      </c>
      <c r="Q1187" s="6" t="s">
        <v>33</v>
      </c>
      <c r="R1187" s="6" t="s">
        <v>5357</v>
      </c>
    </row>
    <row r="1188" customFormat="false" ht="23.85" hidden="false" customHeight="false" outlineLevel="0" collapsed="false">
      <c r="A1188" s="6" t="s">
        <v>33</v>
      </c>
      <c r="B1188" s="6" t="s">
        <v>93</v>
      </c>
      <c r="C1188" s="6" t="s">
        <v>93</v>
      </c>
      <c r="D1188" s="6" t="s">
        <v>852</v>
      </c>
      <c r="E1188" s="6" t="s">
        <v>852</v>
      </c>
      <c r="F1188" s="6" t="s">
        <v>467</v>
      </c>
      <c r="G1188" s="6" t="s">
        <v>76</v>
      </c>
      <c r="H1188" s="6" t="s">
        <v>287</v>
      </c>
      <c r="I1188" s="6" t="s">
        <v>4680</v>
      </c>
      <c r="J1188" s="6" t="s">
        <v>5365</v>
      </c>
      <c r="K1188" s="6" t="s">
        <v>4679</v>
      </c>
      <c r="L1188" s="2" t="s">
        <v>854</v>
      </c>
      <c r="M1188" s="2" t="s">
        <v>853</v>
      </c>
      <c r="N1188" s="6"/>
      <c r="O1188" s="6" t="s">
        <v>97</v>
      </c>
      <c r="P1188" s="6" t="s">
        <v>98</v>
      </c>
      <c r="Q1188" s="6" t="s">
        <v>33</v>
      </c>
      <c r="R1188" s="6" t="s">
        <v>5368</v>
      </c>
    </row>
    <row r="1189" customFormat="false" ht="23.85" hidden="false" customHeight="false" outlineLevel="0" collapsed="false">
      <c r="A1189" s="6" t="s">
        <v>33</v>
      </c>
      <c r="B1189" s="6" t="s">
        <v>93</v>
      </c>
      <c r="C1189" s="6" t="s">
        <v>93</v>
      </c>
      <c r="D1189" s="6" t="s">
        <v>2590</v>
      </c>
      <c r="E1189" s="6" t="s">
        <v>2590</v>
      </c>
      <c r="F1189" s="6" t="s">
        <v>910</v>
      </c>
      <c r="G1189" s="6" t="s">
        <v>153</v>
      </c>
      <c r="H1189" s="6" t="s">
        <v>287</v>
      </c>
      <c r="I1189" s="6" t="s">
        <v>4684</v>
      </c>
      <c r="J1189" s="6" t="s">
        <v>5365</v>
      </c>
      <c r="K1189" s="6" t="s">
        <v>4679</v>
      </c>
      <c r="L1189" s="2" t="s">
        <v>6306</v>
      </c>
      <c r="M1189" s="2" t="s">
        <v>2592</v>
      </c>
      <c r="N1189" s="6"/>
      <c r="O1189" s="6" t="s">
        <v>97</v>
      </c>
      <c r="P1189" s="6" t="s">
        <v>98</v>
      </c>
      <c r="Q1189" s="6" t="s">
        <v>33</v>
      </c>
      <c r="R1189" s="6" t="s">
        <v>5357</v>
      </c>
    </row>
    <row r="1190" customFormat="false" ht="15" hidden="false" customHeight="false" outlineLevel="0" collapsed="false">
      <c r="A1190" s="6" t="s">
        <v>33</v>
      </c>
      <c r="B1190" s="6" t="s">
        <v>93</v>
      </c>
      <c r="C1190" s="6" t="s">
        <v>93</v>
      </c>
      <c r="D1190" s="6" t="s">
        <v>1417</v>
      </c>
      <c r="E1190" s="6" t="s">
        <v>1417</v>
      </c>
      <c r="F1190" s="6" t="s">
        <v>1418</v>
      </c>
      <c r="G1190" s="6" t="s">
        <v>76</v>
      </c>
      <c r="H1190" s="6" t="s">
        <v>287</v>
      </c>
      <c r="I1190" s="6" t="s">
        <v>4680</v>
      </c>
      <c r="J1190" s="6" t="s">
        <v>5365</v>
      </c>
      <c r="K1190" s="6" t="s">
        <v>4679</v>
      </c>
      <c r="L1190" s="2" t="s">
        <v>1420</v>
      </c>
      <c r="M1190" s="2" t="s">
        <v>1419</v>
      </c>
      <c r="N1190" s="6"/>
      <c r="O1190" s="6" t="s">
        <v>97</v>
      </c>
      <c r="P1190" s="6" t="s">
        <v>98</v>
      </c>
      <c r="Q1190" s="6" t="s">
        <v>33</v>
      </c>
      <c r="R1190" s="6" t="s">
        <v>5368</v>
      </c>
    </row>
    <row r="1191" customFormat="false" ht="15" hidden="false" customHeight="false" outlineLevel="0" collapsed="false">
      <c r="A1191" s="6" t="s">
        <v>33</v>
      </c>
      <c r="B1191" s="6" t="s">
        <v>93</v>
      </c>
      <c r="C1191" s="6" t="s">
        <v>93</v>
      </c>
      <c r="D1191" s="6" t="s">
        <v>1908</v>
      </c>
      <c r="E1191" s="6" t="s">
        <v>1908</v>
      </c>
      <c r="F1191" s="6" t="s">
        <v>1909</v>
      </c>
      <c r="G1191" s="6" t="s">
        <v>626</v>
      </c>
      <c r="H1191" s="6" t="s">
        <v>287</v>
      </c>
      <c r="I1191" s="6" t="s">
        <v>4680</v>
      </c>
      <c r="J1191" s="6" t="s">
        <v>5365</v>
      </c>
      <c r="K1191" s="6" t="s">
        <v>4679</v>
      </c>
      <c r="L1191" s="2" t="s">
        <v>1911</v>
      </c>
      <c r="M1191" s="2" t="s">
        <v>1910</v>
      </c>
      <c r="N1191" s="6"/>
      <c r="O1191" s="6" t="s">
        <v>97</v>
      </c>
      <c r="P1191" s="6" t="s">
        <v>98</v>
      </c>
      <c r="Q1191" s="6" t="s">
        <v>33</v>
      </c>
      <c r="R1191" s="6" t="s">
        <v>5368</v>
      </c>
    </row>
    <row r="1192" customFormat="false" ht="15" hidden="false" customHeight="false" outlineLevel="0" collapsed="false">
      <c r="A1192" s="6" t="s">
        <v>33</v>
      </c>
      <c r="B1192" s="6" t="s">
        <v>93</v>
      </c>
      <c r="C1192" s="6" t="s">
        <v>93</v>
      </c>
      <c r="D1192" s="6" t="s">
        <v>1264</v>
      </c>
      <c r="E1192" s="6" t="s">
        <v>1264</v>
      </c>
      <c r="F1192" s="6" t="s">
        <v>1265</v>
      </c>
      <c r="G1192" s="6" t="s">
        <v>182</v>
      </c>
      <c r="H1192" s="6" t="s">
        <v>287</v>
      </c>
      <c r="I1192" s="6" t="s">
        <v>4680</v>
      </c>
      <c r="J1192" s="6" t="s">
        <v>5365</v>
      </c>
      <c r="K1192" s="6" t="s">
        <v>4679</v>
      </c>
      <c r="L1192" s="2" t="s">
        <v>1267</v>
      </c>
      <c r="M1192" s="2" t="s">
        <v>1266</v>
      </c>
      <c r="N1192" s="9" t="s">
        <v>1268</v>
      </c>
      <c r="O1192" s="6" t="s">
        <v>97</v>
      </c>
      <c r="P1192" s="6" t="s">
        <v>106</v>
      </c>
      <c r="Q1192" s="6" t="s">
        <v>93</v>
      </c>
      <c r="R1192" s="6" t="s">
        <v>5433</v>
      </c>
    </row>
    <row r="1193" customFormat="false" ht="15" hidden="false" customHeight="false" outlineLevel="0" collapsed="false">
      <c r="A1193" s="6" t="s">
        <v>33</v>
      </c>
      <c r="B1193" s="6" t="s">
        <v>93</v>
      </c>
      <c r="C1193" s="6" t="s">
        <v>93</v>
      </c>
      <c r="D1193" s="6" t="s">
        <v>1428</v>
      </c>
      <c r="E1193" s="6" t="s">
        <v>1428</v>
      </c>
      <c r="F1193" s="6" t="s">
        <v>811</v>
      </c>
      <c r="G1193" s="6" t="s">
        <v>239</v>
      </c>
      <c r="H1193" s="6" t="s">
        <v>287</v>
      </c>
      <c r="I1193" s="6" t="s">
        <v>4680</v>
      </c>
      <c r="J1193" s="6" t="s">
        <v>5365</v>
      </c>
      <c r="K1193" s="6" t="s">
        <v>4679</v>
      </c>
      <c r="L1193" s="2" t="s">
        <v>1430</v>
      </c>
      <c r="M1193" s="2" t="s">
        <v>1429</v>
      </c>
      <c r="N1193" s="9" t="s">
        <v>1432</v>
      </c>
      <c r="O1193" s="6" t="s">
        <v>1431</v>
      </c>
      <c r="P1193" s="6" t="s">
        <v>98</v>
      </c>
      <c r="Q1193" s="6" t="s">
        <v>33</v>
      </c>
      <c r="R1193" s="6" t="s">
        <v>5368</v>
      </c>
    </row>
    <row r="1194" customFormat="false" ht="15" hidden="false" customHeight="false" outlineLevel="0" collapsed="false">
      <c r="A1194" s="6" t="s">
        <v>33</v>
      </c>
      <c r="B1194" s="6" t="s">
        <v>93</v>
      </c>
      <c r="C1194" s="6" t="s">
        <v>93</v>
      </c>
      <c r="D1194" s="6" t="s">
        <v>495</v>
      </c>
      <c r="E1194" s="6" t="s">
        <v>495</v>
      </c>
      <c r="F1194" s="6" t="s">
        <v>495</v>
      </c>
      <c r="G1194" s="6" t="s">
        <v>239</v>
      </c>
      <c r="H1194" s="6" t="s">
        <v>287</v>
      </c>
      <c r="I1194" s="6" t="s">
        <v>4680</v>
      </c>
      <c r="J1194" s="6" t="s">
        <v>5365</v>
      </c>
      <c r="K1194" s="6" t="s">
        <v>4679</v>
      </c>
      <c r="L1194" s="2" t="s">
        <v>497</v>
      </c>
      <c r="M1194" s="2" t="s">
        <v>496</v>
      </c>
      <c r="N1194" s="9" t="s">
        <v>498</v>
      </c>
      <c r="O1194" s="6" t="s">
        <v>256</v>
      </c>
      <c r="P1194" s="6" t="s">
        <v>85</v>
      </c>
      <c r="Q1194" s="6" t="s">
        <v>93</v>
      </c>
      <c r="R1194" s="6" t="s">
        <v>5433</v>
      </c>
    </row>
    <row r="1195" customFormat="false" ht="23.85" hidden="false" customHeight="false" outlineLevel="0" collapsed="false">
      <c r="A1195" s="6" t="s">
        <v>33</v>
      </c>
      <c r="B1195" s="6" t="s">
        <v>93</v>
      </c>
      <c r="C1195" s="6" t="s">
        <v>93</v>
      </c>
      <c r="D1195" s="6" t="s">
        <v>1157</v>
      </c>
      <c r="E1195" s="6" t="s">
        <v>6307</v>
      </c>
      <c r="F1195" s="6" t="s">
        <v>5851</v>
      </c>
      <c r="G1195" s="6" t="s">
        <v>90</v>
      </c>
      <c r="H1195" s="6" t="s">
        <v>287</v>
      </c>
      <c r="I1195" s="6" t="s">
        <v>4680</v>
      </c>
      <c r="J1195" s="6" t="s">
        <v>5365</v>
      </c>
      <c r="K1195" s="6" t="s">
        <v>4726</v>
      </c>
      <c r="L1195" s="2" t="s">
        <v>1161</v>
      </c>
      <c r="M1195" s="2" t="s">
        <v>6308</v>
      </c>
      <c r="N1195" s="9" t="s">
        <v>1164</v>
      </c>
      <c r="O1195" s="6" t="s">
        <v>1162</v>
      </c>
      <c r="P1195" s="6" t="s">
        <v>98</v>
      </c>
      <c r="Q1195" s="6" t="s">
        <v>33</v>
      </c>
      <c r="R1195" s="6" t="s">
        <v>5357</v>
      </c>
    </row>
    <row r="1196" customFormat="false" ht="23.85" hidden="false" customHeight="false" outlineLevel="0" collapsed="false">
      <c r="A1196" s="6" t="s">
        <v>33</v>
      </c>
      <c r="B1196" s="6" t="s">
        <v>93</v>
      </c>
      <c r="C1196" s="6" t="s">
        <v>93</v>
      </c>
      <c r="D1196" s="6" t="s">
        <v>875</v>
      </c>
      <c r="E1196" s="6" t="s">
        <v>875</v>
      </c>
      <c r="F1196" s="6" t="s">
        <v>598</v>
      </c>
      <c r="G1196" s="6" t="s">
        <v>90</v>
      </c>
      <c r="H1196" s="6" t="s">
        <v>287</v>
      </c>
      <c r="I1196" s="6" t="s">
        <v>4680</v>
      </c>
      <c r="J1196" s="6" t="s">
        <v>5365</v>
      </c>
      <c r="K1196" s="6" t="s">
        <v>4679</v>
      </c>
      <c r="L1196" s="2" t="s">
        <v>877</v>
      </c>
      <c r="M1196" s="2" t="s">
        <v>876</v>
      </c>
      <c r="N1196" s="6"/>
      <c r="O1196" s="6" t="s">
        <v>97</v>
      </c>
      <c r="P1196" s="6" t="s">
        <v>98</v>
      </c>
      <c r="Q1196" s="6" t="s">
        <v>33</v>
      </c>
      <c r="R1196" s="6" t="s">
        <v>5357</v>
      </c>
    </row>
    <row r="1197" customFormat="false" ht="15" hidden="false" customHeight="false" outlineLevel="0" collapsed="false">
      <c r="A1197" s="6" t="s">
        <v>33</v>
      </c>
      <c r="B1197" s="6" t="s">
        <v>93</v>
      </c>
      <c r="C1197" s="6" t="s">
        <v>93</v>
      </c>
      <c r="D1197" s="6" t="s">
        <v>1688</v>
      </c>
      <c r="E1197" s="6" t="s">
        <v>1688</v>
      </c>
      <c r="F1197" s="6" t="s">
        <v>1689</v>
      </c>
      <c r="G1197" s="6" t="s">
        <v>1583</v>
      </c>
      <c r="H1197" s="6" t="s">
        <v>287</v>
      </c>
      <c r="I1197" s="6" t="s">
        <v>4680</v>
      </c>
      <c r="J1197" s="6" t="s">
        <v>5365</v>
      </c>
      <c r="K1197" s="6" t="s">
        <v>4679</v>
      </c>
      <c r="L1197" s="2" t="s">
        <v>1693</v>
      </c>
      <c r="M1197" s="2" t="s">
        <v>4692</v>
      </c>
      <c r="N1197" s="9" t="s">
        <v>1695</v>
      </c>
      <c r="O1197" s="6" t="s">
        <v>97</v>
      </c>
      <c r="P1197" s="6" t="s">
        <v>85</v>
      </c>
      <c r="Q1197" s="6" t="s">
        <v>93</v>
      </c>
      <c r="R1197" s="6" t="s">
        <v>5433</v>
      </c>
    </row>
    <row r="1198" customFormat="false" ht="23.85" hidden="false" customHeight="false" outlineLevel="0" collapsed="false">
      <c r="A1198" s="6" t="s">
        <v>33</v>
      </c>
      <c r="B1198" s="6" t="s">
        <v>93</v>
      </c>
      <c r="C1198" s="6" t="s">
        <v>93</v>
      </c>
      <c r="D1198" s="6" t="s">
        <v>1782</v>
      </c>
      <c r="E1198" s="6" t="s">
        <v>1782</v>
      </c>
      <c r="F1198" s="6" t="s">
        <v>6309</v>
      </c>
      <c r="G1198" s="6" t="s">
        <v>507</v>
      </c>
      <c r="H1198" s="6" t="s">
        <v>287</v>
      </c>
      <c r="I1198" s="6" t="s">
        <v>4684</v>
      </c>
      <c r="J1198" s="6" t="s">
        <v>5365</v>
      </c>
      <c r="K1198" s="6" t="s">
        <v>4679</v>
      </c>
      <c r="L1198" s="2" t="s">
        <v>6310</v>
      </c>
      <c r="M1198" s="2" t="s">
        <v>6311</v>
      </c>
      <c r="N1198" s="9" t="s">
        <v>1788</v>
      </c>
      <c r="O1198" s="6" t="s">
        <v>324</v>
      </c>
      <c r="P1198" s="6" t="s">
        <v>98</v>
      </c>
      <c r="Q1198" s="6" t="s">
        <v>33</v>
      </c>
      <c r="R1198" s="6" t="s">
        <v>5357</v>
      </c>
    </row>
    <row r="1199" customFormat="false" ht="15" hidden="false" customHeight="false" outlineLevel="0" collapsed="false">
      <c r="A1199" s="6" t="s">
        <v>33</v>
      </c>
      <c r="B1199" s="6" t="s">
        <v>93</v>
      </c>
      <c r="C1199" s="6" t="s">
        <v>93</v>
      </c>
      <c r="D1199" s="6" t="s">
        <v>1440</v>
      </c>
      <c r="E1199" s="6" t="s">
        <v>1440</v>
      </c>
      <c r="F1199" s="6" t="s">
        <v>1441</v>
      </c>
      <c r="G1199" s="6" t="s">
        <v>239</v>
      </c>
      <c r="H1199" s="6" t="s">
        <v>287</v>
      </c>
      <c r="I1199" s="6" t="s">
        <v>4680</v>
      </c>
      <c r="J1199" s="6" t="s">
        <v>5365</v>
      </c>
      <c r="K1199" s="6" t="s">
        <v>4679</v>
      </c>
      <c r="L1199" s="2" t="s">
        <v>1443</v>
      </c>
      <c r="M1199" s="2" t="s">
        <v>1442</v>
      </c>
      <c r="N1199" s="6"/>
      <c r="O1199" s="6" t="s">
        <v>97</v>
      </c>
      <c r="P1199" s="6" t="s">
        <v>98</v>
      </c>
      <c r="Q1199" s="6" t="s">
        <v>33</v>
      </c>
      <c r="R1199" s="6" t="s">
        <v>5368</v>
      </c>
    </row>
    <row r="1200" customFormat="false" ht="23.85" hidden="false" customHeight="false" outlineLevel="0" collapsed="false">
      <c r="A1200" s="6" t="s">
        <v>33</v>
      </c>
      <c r="B1200" s="6" t="s">
        <v>93</v>
      </c>
      <c r="C1200" s="6" t="s">
        <v>93</v>
      </c>
      <c r="D1200" s="6" t="s">
        <v>2407</v>
      </c>
      <c r="E1200" s="6" t="s">
        <v>2407</v>
      </c>
      <c r="F1200" s="6" t="s">
        <v>2408</v>
      </c>
      <c r="G1200" s="6" t="s">
        <v>507</v>
      </c>
      <c r="H1200" s="6" t="s">
        <v>287</v>
      </c>
      <c r="I1200" s="6" t="s">
        <v>5617</v>
      </c>
      <c r="J1200" s="6" t="s">
        <v>5365</v>
      </c>
      <c r="K1200" s="6" t="s">
        <v>4679</v>
      </c>
      <c r="L1200" s="2" t="s">
        <v>2410</v>
      </c>
      <c r="M1200" s="2" t="s">
        <v>2409</v>
      </c>
      <c r="N1200" s="9" t="s">
        <v>2411</v>
      </c>
      <c r="O1200" s="6" t="s">
        <v>308</v>
      </c>
      <c r="P1200" s="6" t="s">
        <v>98</v>
      </c>
      <c r="Q1200" s="6" t="s">
        <v>33</v>
      </c>
      <c r="R1200" s="6" t="s">
        <v>5357</v>
      </c>
    </row>
    <row r="1201" customFormat="false" ht="15" hidden="false" customHeight="false" outlineLevel="0" collapsed="false">
      <c r="A1201" s="6" t="s">
        <v>33</v>
      </c>
      <c r="B1201" s="6" t="s">
        <v>93</v>
      </c>
      <c r="C1201" s="6" t="s">
        <v>93</v>
      </c>
      <c r="D1201" s="6" t="s">
        <v>2622</v>
      </c>
      <c r="E1201" s="6" t="s">
        <v>2622</v>
      </c>
      <c r="F1201" s="6" t="s">
        <v>2622</v>
      </c>
      <c r="G1201" s="6" t="s">
        <v>507</v>
      </c>
      <c r="H1201" s="6" t="s">
        <v>1445</v>
      </c>
      <c r="I1201" s="6" t="s">
        <v>4680</v>
      </c>
      <c r="J1201" s="6" t="s">
        <v>5365</v>
      </c>
      <c r="K1201" s="6" t="s">
        <v>4679</v>
      </c>
      <c r="L1201" s="2" t="s">
        <v>2625</v>
      </c>
      <c r="M1201" s="2" t="s">
        <v>4805</v>
      </c>
      <c r="N1201" s="9" t="s">
        <v>2627</v>
      </c>
      <c r="O1201" s="6" t="s">
        <v>308</v>
      </c>
      <c r="P1201" s="6" t="s">
        <v>85</v>
      </c>
      <c r="Q1201" s="6" t="s">
        <v>93</v>
      </c>
      <c r="R1201" s="6" t="s">
        <v>5433</v>
      </c>
    </row>
    <row r="1202" customFormat="false" ht="15" hidden="false" customHeight="false" outlineLevel="0" collapsed="false">
      <c r="A1202" s="6" t="s">
        <v>33</v>
      </c>
      <c r="B1202" s="6" t="s">
        <v>93</v>
      </c>
      <c r="C1202" s="6" t="s">
        <v>93</v>
      </c>
      <c r="D1202" s="6" t="s">
        <v>2628</v>
      </c>
      <c r="E1202" s="6" t="s">
        <v>2628</v>
      </c>
      <c r="F1202" s="6" t="s">
        <v>2629</v>
      </c>
      <c r="G1202" s="6" t="s">
        <v>507</v>
      </c>
      <c r="H1202" s="6" t="s">
        <v>1445</v>
      </c>
      <c r="I1202" s="6" t="s">
        <v>4680</v>
      </c>
      <c r="J1202" s="6" t="s">
        <v>5365</v>
      </c>
      <c r="K1202" s="6" t="s">
        <v>4679</v>
      </c>
      <c r="L1202" s="2" t="s">
        <v>2630</v>
      </c>
      <c r="M1202" s="2" t="s">
        <v>1143</v>
      </c>
      <c r="N1202" s="9" t="s">
        <v>2631</v>
      </c>
      <c r="O1202" s="6" t="s">
        <v>178</v>
      </c>
      <c r="P1202" s="6" t="s">
        <v>85</v>
      </c>
      <c r="Q1202" s="6" t="s">
        <v>93</v>
      </c>
      <c r="R1202" s="6" t="s">
        <v>5433</v>
      </c>
    </row>
    <row r="1203" customFormat="false" ht="23.85" hidden="false" customHeight="false" outlineLevel="0" collapsed="false">
      <c r="A1203" s="6" t="s">
        <v>33</v>
      </c>
      <c r="B1203" s="6" t="s">
        <v>93</v>
      </c>
      <c r="C1203" s="6" t="s">
        <v>93</v>
      </c>
      <c r="D1203" s="6" t="s">
        <v>1084</v>
      </c>
      <c r="E1203" s="6" t="s">
        <v>1084</v>
      </c>
      <c r="F1203" s="6" t="s">
        <v>6312</v>
      </c>
      <c r="G1203" s="6" t="s">
        <v>90</v>
      </c>
      <c r="H1203" s="6" t="s">
        <v>1445</v>
      </c>
      <c r="I1203" s="6" t="s">
        <v>4684</v>
      </c>
      <c r="J1203" s="6" t="s">
        <v>5365</v>
      </c>
      <c r="K1203" s="6" t="s">
        <v>4679</v>
      </c>
      <c r="L1203" s="2" t="s">
        <v>6313</v>
      </c>
      <c r="M1203" s="2" t="s">
        <v>6314</v>
      </c>
      <c r="N1203" s="9" t="s">
        <v>1089</v>
      </c>
      <c r="O1203" s="6" t="s">
        <v>97</v>
      </c>
      <c r="P1203" s="6" t="s">
        <v>98</v>
      </c>
      <c r="Q1203" s="6" t="s">
        <v>33</v>
      </c>
      <c r="R1203" s="6" t="s">
        <v>5357</v>
      </c>
    </row>
    <row r="1204" customFormat="false" ht="15" hidden="false" customHeight="false" outlineLevel="0" collapsed="false">
      <c r="A1204" s="6" t="s">
        <v>33</v>
      </c>
      <c r="B1204" s="6" t="s">
        <v>93</v>
      </c>
      <c r="C1204" s="6" t="s">
        <v>93</v>
      </c>
      <c r="D1204" s="6" t="s">
        <v>3612</v>
      </c>
      <c r="E1204" s="6" t="s">
        <v>3612</v>
      </c>
      <c r="F1204" s="6" t="s">
        <v>3612</v>
      </c>
      <c r="G1204" s="6" t="s">
        <v>507</v>
      </c>
      <c r="H1204" s="6" t="s">
        <v>1445</v>
      </c>
      <c r="I1204" s="6" t="s">
        <v>4680</v>
      </c>
      <c r="J1204" s="6" t="s">
        <v>5365</v>
      </c>
      <c r="K1204" s="6" t="s">
        <v>4679</v>
      </c>
      <c r="L1204" s="2" t="s">
        <v>3614</v>
      </c>
      <c r="M1204" s="2" t="s">
        <v>3613</v>
      </c>
      <c r="N1204" s="9" t="s">
        <v>3615</v>
      </c>
      <c r="O1204" s="6" t="s">
        <v>97</v>
      </c>
      <c r="P1204" s="6" t="s">
        <v>85</v>
      </c>
      <c r="Q1204" s="6" t="s">
        <v>93</v>
      </c>
      <c r="R1204" s="6" t="s">
        <v>5433</v>
      </c>
    </row>
    <row r="1205" customFormat="false" ht="15" hidden="false" customHeight="false" outlineLevel="0" collapsed="false">
      <c r="A1205" s="6" t="s">
        <v>33</v>
      </c>
      <c r="B1205" s="6" t="s">
        <v>93</v>
      </c>
      <c r="C1205" s="6" t="s">
        <v>93</v>
      </c>
      <c r="D1205" s="6" t="s">
        <v>3108</v>
      </c>
      <c r="E1205" s="6" t="s">
        <v>3108</v>
      </c>
      <c r="F1205" s="6" t="s">
        <v>3108</v>
      </c>
      <c r="G1205" s="6" t="s">
        <v>182</v>
      </c>
      <c r="H1205" s="6" t="s">
        <v>1445</v>
      </c>
      <c r="I1205" s="6" t="s">
        <v>4680</v>
      </c>
      <c r="J1205" s="6" t="s">
        <v>5365</v>
      </c>
      <c r="K1205" s="6" t="s">
        <v>4679</v>
      </c>
      <c r="L1205" s="2" t="s">
        <v>3109</v>
      </c>
      <c r="M1205" s="2"/>
      <c r="N1205" s="6"/>
      <c r="O1205" s="6" t="s">
        <v>97</v>
      </c>
      <c r="P1205" s="6" t="s">
        <v>98</v>
      </c>
      <c r="Q1205" s="6" t="s">
        <v>33</v>
      </c>
      <c r="R1205" s="6" t="s">
        <v>5368</v>
      </c>
    </row>
    <row r="1206" customFormat="false" ht="15" hidden="false" customHeight="false" outlineLevel="0" collapsed="false">
      <c r="A1206" s="6" t="s">
        <v>33</v>
      </c>
      <c r="B1206" s="6" t="s">
        <v>93</v>
      </c>
      <c r="C1206" s="6" t="s">
        <v>93</v>
      </c>
      <c r="D1206" s="6" t="s">
        <v>3514</v>
      </c>
      <c r="E1206" s="6" t="s">
        <v>3514</v>
      </c>
      <c r="F1206" s="6" t="s">
        <v>3515</v>
      </c>
      <c r="G1206" s="6" t="s">
        <v>1583</v>
      </c>
      <c r="H1206" s="6" t="s">
        <v>1445</v>
      </c>
      <c r="I1206" s="6" t="s">
        <v>4680</v>
      </c>
      <c r="J1206" s="6" t="s">
        <v>5365</v>
      </c>
      <c r="K1206" s="6" t="s">
        <v>4679</v>
      </c>
      <c r="L1206" s="2" t="s">
        <v>3518</v>
      </c>
      <c r="M1206" s="2" t="s">
        <v>3517</v>
      </c>
      <c r="N1206" s="9" t="s">
        <v>3519</v>
      </c>
      <c r="O1206" s="6" t="s">
        <v>130</v>
      </c>
      <c r="P1206" s="6" t="s">
        <v>85</v>
      </c>
      <c r="Q1206" s="6" t="s">
        <v>93</v>
      </c>
      <c r="R1206" s="6" t="s">
        <v>5433</v>
      </c>
    </row>
    <row r="1207" customFormat="false" ht="15" hidden="false" customHeight="false" outlineLevel="0" collapsed="false">
      <c r="A1207" s="6" t="s">
        <v>33</v>
      </c>
      <c r="B1207" s="6" t="s">
        <v>93</v>
      </c>
      <c r="C1207" s="6" t="s">
        <v>93</v>
      </c>
      <c r="D1207" s="6" t="s">
        <v>3837</v>
      </c>
      <c r="E1207" s="6" t="s">
        <v>3837</v>
      </c>
      <c r="F1207" s="6" t="s">
        <v>3838</v>
      </c>
      <c r="G1207" s="6" t="s">
        <v>1598</v>
      </c>
      <c r="H1207" s="6" t="s">
        <v>1445</v>
      </c>
      <c r="I1207" s="6" t="s">
        <v>4680</v>
      </c>
      <c r="J1207" s="6" t="s">
        <v>5365</v>
      </c>
      <c r="K1207" s="6" t="s">
        <v>4679</v>
      </c>
      <c r="L1207" s="2" t="s">
        <v>3840</v>
      </c>
      <c r="M1207" s="2" t="s">
        <v>4818</v>
      </c>
      <c r="N1207" s="9" t="s">
        <v>3841</v>
      </c>
      <c r="O1207" s="6" t="s">
        <v>461</v>
      </c>
      <c r="P1207" s="6" t="s">
        <v>85</v>
      </c>
      <c r="Q1207" s="6" t="s">
        <v>93</v>
      </c>
      <c r="R1207" s="6" t="s">
        <v>5433</v>
      </c>
    </row>
    <row r="1208" customFormat="false" ht="15" hidden="false" customHeight="false" outlineLevel="0" collapsed="false">
      <c r="A1208" s="6" t="s">
        <v>33</v>
      </c>
      <c r="B1208" s="6" t="s">
        <v>93</v>
      </c>
      <c r="C1208" s="6" t="s">
        <v>93</v>
      </c>
      <c r="D1208" s="6" t="s">
        <v>2688</v>
      </c>
      <c r="E1208" s="6" t="s">
        <v>2688</v>
      </c>
      <c r="F1208" s="6" t="s">
        <v>2689</v>
      </c>
      <c r="G1208" s="6" t="s">
        <v>626</v>
      </c>
      <c r="H1208" s="6" t="s">
        <v>1445</v>
      </c>
      <c r="I1208" s="6" t="s">
        <v>4680</v>
      </c>
      <c r="J1208" s="6" t="s">
        <v>5365</v>
      </c>
      <c r="K1208" s="6" t="s">
        <v>4679</v>
      </c>
      <c r="L1208" s="2" t="s">
        <v>2691</v>
      </c>
      <c r="M1208" s="2" t="s">
        <v>2690</v>
      </c>
      <c r="N1208" s="9" t="s">
        <v>2692</v>
      </c>
      <c r="O1208" s="6" t="s">
        <v>97</v>
      </c>
      <c r="P1208" s="6" t="s">
        <v>98</v>
      </c>
      <c r="Q1208" s="6" t="s">
        <v>33</v>
      </c>
      <c r="R1208" s="6" t="s">
        <v>5368</v>
      </c>
    </row>
    <row r="1209" customFormat="false" ht="15" hidden="false" customHeight="false" outlineLevel="0" collapsed="false">
      <c r="A1209" s="6" t="s">
        <v>33</v>
      </c>
      <c r="B1209" s="6" t="s">
        <v>93</v>
      </c>
      <c r="C1209" s="6" t="s">
        <v>93</v>
      </c>
      <c r="D1209" s="6" t="s">
        <v>2988</v>
      </c>
      <c r="E1209" s="6" t="s">
        <v>2988</v>
      </c>
      <c r="F1209" s="6" t="s">
        <v>2989</v>
      </c>
      <c r="G1209" s="6" t="s">
        <v>1215</v>
      </c>
      <c r="H1209" s="6" t="s">
        <v>1445</v>
      </c>
      <c r="I1209" s="6" t="s">
        <v>4680</v>
      </c>
      <c r="J1209" s="6" t="s">
        <v>5365</v>
      </c>
      <c r="K1209" s="6" t="s">
        <v>4679</v>
      </c>
      <c r="L1209" s="2" t="s">
        <v>2992</v>
      </c>
      <c r="M1209" s="2" t="s">
        <v>4763</v>
      </c>
      <c r="N1209" s="9" t="s">
        <v>2994</v>
      </c>
      <c r="O1209" s="6" t="s">
        <v>130</v>
      </c>
      <c r="P1209" s="6" t="s">
        <v>85</v>
      </c>
      <c r="Q1209" s="6" t="s">
        <v>93</v>
      </c>
      <c r="R1209" s="6" t="s">
        <v>5433</v>
      </c>
    </row>
    <row r="1210" customFormat="false" ht="15" hidden="false" customHeight="false" outlineLevel="0" collapsed="false">
      <c r="A1210" s="6" t="s">
        <v>33</v>
      </c>
      <c r="B1210" s="6" t="s">
        <v>93</v>
      </c>
      <c r="C1210" s="6" t="s">
        <v>93</v>
      </c>
      <c r="D1210" s="6" t="s">
        <v>2995</v>
      </c>
      <c r="E1210" s="6" t="s">
        <v>2995</v>
      </c>
      <c r="F1210" s="6" t="s">
        <v>2996</v>
      </c>
      <c r="G1210" s="6" t="s">
        <v>1644</v>
      </c>
      <c r="H1210" s="6" t="s">
        <v>1445</v>
      </c>
      <c r="I1210" s="6" t="s">
        <v>4680</v>
      </c>
      <c r="J1210" s="6" t="s">
        <v>5365</v>
      </c>
      <c r="K1210" s="6" t="s">
        <v>4679</v>
      </c>
      <c r="L1210" s="2" t="s">
        <v>2997</v>
      </c>
      <c r="M1210" s="2" t="s">
        <v>496</v>
      </c>
      <c r="N1210" s="9" t="s">
        <v>2998</v>
      </c>
      <c r="O1210" s="6" t="s">
        <v>256</v>
      </c>
      <c r="P1210" s="6" t="s">
        <v>85</v>
      </c>
      <c r="Q1210" s="6" t="s">
        <v>93</v>
      </c>
      <c r="R1210" s="6" t="s">
        <v>5433</v>
      </c>
    </row>
    <row r="1211" customFormat="false" ht="23.85" hidden="false" customHeight="false" outlineLevel="0" collapsed="false">
      <c r="A1211" s="6" t="s">
        <v>33</v>
      </c>
      <c r="B1211" s="6" t="s">
        <v>93</v>
      </c>
      <c r="C1211" s="6" t="s">
        <v>93</v>
      </c>
      <c r="D1211" s="6" t="s">
        <v>2257</v>
      </c>
      <c r="E1211" s="6" t="s">
        <v>2257</v>
      </c>
      <c r="F1211" s="6" t="s">
        <v>598</v>
      </c>
      <c r="G1211" s="6" t="s">
        <v>90</v>
      </c>
      <c r="H1211" s="6" t="s">
        <v>1445</v>
      </c>
      <c r="I1211" s="6" t="s">
        <v>4676</v>
      </c>
      <c r="J1211" s="6" t="s">
        <v>5365</v>
      </c>
      <c r="K1211" s="6" t="s">
        <v>4679</v>
      </c>
      <c r="L1211" s="2" t="s">
        <v>2259</v>
      </c>
      <c r="M1211" s="2" t="s">
        <v>2258</v>
      </c>
      <c r="N1211" s="9" t="s">
        <v>2260</v>
      </c>
      <c r="O1211" s="6" t="s">
        <v>1943</v>
      </c>
      <c r="P1211" s="6" t="s">
        <v>98</v>
      </c>
      <c r="Q1211" s="6" t="s">
        <v>33</v>
      </c>
      <c r="R1211" s="6" t="s">
        <v>5357</v>
      </c>
    </row>
    <row r="1212" customFormat="false" ht="15" hidden="false" customHeight="false" outlineLevel="0" collapsed="false">
      <c r="A1212" s="6" t="s">
        <v>33</v>
      </c>
      <c r="B1212" s="6" t="s">
        <v>93</v>
      </c>
      <c r="C1212" s="6" t="s">
        <v>93</v>
      </c>
      <c r="D1212" s="6" t="s">
        <v>2973</v>
      </c>
      <c r="E1212" s="6" t="s">
        <v>2973</v>
      </c>
      <c r="F1212" s="6" t="s">
        <v>3011</v>
      </c>
      <c r="G1212" s="6" t="s">
        <v>2312</v>
      </c>
      <c r="H1212" s="6" t="s">
        <v>1445</v>
      </c>
      <c r="I1212" s="6" t="s">
        <v>4680</v>
      </c>
      <c r="J1212" s="6" t="s">
        <v>5365</v>
      </c>
      <c r="K1212" s="6" t="s">
        <v>4679</v>
      </c>
      <c r="L1212" s="2" t="s">
        <v>3013</v>
      </c>
      <c r="M1212" s="2" t="s">
        <v>3012</v>
      </c>
      <c r="N1212" s="9" t="s">
        <v>3014</v>
      </c>
      <c r="O1212" s="6" t="s">
        <v>97</v>
      </c>
      <c r="P1212" s="6" t="s">
        <v>85</v>
      </c>
      <c r="Q1212" s="6" t="s">
        <v>93</v>
      </c>
      <c r="R1212" s="6" t="s">
        <v>5433</v>
      </c>
    </row>
    <row r="1213" customFormat="false" ht="23.85" hidden="false" customHeight="false" outlineLevel="0" collapsed="false">
      <c r="A1213" s="6" t="s">
        <v>33</v>
      </c>
      <c r="B1213" s="6" t="s">
        <v>93</v>
      </c>
      <c r="C1213" s="6" t="s">
        <v>93</v>
      </c>
      <c r="D1213" s="6" t="s">
        <v>2456</v>
      </c>
      <c r="E1213" s="6" t="s">
        <v>2456</v>
      </c>
      <c r="F1213" s="6" t="s">
        <v>3015</v>
      </c>
      <c r="G1213" s="6" t="s">
        <v>1598</v>
      </c>
      <c r="H1213" s="6" t="s">
        <v>1445</v>
      </c>
      <c r="I1213" s="6" t="s">
        <v>4680</v>
      </c>
      <c r="J1213" s="6" t="s">
        <v>5365</v>
      </c>
      <c r="K1213" s="6" t="s">
        <v>4679</v>
      </c>
      <c r="L1213" s="2" t="s">
        <v>3017</v>
      </c>
      <c r="M1213" s="2" t="s">
        <v>3016</v>
      </c>
      <c r="N1213" s="9" t="s">
        <v>3018</v>
      </c>
      <c r="O1213" s="6" t="s">
        <v>160</v>
      </c>
      <c r="P1213" s="6" t="s">
        <v>85</v>
      </c>
      <c r="Q1213" s="6" t="s">
        <v>93</v>
      </c>
      <c r="R1213" s="6" t="s">
        <v>5433</v>
      </c>
    </row>
    <row r="1214" customFormat="false" ht="23.85" hidden="false" customHeight="false" outlineLevel="0" collapsed="false">
      <c r="A1214" s="6" t="s">
        <v>33</v>
      </c>
      <c r="B1214" s="6" t="s">
        <v>93</v>
      </c>
      <c r="C1214" s="6" t="s">
        <v>93</v>
      </c>
      <c r="D1214" s="6" t="s">
        <v>3019</v>
      </c>
      <c r="E1214" s="6" t="s">
        <v>6315</v>
      </c>
      <c r="F1214" s="6" t="s">
        <v>3020</v>
      </c>
      <c r="G1214" s="6" t="s">
        <v>1583</v>
      </c>
      <c r="H1214" s="6" t="s">
        <v>1445</v>
      </c>
      <c r="I1214" s="6" t="s">
        <v>4697</v>
      </c>
      <c r="J1214" s="6" t="s">
        <v>5365</v>
      </c>
      <c r="K1214" s="6" t="s">
        <v>4718</v>
      </c>
      <c r="L1214" s="2" t="s">
        <v>3023</v>
      </c>
      <c r="M1214" s="2" t="s">
        <v>3022</v>
      </c>
      <c r="N1214" s="9" t="s">
        <v>3024</v>
      </c>
      <c r="O1214" s="6" t="s">
        <v>256</v>
      </c>
      <c r="P1214" s="6" t="s">
        <v>85</v>
      </c>
      <c r="Q1214" s="6" t="s">
        <v>93</v>
      </c>
      <c r="R1214" s="6" t="s">
        <v>5433</v>
      </c>
    </row>
    <row r="1215" customFormat="false" ht="35.05" hidden="false" customHeight="false" outlineLevel="0" collapsed="false">
      <c r="A1215" s="6" t="s">
        <v>33</v>
      </c>
      <c r="B1215" s="6" t="s">
        <v>93</v>
      </c>
      <c r="C1215" s="6" t="s">
        <v>93</v>
      </c>
      <c r="D1215" s="6" t="s">
        <v>358</v>
      </c>
      <c r="E1215" s="6" t="s">
        <v>358</v>
      </c>
      <c r="F1215" s="6" t="s">
        <v>359</v>
      </c>
      <c r="G1215" s="6" t="s">
        <v>90</v>
      </c>
      <c r="H1215" s="6" t="s">
        <v>1445</v>
      </c>
      <c r="I1215" s="6" t="s">
        <v>4684</v>
      </c>
      <c r="J1215" s="6" t="s">
        <v>5365</v>
      </c>
      <c r="K1215" s="6" t="s">
        <v>4679</v>
      </c>
      <c r="L1215" s="2" t="s">
        <v>6316</v>
      </c>
      <c r="M1215" s="2" t="s">
        <v>6317</v>
      </c>
      <c r="N1215" s="9" t="s">
        <v>364</v>
      </c>
      <c r="O1215" s="6" t="s">
        <v>97</v>
      </c>
      <c r="P1215" s="6" t="s">
        <v>98</v>
      </c>
      <c r="Q1215" s="6" t="s">
        <v>33</v>
      </c>
      <c r="R1215" s="6" t="s">
        <v>5357</v>
      </c>
    </row>
    <row r="1216" customFormat="false" ht="23.85" hidden="false" customHeight="false" outlineLevel="0" collapsed="false">
      <c r="A1216" s="6" t="s">
        <v>33</v>
      </c>
      <c r="B1216" s="6" t="s">
        <v>93</v>
      </c>
      <c r="C1216" s="6" t="s">
        <v>93</v>
      </c>
      <c r="D1216" s="6" t="s">
        <v>3621</v>
      </c>
      <c r="E1216" s="6" t="s">
        <v>3621</v>
      </c>
      <c r="F1216" s="6" t="s">
        <v>3622</v>
      </c>
      <c r="G1216" s="6" t="s">
        <v>507</v>
      </c>
      <c r="H1216" s="6" t="s">
        <v>1445</v>
      </c>
      <c r="I1216" s="6" t="s">
        <v>4676</v>
      </c>
      <c r="J1216" s="6" t="s">
        <v>5365</v>
      </c>
      <c r="K1216" s="6" t="s">
        <v>4679</v>
      </c>
      <c r="L1216" s="2" t="s">
        <v>3624</v>
      </c>
      <c r="M1216" s="2" t="s">
        <v>3623</v>
      </c>
      <c r="N1216" s="9" t="s">
        <v>3625</v>
      </c>
      <c r="O1216" s="6" t="s">
        <v>440</v>
      </c>
      <c r="P1216" s="6" t="s">
        <v>98</v>
      </c>
      <c r="Q1216" s="6" t="s">
        <v>33</v>
      </c>
      <c r="R1216" s="6" t="s">
        <v>5357</v>
      </c>
    </row>
    <row r="1217" customFormat="false" ht="15" hidden="false" customHeight="false" outlineLevel="0" collapsed="false">
      <c r="A1217" s="6" t="s">
        <v>33</v>
      </c>
      <c r="B1217" s="6" t="s">
        <v>93</v>
      </c>
      <c r="C1217" s="6" t="s">
        <v>93</v>
      </c>
      <c r="D1217" s="6" t="s">
        <v>2646</v>
      </c>
      <c r="E1217" s="6" t="s">
        <v>2646</v>
      </c>
      <c r="F1217" s="6" t="s">
        <v>2647</v>
      </c>
      <c r="G1217" s="6" t="s">
        <v>1127</v>
      </c>
      <c r="H1217" s="6" t="s">
        <v>1445</v>
      </c>
      <c r="I1217" s="6" t="s">
        <v>4680</v>
      </c>
      <c r="J1217" s="6" t="s">
        <v>5365</v>
      </c>
      <c r="K1217" s="6" t="s">
        <v>4679</v>
      </c>
      <c r="L1217" s="2" t="s">
        <v>2650</v>
      </c>
      <c r="M1217" s="2" t="s">
        <v>496</v>
      </c>
      <c r="N1217" s="9" t="s">
        <v>2652</v>
      </c>
      <c r="O1217" s="6" t="s">
        <v>256</v>
      </c>
      <c r="P1217" s="6" t="s">
        <v>85</v>
      </c>
      <c r="Q1217" s="6" t="s">
        <v>93</v>
      </c>
      <c r="R1217" s="6" t="s">
        <v>5433</v>
      </c>
    </row>
    <row r="1218" customFormat="false" ht="15" hidden="false" customHeight="false" outlineLevel="0" collapsed="false">
      <c r="A1218" s="6" t="s">
        <v>33</v>
      </c>
      <c r="B1218" s="6" t="s">
        <v>93</v>
      </c>
      <c r="C1218" s="6" t="s">
        <v>93</v>
      </c>
      <c r="D1218" s="6" t="s">
        <v>3561</v>
      </c>
      <c r="E1218" s="6" t="s">
        <v>3561</v>
      </c>
      <c r="F1218" s="6" t="s">
        <v>3562</v>
      </c>
      <c r="G1218" s="6" t="s">
        <v>1598</v>
      </c>
      <c r="H1218" s="6" t="s">
        <v>1445</v>
      </c>
      <c r="I1218" s="6" t="s">
        <v>4680</v>
      </c>
      <c r="J1218" s="6" t="s">
        <v>5365</v>
      </c>
      <c r="K1218" s="6" t="s">
        <v>4679</v>
      </c>
      <c r="L1218" s="2" t="s">
        <v>3564</v>
      </c>
      <c r="M1218" s="2" t="s">
        <v>4693</v>
      </c>
      <c r="N1218" s="9" t="s">
        <v>3565</v>
      </c>
      <c r="O1218" s="6" t="s">
        <v>97</v>
      </c>
      <c r="P1218" s="6" t="s">
        <v>85</v>
      </c>
      <c r="Q1218" s="6" t="s">
        <v>93</v>
      </c>
      <c r="R1218" s="6" t="s">
        <v>5433</v>
      </c>
    </row>
    <row r="1219" customFormat="false" ht="15" hidden="false" customHeight="false" outlineLevel="0" collapsed="false">
      <c r="A1219" s="6" t="s">
        <v>33</v>
      </c>
      <c r="B1219" s="6" t="s">
        <v>93</v>
      </c>
      <c r="C1219" s="6" t="s">
        <v>93</v>
      </c>
      <c r="D1219" s="6" t="s">
        <v>2653</v>
      </c>
      <c r="E1219" s="6" t="s">
        <v>6318</v>
      </c>
      <c r="F1219" s="6" t="s">
        <v>2654</v>
      </c>
      <c r="G1219" s="6" t="s">
        <v>1127</v>
      </c>
      <c r="H1219" s="6" t="s">
        <v>1445</v>
      </c>
      <c r="I1219" s="6" t="s">
        <v>4680</v>
      </c>
      <c r="J1219" s="6" t="s">
        <v>5365</v>
      </c>
      <c r="K1219" s="6" t="s">
        <v>4679</v>
      </c>
      <c r="L1219" s="2" t="s">
        <v>2658</v>
      </c>
      <c r="M1219" s="2" t="s">
        <v>4746</v>
      </c>
      <c r="N1219" s="9" t="s">
        <v>4747</v>
      </c>
      <c r="O1219" s="6" t="s">
        <v>256</v>
      </c>
      <c r="P1219" s="6" t="s">
        <v>85</v>
      </c>
      <c r="Q1219" s="6" t="s">
        <v>93</v>
      </c>
      <c r="R1219" s="6" t="s">
        <v>5433</v>
      </c>
    </row>
    <row r="1220" customFormat="false" ht="23.85" hidden="false" customHeight="false" outlineLevel="0" collapsed="false">
      <c r="A1220" s="6" t="s">
        <v>33</v>
      </c>
      <c r="B1220" s="6" t="s">
        <v>93</v>
      </c>
      <c r="C1220" s="6" t="s">
        <v>93</v>
      </c>
      <c r="D1220" s="6" t="s">
        <v>2233</v>
      </c>
      <c r="E1220" s="6" t="s">
        <v>2233</v>
      </c>
      <c r="F1220" s="6" t="s">
        <v>2234</v>
      </c>
      <c r="G1220" s="6" t="s">
        <v>182</v>
      </c>
      <c r="H1220" s="6" t="s">
        <v>1445</v>
      </c>
      <c r="I1220" s="6" t="s">
        <v>4680</v>
      </c>
      <c r="J1220" s="6" t="s">
        <v>5365</v>
      </c>
      <c r="K1220" s="6" t="s">
        <v>4679</v>
      </c>
      <c r="L1220" s="2" t="s">
        <v>2236</v>
      </c>
      <c r="M1220" s="2" t="s">
        <v>2235</v>
      </c>
      <c r="N1220" s="6"/>
      <c r="O1220" s="6" t="s">
        <v>97</v>
      </c>
      <c r="P1220" s="6" t="s">
        <v>98</v>
      </c>
      <c r="Q1220" s="6" t="s">
        <v>33</v>
      </c>
      <c r="R1220" s="6" t="s">
        <v>5368</v>
      </c>
    </row>
    <row r="1221" customFormat="false" ht="23.85" hidden="false" customHeight="false" outlineLevel="0" collapsed="false">
      <c r="A1221" s="6" t="s">
        <v>33</v>
      </c>
      <c r="B1221" s="6" t="s">
        <v>93</v>
      </c>
      <c r="C1221" s="6" t="s">
        <v>93</v>
      </c>
      <c r="D1221" s="6" t="s">
        <v>3038</v>
      </c>
      <c r="E1221" s="6" t="s">
        <v>3038</v>
      </c>
      <c r="F1221" s="6" t="s">
        <v>3039</v>
      </c>
      <c r="G1221" s="6" t="s">
        <v>1583</v>
      </c>
      <c r="H1221" s="6" t="s">
        <v>1445</v>
      </c>
      <c r="I1221" s="6" t="s">
        <v>4680</v>
      </c>
      <c r="J1221" s="6" t="s">
        <v>5365</v>
      </c>
      <c r="K1221" s="6" t="s">
        <v>4679</v>
      </c>
      <c r="L1221" s="2" t="s">
        <v>3041</v>
      </c>
      <c r="M1221" s="2" t="s">
        <v>3040</v>
      </c>
      <c r="N1221" s="9" t="s">
        <v>3042</v>
      </c>
      <c r="O1221" s="6" t="s">
        <v>97</v>
      </c>
      <c r="P1221" s="6" t="s">
        <v>85</v>
      </c>
      <c r="Q1221" s="6" t="s">
        <v>93</v>
      </c>
      <c r="R1221" s="6" t="s">
        <v>5433</v>
      </c>
    </row>
    <row r="1222" customFormat="false" ht="15" hidden="false" customHeight="false" outlineLevel="0" collapsed="false">
      <c r="A1222" s="6" t="s">
        <v>33</v>
      </c>
      <c r="B1222" s="6" t="s">
        <v>93</v>
      </c>
      <c r="C1222" s="6" t="s">
        <v>93</v>
      </c>
      <c r="D1222" s="6" t="s">
        <v>2718</v>
      </c>
      <c r="E1222" s="6" t="s">
        <v>2718</v>
      </c>
      <c r="F1222" s="6" t="s">
        <v>2718</v>
      </c>
      <c r="G1222" s="6" t="s">
        <v>76</v>
      </c>
      <c r="H1222" s="6" t="s">
        <v>1445</v>
      </c>
      <c r="I1222" s="6" t="s">
        <v>4680</v>
      </c>
      <c r="J1222" s="6" t="s">
        <v>5365</v>
      </c>
      <c r="K1222" s="6" t="s">
        <v>4679</v>
      </c>
      <c r="L1222" s="2" t="s">
        <v>2720</v>
      </c>
      <c r="M1222" s="2" t="s">
        <v>2719</v>
      </c>
      <c r="N1222" s="9" t="s">
        <v>2721</v>
      </c>
      <c r="O1222" s="6" t="s">
        <v>281</v>
      </c>
      <c r="P1222" s="6" t="s">
        <v>98</v>
      </c>
      <c r="Q1222" s="6" t="s">
        <v>33</v>
      </c>
      <c r="R1222" s="6" t="s">
        <v>5368</v>
      </c>
    </row>
    <row r="1223" customFormat="false" ht="15" hidden="false" customHeight="false" outlineLevel="0" collapsed="false">
      <c r="A1223" s="6" t="s">
        <v>33</v>
      </c>
      <c r="B1223" s="6" t="s">
        <v>93</v>
      </c>
      <c r="C1223" s="6" t="s">
        <v>93</v>
      </c>
      <c r="D1223" s="6" t="s">
        <v>728</v>
      </c>
      <c r="E1223" s="6" t="s">
        <v>728</v>
      </c>
      <c r="F1223" s="6" t="s">
        <v>729</v>
      </c>
      <c r="G1223" s="6" t="s">
        <v>164</v>
      </c>
      <c r="H1223" s="6" t="s">
        <v>1445</v>
      </c>
      <c r="I1223" s="6" t="s">
        <v>4680</v>
      </c>
      <c r="J1223" s="6" t="s">
        <v>5365</v>
      </c>
      <c r="K1223" s="6" t="s">
        <v>4679</v>
      </c>
      <c r="L1223" s="2" t="s">
        <v>6319</v>
      </c>
      <c r="M1223" s="2" t="s">
        <v>6320</v>
      </c>
      <c r="N1223" s="9" t="s">
        <v>734</v>
      </c>
      <c r="O1223" s="6" t="s">
        <v>389</v>
      </c>
      <c r="P1223" s="6" t="s">
        <v>98</v>
      </c>
      <c r="Q1223" s="6" t="s">
        <v>33</v>
      </c>
      <c r="R1223" s="6" t="s">
        <v>5368</v>
      </c>
    </row>
    <row r="1224" customFormat="false" ht="23.85" hidden="false" customHeight="false" outlineLevel="0" collapsed="false">
      <c r="A1224" s="6" t="s">
        <v>33</v>
      </c>
      <c r="B1224" s="6" t="s">
        <v>93</v>
      </c>
      <c r="C1224" s="6" t="s">
        <v>93</v>
      </c>
      <c r="D1224" s="6" t="s">
        <v>2661</v>
      </c>
      <c r="E1224" s="6" t="s">
        <v>2661</v>
      </c>
      <c r="F1224" s="6" t="s">
        <v>2662</v>
      </c>
      <c r="G1224" s="6" t="s">
        <v>507</v>
      </c>
      <c r="H1224" s="6" t="s">
        <v>1445</v>
      </c>
      <c r="I1224" s="6" t="s">
        <v>4680</v>
      </c>
      <c r="J1224" s="6" t="s">
        <v>5365</v>
      </c>
      <c r="K1224" s="6" t="s">
        <v>4679</v>
      </c>
      <c r="L1224" s="2" t="s">
        <v>2664</v>
      </c>
      <c r="M1224" s="2" t="s">
        <v>2663</v>
      </c>
      <c r="N1224" s="9" t="s">
        <v>2665</v>
      </c>
      <c r="O1224" s="6" t="s">
        <v>97</v>
      </c>
      <c r="P1224" s="6" t="s">
        <v>85</v>
      </c>
      <c r="Q1224" s="6" t="s">
        <v>93</v>
      </c>
      <c r="R1224" s="6" t="s">
        <v>5433</v>
      </c>
    </row>
    <row r="1225" customFormat="false" ht="23.85" hidden="false" customHeight="false" outlineLevel="0" collapsed="false">
      <c r="A1225" s="6" t="s">
        <v>33</v>
      </c>
      <c r="B1225" s="6" t="s">
        <v>93</v>
      </c>
      <c r="C1225" s="6" t="s">
        <v>93</v>
      </c>
      <c r="D1225" s="6" t="s">
        <v>3098</v>
      </c>
      <c r="E1225" s="6" t="s">
        <v>3098</v>
      </c>
      <c r="F1225" s="6" t="s">
        <v>3099</v>
      </c>
      <c r="G1225" s="6" t="s">
        <v>507</v>
      </c>
      <c r="H1225" s="6" t="s">
        <v>1445</v>
      </c>
      <c r="I1225" s="6" t="s">
        <v>4684</v>
      </c>
      <c r="J1225" s="6" t="s">
        <v>5365</v>
      </c>
      <c r="K1225" s="6" t="s">
        <v>4679</v>
      </c>
      <c r="L1225" s="2" t="s">
        <v>3101</v>
      </c>
      <c r="M1225" s="2" t="s">
        <v>3100</v>
      </c>
      <c r="N1225" s="9" t="s">
        <v>3102</v>
      </c>
      <c r="O1225" s="6" t="s">
        <v>123</v>
      </c>
      <c r="P1225" s="6" t="s">
        <v>98</v>
      </c>
      <c r="Q1225" s="6" t="s">
        <v>33</v>
      </c>
      <c r="R1225" s="6" t="s">
        <v>5357</v>
      </c>
    </row>
    <row r="1226" customFormat="false" ht="15" hidden="false" customHeight="false" outlineLevel="0" collapsed="false">
      <c r="A1226" s="6" t="s">
        <v>33</v>
      </c>
      <c r="B1226" s="6" t="s">
        <v>93</v>
      </c>
      <c r="C1226" s="6" t="s">
        <v>93</v>
      </c>
      <c r="D1226" s="6" t="s">
        <v>3049</v>
      </c>
      <c r="E1226" s="6" t="s">
        <v>3049</v>
      </c>
      <c r="F1226" s="6" t="s">
        <v>4531</v>
      </c>
      <c r="G1226" s="6" t="s">
        <v>3000</v>
      </c>
      <c r="H1226" s="6" t="s">
        <v>1445</v>
      </c>
      <c r="I1226" s="6" t="s">
        <v>4680</v>
      </c>
      <c r="J1226" s="6" t="s">
        <v>5365</v>
      </c>
      <c r="K1226" s="6" t="s">
        <v>4679</v>
      </c>
      <c r="L1226" s="2" t="s">
        <v>3053</v>
      </c>
      <c r="M1226" s="2" t="s">
        <v>4748</v>
      </c>
      <c r="N1226" s="9" t="s">
        <v>4749</v>
      </c>
      <c r="O1226" s="6" t="s">
        <v>256</v>
      </c>
      <c r="P1226" s="6" t="s">
        <v>85</v>
      </c>
      <c r="Q1226" s="6" t="s">
        <v>93</v>
      </c>
      <c r="R1226" s="6" t="s">
        <v>5433</v>
      </c>
    </row>
    <row r="1227" customFormat="false" ht="23.85" hidden="false" customHeight="false" outlineLevel="0" collapsed="false">
      <c r="A1227" s="6" t="s">
        <v>33</v>
      </c>
      <c r="B1227" s="6" t="s">
        <v>93</v>
      </c>
      <c r="C1227" s="6" t="s">
        <v>93</v>
      </c>
      <c r="D1227" s="6" t="s">
        <v>2713</v>
      </c>
      <c r="E1227" s="6" t="s">
        <v>2713</v>
      </c>
      <c r="F1227" s="6" t="s">
        <v>2714</v>
      </c>
      <c r="G1227" s="6" t="s">
        <v>182</v>
      </c>
      <c r="H1227" s="6" t="s">
        <v>1445</v>
      </c>
      <c r="I1227" s="6" t="s">
        <v>4680</v>
      </c>
      <c r="J1227" s="6" t="s">
        <v>5365</v>
      </c>
      <c r="K1227" s="6" t="s">
        <v>4679</v>
      </c>
      <c r="L1227" s="2" t="s">
        <v>6321</v>
      </c>
      <c r="M1227" s="2" t="s">
        <v>6322</v>
      </c>
      <c r="N1227" s="9" t="s">
        <v>2717</v>
      </c>
      <c r="O1227" s="6" t="s">
        <v>1162</v>
      </c>
      <c r="P1227" s="6" t="s">
        <v>98</v>
      </c>
      <c r="Q1227" s="6" t="s">
        <v>33</v>
      </c>
      <c r="R1227" s="6" t="s">
        <v>5368</v>
      </c>
    </row>
  </sheetData>
  <autoFilter ref="A1:R1227"/>
  <hyperlinks>
    <hyperlink ref="N2" r:id="rId1" display="https://www.campaignindia.in/article/burson-wins-chalet-hotels-reputation-mandate/4xy9ew13ahvn7sn61tt41mbhx7"/>
    <hyperlink ref="N3" r:id="rId2" display="https://www.medianews4u.com/ducati-india-appoints-burson-as-strategic-communications-partner/"/>
    <hyperlink ref="N4" r:id="rId3" display="https://www.medianews4u.com/birla-opus-paints-appoints-burson-for-reputation-management-and-brand-communications-in-india/"/>
    <hyperlink ref="N5" r:id="rId4" display="https://www.afaqs.com/news/newbizwins/honda-cars-india-appoints-burson-as-strategic-communications-partner-9064438"/>
    <hyperlink ref="N6" r:id="rId5" display="https://www.medianews4u.com/mirae-asset-sharekhan-names-burson-as-communications-partner/"/>
    <hyperlink ref="N7" r:id="rId6" display="https://www.medianews4u.com/eastman-auto-power-partners-with-burson-to-enhance-brand-presence/"/>
    <hyperlink ref="N8" r:id="rId7" display="https://www.storyboard18.com/agency-news/exclusive-bmw-india-appoints-vmls-contract-advertising-india-as-creative-agency-87842.htm"/>
    <hyperlink ref="N9" r:id="rId8" display="https://campaignbriefasia.com/2023/06/06/contract-advertising-creates-my-account-starts-today-for-hsbc-india-starring-virat-kohli/"/>
    <hyperlink ref="N10" r:id="rId9" display="https://www.medianews4u.com/contract-advertising-launches-brand-re-stage-campaign-for-kisna/"/>
    <hyperlink ref="N11" r:id="rId10" display="https://www.medianews4u.com/contract-advertisings-new-film-for-lt-realty-puts-the-spotlight-on-trust-and-relationships/"/>
    <hyperlink ref="N12" r:id="rId11" display="https://campaignbriefasia.com/2022/05/10/contract-advertising-india-explores-the-changing-narrative-of-mothers-via-shoppers-stop-campaign/"/>
    <hyperlink ref="N13" r:id="rId12" display="https://www.medianews4u.com/contract-advertising-wins-the-mandate-for-haldirams/"/>
    <hyperlink ref="N14" r:id="rId13" display="https://www.medianews4u.com/varun-dhawan-headlines-softovacs-new-digital-campaign-kabz-ka-kabza-conceptualised-by-contract-advertising/"/>
    <hyperlink ref="N15" r:id="rId14" display="https://www.storyboard18.com/brand-marketing/82-5-communications-wins-creative-mandate-for-de-beers-group-44868.htm"/>
    <hyperlink ref="N16" r:id="rId15" display="https://www.medianews4u.com/82-5-communications-wins-the-mandate-for-bacardi-indias-brands/"/>
    <hyperlink ref="N17" r:id="rId16" display="https://www.medianews4u.com/82-5-communications-wins-the-mandate-for-bacardi-indias-brands/"/>
    <hyperlink ref="N18" r:id="rId17" display="https://campaignbriefasia.com/2022/02/09/havells-urges-their-customers-not-to-make-assumptions-based-on-peoples-appearance-via-new-82-5-communications-india-campaign/"/>
    <hyperlink ref="N19" r:id="rId18" display="https://www.medianews4u.com/82-5-communications-and-tcpl-bring-the-soul-of-the-himalayas-alive-with-himalayan-day-campaign/"/>
    <hyperlink ref="N20" r:id="rId19" display="https://www.medianews4u.com/82-5-communications-bags-the-launch-campaign-mandate-for-indian-craft-brewery/"/>
    <hyperlink ref="N21" r:id="rId20" display="https://www.medianews4u.com/82-5-communications-india-secures-the-creative-mandate-for-jsw-mg-motor-india/"/>
    <hyperlink ref="N22" r:id="rId21" display="https://www.medianews4u.com/82-5-communications-announces-kajaria-win/"/>
    <hyperlink ref="N23" r:id="rId22" display="https://www.medianews4u.com/india-at-cannes-lions-2026-17-shortlists-and-counting-as-ogilvy-vml-lead-the-charge/"/>
    <hyperlink ref="N24" r:id="rId23" display="https://www.medianews4u.com/mmtc-pamps-festive-films-by-autumngrey-capture-the-purity-of-emotions/"/>
    <hyperlink ref="N25" r:id="rId24" display="https://www.afaqs.com/news/advertising/tanishq-challenges-empowerment-norms-in-womens-day-campaign-her-choice-8828061"/>
    <hyperlink ref="N26" r:id="rId25" display="https://www.medianews4u.com/82-5-communications-secures-creative-mandate-for-tata-coffee-grand-cold-coffee-and-himalayan-natural-mineral-water/"/>
    <hyperlink ref="N27" r:id="rId26" display="https://campaignbriefasia.com/2026/01/28/axis-bank-and-grey-india-launch-deshkalocker-republic-day-campaign/"/>
    <hyperlink ref="N28" r:id="rId27" display="https://www.medianews4u.com/bandhan-mutual-fund-and-grey-82-5-india-launch-kya-azaad-ho-tum-campaign/"/>
    <hyperlink ref="N29" r:id="rId28" display="https://www.medianews4u.com/grey-82-5-secures-creative-mandate-for-imperial-blue/"/>
    <hyperlink ref="N30" r:id="rId29" display="https://campaignbriefasia.com/2023/11/08/grey-india-and-autumngrey-india-shines-a-new-light-on-diwali-this-year-for-luminous/"/>
    <hyperlink ref="N31" r:id="rId30" display="https://www.medianews4u.com/82-5-communications-secures-the-creative-mandate-for-mothers-recipe/"/>
    <hyperlink ref="N32" r:id="rId31" display="https://www.medianews4u.com/vadilal-unveils-joyful-new-campaign-zara-muskuraiye-vadilal-khaiye-with-82-5-communications/"/>
    <hyperlink ref="N33" r:id="rId32" display="https://www.medianews4u.com/federal-bank-partners-with-hogarth-to-deliver-ai-powered-immersive-onam-campaign/"/>
    <hyperlink ref="N34" r:id="rId33" display="https://www.medianews4u.com/landor-transforms-hilton-shillim-resort-spa-into-dharana-a-luxury-retreat-with-a-new-brand-identity-celebrating-wellness-and-conscious-being/"/>
    <hyperlink ref="N35" r:id="rId34" display="https://www.medianews4u.com/adani-realty-collaborates-with-mirum-india-for-its-vr-offering/"/>
    <hyperlink ref="N36" r:id="rId35" display="https://www.medianews4u.com/manyavar-awards-digital-transformation-mandate-to-mirum-india-and-wt-commerce/"/>
    <hyperlink ref="N37" r:id="rId36" display="https://www.medianews4u.com/amfi-partners-mirum-india-and-webengage-to-drive-martech-strategy-for-their-mutual-fund-sahi-hai-campaign/"/>
    <hyperlink ref="N38" r:id="rId37" display="https://www.socialsamosa.com/industry-updates/mirum-india-digital-mandate-ibis-hotels-4419184"/>
    <hyperlink ref="N39" r:id="rId38" display="https://www.medianews4u.com/aqua-plumbings-joins-hands-with-ogilvy-to-redefine-bathware-branding-in-india/"/>
    <hyperlink ref="N40" r:id="rId39" display="https://campaignbriefasia.com/2025/11/11/ogilvy-india-brings-italian-flair-to-asian-paints-emporios-latest-campaign-starring-dino-morea/"/>
    <hyperlink ref="N41" r:id="rId40" display="https://campaignbriefasia.com/2025/11/19/adani-group-highlights-human-first-service-through-airports-via-new-ogilvy-india-film/"/>
    <hyperlink ref="N42" r:id="rId41" display="https://www.medianews4u.com/allen-solly-elevates-mens-fashion-with-bottomwear-focused-legs-now-turn-heads-campaign/"/>
    <hyperlink ref="N43" r:id="rId42" display="https://campaignbriefasia.com/2026/04/17/asian-paints-and-ogilvy-india-celebrate-colour-as-identity-in-new-rangon-ki-warranty-campaign/"/>
    <hyperlink ref="N44" r:id="rId43" display="https://campaignbriefasia.com/2026/08/11/asian-paints-ogilvy-india-showcase-hassle-free-home-painting-with-beautiful-homes-campaign/"/>
    <hyperlink ref="N45" r:id="rId44" display="https://www.medianews4u.com/hul-ogilvy-and-mindshare-usher-in-a-new-era-of-experiential-tea-marketing-with-the-chai-bansuri-installation/"/>
    <hyperlink ref="N46" r:id="rId45" display="https://campaignbriefasia.com/2026/02/03/cadbury-dairy-milk-silk-and-ogilvy-india-bring-back-say-it-with-silk-for-valentines-day-2026/"/>
    <hyperlink ref="N47" r:id="rId46" display="https://www.medianews4u.com/godrej-properties-launches-its-first-digital-brand-campaign/"/>
    <hyperlink ref="N48" r:id="rId47" display="https://campaignbriefasia.com/2025/09/22/ogilvy-india-creates-festive-film-for-indriyas-alka-collection-featuring-dil-abhi-bhara-nahin/"/>
    <hyperlink ref="N49" r:id="rId48" display="https://www.medianews4u.com/lakme-launches-i-earned-it-campaign-for-9to5-hya-beach-edit-featuring-aneet-padda/"/>
    <hyperlink ref="N50" r:id="rId49" display="https://www.campaignindia.in/article/rustomjee-and-ogilvy-redefine-family-through-new-campaign/421rnxh59t4z2v5yzjh762yr5a"/>
    <hyperlink ref="N51" r:id="rId50" display="https://www.medianews4u.com/titan-raga-launches-your-way-is-beautiful-campaign-featuring-alia-bhatt/"/>
    <hyperlink ref="N52" r:id="rId51" display="https://www.afaqs.com/news/advertising/titan-raga-shifts-the-conversation-from-sisterhood-to-women-standing-their-ground-12512364"/>
    <hyperlink ref="N53" r:id="rId52" display="https://www.medianews4u.com/vistara-assigns-its-creative-mandate-to-ogilvy-and-signs-maxus-as-media-partner/"/>
    <hyperlink ref="N54" r:id="rId53" display="https://www.medianews4u.com/amazon-and-ogilvy-unveil-from-everything-store-to-everyday-store-campaign-to-reflect-new-brand-direction/"/>
    <hyperlink ref="N55" r:id="rId54" display="https://www.afaqs.com/news/advertising/bajaj-pulsar-ogilvy-12535918"/>
    <hyperlink ref="N56" r:id="rId55" display="https://www.afaqs.com/news/advertising/bajaj-pulsar-ogilvy-12535918"/>
    <hyperlink ref="N57" r:id="rId56" display="https://campaignbriefasia.com/2026/02/09/cadbury-5-star-ends-the-war-on-valentines-day-with-twist-filled-ogilvy-india-campaign/"/>
    <hyperlink ref="N58" r:id="rId57" display="https://campaignbriefasia.com/2026/08/10/ogilvy-india-brings-sibling-banter-to-life-for-cadbury-celebrations-raksha-bandhan-campaign/"/>
    <hyperlink ref="N59" r:id="rId58" display="https://www.afaqs.com/news/advertising/cadbury-dairy-milk-8837735"/>
    <hyperlink ref="N60" r:id="rId59" display="https://www.medianews4u.com/ogilvy-india-puts-zoya-akhtars-direction-to-the-ultimate-test-in-new-ceat-tyres-campaign/"/>
    <hyperlink ref="N61" r:id="rId60" display="https://www.afaqs.com/news/advertising/aamir-khan-time-travels-for-charged-by-thums-upthis-time-as-a-caveman-8678455"/>
    <hyperlink ref="N62" r:id="rId61" display="https://www.afaqs.com/news/advertising/coca-cola-launches-the-lost-voices-campaign-for-fifa-world-cup-12148451"/>
    <hyperlink ref="N63" r:id="rId62" display="https://campaignbriefasia.com/2025/04/04/ogilvy-india-takes-minimalist-approach-to-latest-ad-campaign-for-coke-zero/"/>
    <hyperlink ref="N64" r:id="rId63" display="https://campaignbriefasia.com/2026/02/10/dp-world-ogilvy-india-draw-parallels-between-cricket-and-logistics-in-latest-campaign/"/>
    <hyperlink ref="N65" r:id="rId64" display="https://www.medianews4u.com/ogilvy-redefines-pujo-communication-with-culture-over-clutter/"/>
    <hyperlink ref="N66" r:id="rId65" display="https://www.storyboard18.com/brand-marketing/storyboard18-awards-for-creativity-2026-where-creative-bravery-met-storytelling-and-scale-94461.htm"/>
    <hyperlink ref="N67" r:id="rId66" display="https://campaignbriefasia.com/2024/10/23/ogilvy-india-promotes-googles-interactive-search-experience-via-googlies-on-google/"/>
    <hyperlink ref="N68" r:id="rId67" display="https://www.medianews4u.com/pankaj-tripathi-stars-in-jio-bps-latest-fuel-campaign-crafted-by-ogilvy/"/>
    <hyperlink ref="N69" r:id="rId68" display="https://www.storyboard18.com/brand-makers/exclusive-jsw-steels-creative-account-up-for-review-95404.htm"/>
    <hyperlink ref="N70" r:id="rId69" display="https://campaignbriefasia.com/2026/06/04/ogilvy-india-helps-mother-dairy-launch-indias-first-naturally-degradable-milk-pouch/"/>
    <hyperlink ref="N71" r:id="rId70" display="https://www.medianews4u.com/ogilvy-india-launches-humour-led-campaign-for-phonepe-mutual-funds-to-encourage-confident-investing/"/>
    <hyperlink ref="N72" r:id="rId71" display="https://www.afaqs.com/news/advertising/why-ponds-and-ogilvy-believe-googly-woogly-wooksh-still-matters-12203275"/>
    <hyperlink ref="N73" r:id="rId72" display="https://www.prnewswire.com/in/news-releases/powerade-enters-india-as-official-sports-drink-of-the-icc-mens-t20-world-cup-2026-302699467.html"/>
    <hyperlink ref="N74" r:id="rId73" display="https://www.afaqs.com/news/advertising/revital-highlights-the-impact-of-stress-in-new-ad-with-vicky-kaushal-12166198"/>
    <hyperlink ref="N75" r:id="rId74" display="https://www.storyboard18.com/agency-news/santoor-appoints-tilt-brand-solutions-as-agency-on-record-95223.htm"/>
    <hyperlink ref="N76" r:id="rId75" display="https://campaignbriefasia.com/2026/02/12/jasprit-bumrah-shows-his-fun-side-in-sunfeast-yippee-magic-masala-film-via-ogilvy-india/"/>
    <hyperlink ref="N77" r:id="rId76" display="https://www.medianews4u.com/ogilvy-india-crafts-new-brand-film-showcasing-tata-motors-cvs-better-always-vision/"/>
    <hyperlink ref="N78" r:id="rId77" display="https://www.afaqs.com/news/advertising/tata-play-gives-life-jingalala-a-folk-music-makeover-as-it-turns-20-12239501"/>
    <hyperlink ref="N79" r:id="rId78" display="https://www.medianews4u.com/india-at-cannes-lions-2026-17-shortlists-and-counting-as-ogilvy-vml-lead-the-charge/"/>
    <hyperlink ref="N80" r:id="rId79" display="https://www.afaqs.com/news/advertising/shah-rukh-khan-gets-the-vip-treatment-in-vis-new-ad-12513906"/>
    <hyperlink ref="N81" r:id="rId80" display="https://www.medianews4u.com/the-glitch-expands-their-integrated-creative-portfolio-with-the-addition-of-diageo-indias-premium-luxury-and-reserve-brands/"/>
    <hyperlink ref="N82" r:id="rId81" display="https://www.socialsamosa.com/2020/02/the-glitch-bags-360-degree-mandate-of-diageo-india/"/>
    <hyperlink ref="N83" r:id="rId82" display="https://www.afaqs.com/news/advertising/dove-encourages-consumers-to-pause-reverse-and-play-for-healthier-hair"/>
    <hyperlink ref="N84" r:id="rId83" display="https://www.medianews4u.com/the-glitch-wins-agency-on-record-appointment-for-enamor/"/>
    <hyperlink ref="N85" r:id="rId84" display="https://www.medianews4u.com/vmlyr-india-to-work-on-user-experience-and-creative-revamp-of-anita-dongres-website/"/>
    <hyperlink ref="N86" r:id="rId85" display="https://www.brandinginasia.com/vml-india-shares-the-stories-behind-four-cannes-lions-contenders/"/>
    <hyperlink ref="N87" r:id="rId86" display="https://www.afaqs.com/news/advertising/centuryply-ropes-in-aamir-khan-for-total-cover-campaign-12253476"/>
    <hyperlink ref="N88" r:id="rId87" display="https://www.medianews4u.com/wunderman-thompson-india-wins-creative-mandate-for-cera-sanitaryware/"/>
    <hyperlink ref="N89" r:id="rId88" display="https://www.medianews4u.com/wunderman-thompson-india-wins-cult-sports-creative-biz/"/>
    <hyperlink ref="N90" r:id="rId89" display="https://www.medianews4u.com/india-at-cannes-lions-2026-17-shortlists-and-counting-as-ogilvy-vml-lead-the-charge/"/>
    <hyperlink ref="N91" r:id="rId90" display="https://campaignbriefasia.com/2026/05/29/vml-india-and-saint-gobain-india-challenge-perceptions-of-fragile-glass-in-new-film/"/>
    <hyperlink ref="N92" r:id="rId91" display="https://www.medianews4u.com/wunderman-thompson-india-bags-strategy-and-creative-mandate-for-skoda/"/>
    <hyperlink ref="N93" r:id="rId92" display="https://www.medianews4u.com/vivo-launches-dreamchasers-campaign-with-suhana-khan-to-empower-indias-gen-z/"/>
    <hyperlink ref="N94" r:id="rId93" display="https://www.medianews4u.com/apollo-tyres-and-vml-india-unveil-new-apterra-suv-campaign-featuring-sachin-tendulkar/"/>
    <hyperlink ref="N95" r:id="rId94" display="https://campaignbriefasia.com/2026/04/02/boost-milkshake-finds-the-new-secret-of-mahi-energy-in-vml-india-campaign/"/>
    <hyperlink ref="N96" r:id="rId95" display="https://www.socialsamosa.com/sscanneswatch/vml-india-entries-for-cannes-lions-2026-12004723"/>
    <hyperlink ref="N97" r:id="rId96" display="https://www.medianews4u.com/vml-india-creates-rainbow-classrooms-for-durexs-campaign-helping-indian-students-express-feelings-and-tackle-gender-identity-issues/"/>
    <hyperlink ref="N98" r:id="rId97" display="https://www.medianews4u.com/wunderman-thompson-south-asias-music-video-for-brand-kingfisher-helps-build-positive-community-spirit/"/>
    <hyperlink ref="N99" r:id="rId98" display="https://www.afaqs.com/news/mktg/kitkat-vml-install-slow-vending-machine-activation-11720525"/>
    <hyperlink ref="N100" r:id="rId99" display="https://www.storyboard18.com/advertising/coca-colas-limca-shifts-creative-mandate-to-atom-network-93735.htm"/>
    <hyperlink ref="N101" r:id="rId100" display="https://www.adgully.com/post/16000/vml-india-bags-black-elephant-at-kyoorius-creative-awards-2026"/>
    <hyperlink ref="N102" r:id="rId101" display="https://campaignbriefasia.com/2025/03/07/star-cement-champions-north-east-spirit-with-boxer-lovelina-borgohain-in-vml-india-film/"/>
    <hyperlink ref="N103" r:id="rId102" display="https://www.medianews4u.com/vml-indias-new-campaign-with-janhvi-kapoor-kicks-off-sugar-frees-health-evolution/"/>
    <hyperlink ref="N104" r:id="rId103" display="https://campaignbriefasia.com/2025/09/02/vml-india-and-thums-up-introduce-two-hands-ritual-with-shah-rukh-khan-and-jagapathi-babu/"/>
    <hyperlink ref="N105" r:id="rId104" display="https://www.medianews4u.com/vml-india-and-tirupati-edible-oils-bring-a-festive-twist-to-breathless-with-siddharth-mahadevan/"/>
    <hyperlink ref="N106" r:id="rId105" display="https://www.storyboard18.com/advertising/biz-breaks-major-account-moves-and-pitches-of-2024-51970.htm"/>
    <hyperlink ref="N107" r:id="rId106" display="https://www.storyboard18.com/agency-news/loreal-india-appoints-publicis-media-as-integrated-media-agency-after-strategic-review-99678.htm"/>
    <hyperlink ref="N108" r:id="rId107" display="https://www.storyboard18.com/advertising/omnicom-media-bags-netflix-indias-mandate-signalling-strategic-reset-in-ott-marketing-97341.htm"/>
    <hyperlink ref="N109" r:id="rId108" display="https://www.medianews4u.com/wavemaker-india-retains-media-mandate-for-pernod-ricard-india/"/>
    <hyperlink ref="N110" r:id="rId109" display="https://www.afaqs.com/news/newbizwins/red-bull-india-renews-media-mandate-with-wavemaker-11756549"/>
    <hyperlink ref="N111" r:id="rId110" display="https://www.medianews4u.com/tata-consumer-products-renews-wavemaker-as-media-agency-partner/"/>
    <hyperlink ref="N112" r:id="rId111" display="https://www.afaqs.com/news/newbizwins/wipro-consumer-care-appoints-wavemaker-as-integrated-media-partner-11442219"/>
    <hyperlink ref="N113" r:id="rId112" display="https://www.afaqs.com/news/mktg/wpp-wins-global-ai-led-marketing-mandate-for-jaguar-land-rover-11857970"/>
    <hyperlink ref="N114" r:id="rId113" display="https://www.afaqs.com/news/newbizwins/wpp-media-wins-integrated-media-mandate-for-lt-foods-daawat-12391507"/>
    <hyperlink ref="N115" r:id="rId114" display="https://www.medianews4u.com/manyavar-enters-south-india-with-ram-charan-as-brands-face-in-ooh-campaign-conceptualized-by-groupm-ooh-solutions/"/>
    <hyperlink ref="N116" r:id="rId115" display="https://www.afaqs.com/news/newbizwins/publicis-starcom-wins-flipkart-groups-750-crore-media-mandate-replaces-essencemediacom-10981998"/>
    <hyperlink ref="N117" r:id="rId116" display="https://www.medianews4u.com/publicis-groupe-south-asia-appoints-paritosh-srivastava-and-snehasis-bose-to-lead-bbh-india/"/>
    <hyperlink ref="N118" r:id="rId117" display="https://www.medianews4u.com/caratlane-launches-written-in-the-stars-film-with-kayadu-lohar-as-regional-brand-ambassador/"/>
    <hyperlink ref="N119" r:id="rId118" display="https://www.medianews4u.com/dp-world-has-sachin-tendulkar-seeing-cricket-through-a-whole-new-lens/"/>
    <hyperlink ref="N120" r:id="rId119" display="https://www.medianews4u.com/oaksmith-brand-partners-with-vijay-varma-for-oaksmith-style-studio-to-enhance-indian-mens-style/"/>
    <hyperlink ref="N121" r:id="rId120" display="https://www.campaignindia.in/article/skoda-and-bbh-india-launch-campaign-for-kylaq-sportline/48mvzb9mc8stayqeb8zy81q150"/>
    <hyperlink ref="N122" r:id="rId121" display="https://www.medianews4u.com/skoda-auto-india-and-bbh-india-launch-for-the-restless-campaign-for-new-kylaq-sportline/"/>
    <hyperlink ref="N123" r:id="rId122" display="https://www.storyboard18.com/agency-news/exclusive-bbh-india-wins-integrated-creative-media-mandate-for-cybersecurity-app-cybx-90514.htm"/>
    <hyperlink ref="N124" r:id="rId123" display="https://www.medianews4u.com/bbh-india-brings-home-a-bronze-lion-for-bassi-vs-garnier-men-facewash-campaign/"/>
    <hyperlink ref="N125" r:id="rId124" display="https://www.medianews4u.com/publicis-groupe-south-asia-appoints-paritosh-srivastava-and-snehasis-bose-to-lead-bbh-india/"/>
    <hyperlink ref="N126" r:id="rId125" display="https://www.medianews4u.com/bbh-india-wins-creative-mandate-of-japfa/"/>
    <hyperlink ref="N127" r:id="rId126" display="https://bestmediainfo.com/2023/08/bbh-india-wins-integrated-creative-mandate-of-microtek"/>
    <hyperlink ref="N128" r:id="rId127" display="https://www.medianews4u.com/publicis-groupe-south-asia-appoints-paritosh-srivastava-and-snehasis-bose-to-lead-bbh-india/"/>
    <hyperlink ref="N129" r:id="rId128" display="https://www.medianews4u.com/bbh-india-wins-unischolars-creative-duties/"/>
    <hyperlink ref="N130" r:id="rId129" display="https://www.medianews4u.com/bbh-india-to-handle-upcoming-upgrad-campaign-to-reposition-brand/"/>
    <hyperlink ref="N131" r:id="rId130" display="https://www.medianews4u.com/taproot-dentsu-wins-creative-mandate-for-biba/"/>
    <hyperlink ref="N132" r:id="rId131" display="https://www.medianews4u.com/enamor-names-tilt-brand-solutions-as-brand-communications-aor/"/>
    <hyperlink ref="N133" r:id="rId132" display="https://www.medianews4u.com/publicis-indias-campaign-for-hdfc-mutual-fund-captures-emotional-investment-journey-with-storytelling-and-insights/"/>
    <hyperlink ref="N134" r:id="rId133" display="https://www.medianews4u.com/publicis-india-to-manage-the-creative-mandate-of-emamis-power-brand-navratna/"/>
    <hyperlink ref="N135" r:id="rId134" display="https://www.socialsamosa.com/samosa-snippets/tracing-legacy-publicis-india-transition-into-bbh-11021947"/>
    <hyperlink ref="N136" r:id="rId135" display="https://www.exchange4media.com/advertising-news/publicis-worldwide-india-bags-integrated-creative-mandate-for-pramerica-life-insurance-132070.html"/>
    <hyperlink ref="N137" r:id="rId136" display="https://www.medianews4u.com/publicis-india-launches-heartfelt-thank-you-tv-campaign-for-zee-tv/"/>
    <hyperlink ref="N138" r:id="rId137" display="https://www.agencyreporter.com/publicis-capital-bags-the-creative-mandate-of-zee5-india/"/>
    <hyperlink ref="N139" r:id="rId138" display="https://www.medianews4u.com/marriott-international-brings-loyal-tea-activation-to-mumbai-with-bbh-singapore-to-extend-marriott-bonvoy-campaign/"/>
    <hyperlink ref="N140" r:id="rId139" display="https://www.medianews4u.com/leo-burnett-india-to-design-brand-architecture-for-birla-opus/"/>
    <hyperlink ref="N141" r:id="rId140" display="https://www.socialsamosa.com/industry-updates/leo-india-alin-choubey-vice-president-digital-12151129"/>
    <hyperlink ref="N142" r:id="rId141" display="https://www.socialsamosa.com/industry-updates/leo-india-alin-choubey-vice-president-digital-12151129"/>
    <hyperlink ref="N143" r:id="rId142" display="https://campaignbriefasia.com/2026/01/27/hdfc-life-unveils-new-brand-campaign-with-leo-highlighting-parents-role-in-shaping-the-future/"/>
    <hyperlink ref="N144" r:id="rId143" display="https://www.medianews4u.com/ikea-india-unveils-new-brand-position-it-all-starts-at-home-deepens-emotional-connect/"/>
    <hyperlink ref="N145" r:id="rId144" display="https://www.afaqs.com/tags/leo-burnett-india"/>
    <hyperlink ref="N146" r:id="rId145" display="https://www.medianews4u.com/ace-turtle-appoints-leo-burnett-orchard-as-creative-partners-for-lee/"/>
    <hyperlink ref="N147" r:id="rId146" display="https://www.medianews4u.com/lenovo-india-and-leo-launch-gamers-on-duty-campaign-to-target-campers-and-drive-laptop-upgrades/"/>
    <hyperlink ref="N148" r:id="rId147" display="https://www.afaqs.com/tags/leo-burnett-india"/>
    <hyperlink ref="N149" r:id="rId148" display="https://www.medianews4u.com/puma-owns-the-dive-invites-viewers-to-dive-and-post-to-play-alongside-virat-kohli/"/>
    <hyperlink ref="N150" r:id="rId149" display="https://www.socialsamosa.com/industry-updates/leo-india-creative-mandate-schneider-electric-9653024"/>
    <hyperlink ref="N151" r:id="rId150" display="https://www.medianews4u.com/sebameds-new-campaign-brings-the-wombs-comfort-to-baby-skincare/"/>
    <hyperlink ref="N152" r:id="rId151" display="https://campaignbriefasia.com/2026/06/04/visa-partners-with-shah-rukh-khan-for-infinitely-more-campaign-via-leo-india/"/>
    <hyperlink ref="N153" r:id="rId152" display="https://www.socialsamosa.com/industry-updates/spikes-asia-winners-leo-india-apac-agency-of-year-11208984"/>
    <hyperlink ref="N154" r:id="rId153" display="https://www.medianews4u.com/amazon-india-relaunches-iconic-aur-dikhao-campaign-created-by-leo-burnett-india/"/>
    <hyperlink ref="N155" r:id="rId154" display="https://www.medianews4u.com/bandhan-bank-unveils-new-brand-campaign-jahaan-bandhan-wahaan-trust/"/>
    <hyperlink ref="N156" r:id="rId155" display="https://www.medianews4u.com/krafton-india-and-leo-india-launch-bgmi-career-mode-to-translate-gameplay-into-career-skills/"/>
    <hyperlink ref="N157" r:id="rId156" display="https://www.medianews4u.com/cleartrip-and-leo-burnett-orchard-highlight-the-benefits-of-clear-advantage-in-a-new-campaign/"/>
    <hyperlink ref="N158" r:id="rId157" display="https://campaignbriefasia.com/2026/09/16/leo-india-turns-bad-luck-into-unexpected-fortune-for-flipkarts-big-billion-days-2026/"/>
    <hyperlink ref="N159" r:id="rId158" display="https://www.socialsamosa.com/industry-updates/spikes-asia-winners-leo-india-apac-agency-of-year-11208984"/>
    <hyperlink ref="N160" r:id="rId159" display="https://www.medianews4u.com/ranveer-singh-deepika-padukone-bring-fayda-meter-to-life-in-jiomart-campaign/"/>
    <hyperlink ref="N161" r:id="rId160" display="https://www.manifest-media.in/advertising/140226/effie-awards-2025-leo-wins-agency-of-the-year-nestle-is-client-of.html"/>
    <hyperlink ref="N162" r:id="rId161" display="https://www.medianews4u.com/mcdonalds-india-unveils-you-said-it-we-made-it-campaign-launches-big-yummy-burgers-inspired-by-real-customer-feedback/"/>
    <hyperlink ref="N163" r:id="rId162" display="https://www.medianews4u.com/leo-burnett-india-wins-the-creative-mandate-for-meta/"/>
    <hyperlink ref="N164" r:id="rId163" display="https://www.socialsamosa.com/industry-updates/leo-india-alin-choubey-vice-president-digital-12151129"/>
    <hyperlink ref="N165" r:id="rId164" display="https://www.afaqs.com/tags/leo-burnett-india"/>
    <hyperlink ref="N166" r:id="rId165" display="https://www.manifest-media.in/advertising/140226/effie-awards-2025-leo-wins-agency-of-the-year-nestle-is-client-of.html"/>
    <hyperlink ref="N167" r:id="rId166" display="https://www.afaqs.com/news/advertising/india-ends-cannes-lions-2026-run-with-just-five-metals-12110431"/>
    <hyperlink ref="N168" r:id="rId167" display="https://www.socialsamosa.com/industry-updates/spikes-asia-winners-leo-india-apac-agency-of-year-11208984"/>
    <hyperlink ref="N169" r:id="rId168" display="https://www.afaqs.com/tags/leo-burnett-india"/>
    <hyperlink ref="N170" r:id="rId169" display="https://www.medianews4u.com/quess-corp-appoints-msl-india-as-strategic-communications-partner/"/>
    <hyperlink ref="N171" r:id="rId170" display="https://www.afaqs.com/news/advertising/lk-saatchi-saatchi-bags-dunkin-indias-integrated-creative-and-digital-mandate"/>
    <hyperlink ref="N172" r:id="rId171" display="https://www.medianews4u.com/saatchi-saatchi-propagate-bags-enamors-digital-mandate/"/>
    <hyperlink ref="N173" r:id="rId172" display="https://www.medianews4u.com/bimbo-bakeries-indias-new-cremtreat-campaign-share-karne-ka-mann-kare-aur-nahi-bhi-aims-to-express-innocence-and-playfulness/"/>
    <hyperlink ref="N174" r:id="rId173" display="https://www.storyboard18.com/agency-news/exclusive-bbh-india-wins-integrated-creative-media-mandate-for-cybersecurity-app-cybx-90514.htm"/>
    <hyperlink ref="N175" r:id="rId174" display="https://www.afaqs.com/news/advertising/saatchi-saatchi-propagate-bags-digital-mandate-for-jio-bp"/>
    <hyperlink ref="N176" r:id="rId175" display="https://www.afaqs.com/tags/saatchi-saatchi-propagate"/>
    <hyperlink ref="N177" r:id="rId176" display="https://www.whizsky.com/press-releases/publicis-beehive-bags-creative-mandate-of-balaji-wafers"/>
    <hyperlink ref="N178" r:id="rId177" display="https://www.medianews4u.com/storia-unveils-marketing-campaign-for-their-range-of-shakes-ads-to-span-across-ott-tv-digital-and-social-media/"/>
    <hyperlink ref="N179" r:id="rId178" display="https://www.medianews4u.com/coronas-launches-a-campaign-around-sunset-views/"/>
    <hyperlink ref="N180" r:id="rId179" display="https://www.medianews4u.com/duolingo-english-test-unveils-why-i-took-the-det-campaign-showcasing-study-abroad-success/"/>
    <hyperlink ref="N181" r:id="rId180" display="https://www.afaqs.com/news/advertising/digitas-india-bags-digital-and-media-mandate-for-ai-platform-equbot"/>
    <hyperlink ref="N182" r:id="rId181" display="https://www.afaqs.com/news/advertising/publicis-groupes-digitas-india-wins-digital-creative-mandate-for-deoleo-india"/>
    <hyperlink ref="N183" r:id="rId182" display="https://whatnews.in/digitas-india-bags-digital-mandate-for-matter/"/>
    <hyperlink ref="N184" r:id="rId183" display="https://www.afaqs.com/tags/digitas-india"/>
    <hyperlink ref="N185" r:id="rId184" display="https://www.medianews4u.com/duolingo-and-talented-reimagine-chess-with-a-fashion-forward-campaign-featuring-praggnanandhaa/"/>
    <hyperlink ref="N186" r:id="rId185" display="https://www.exchange4media.com/pr-and-corporate-communication-news/digitas-india-wins-digital-communications-mandate-for-okaya-120939.html"/>
    <hyperlink ref="N187" r:id="rId186" display="https://www.medianews4u.com/saatchi-saatchi-reimagines-renault-kiger-launch-with-gamified-billboard/"/>
    <hyperlink ref="N188" r:id="rId187" display="https://www.storyboard18.com/agency-news/loreal-india-appoints-publicis-media-as-integrated-media-agency-after-strategic-review-99678.htm"/>
    <hyperlink ref="N189" r:id="rId188" display="https://www.afaqs.com/news/newbizwins/publicis-starcom-wins-flipkart-groups-750-crore-media-mandate-replaces-essencemediacom-10981998"/>
    <hyperlink ref="N190" r:id="rId189" display="https://www.medianews4u.com/audi-india-appoints-wondrlab-as-brand-communication-partner/"/>
    <hyperlink ref="N191" r:id="rId190" display="https://www.medianews4u.com/lk-saatchi-saatchi-wins-retail-communications-mandate-of-audi-india/"/>
    <hyperlink ref="N192" r:id="rId191" display="https://www.medianews4u.com/arvind-limited-appoints-lk-saatchi-saatchi-as-marketing-strategic-partner/"/>
    <hyperlink ref="N193" r:id="rId192" display="https://www.afaqs.com/news/advertising/lk-saatchi-saatchi-bags-dunkin-indias-integrated-creative-and-digital-mandate"/>
    <hyperlink ref="N194" r:id="rId193" display="https://www.medianews4u.com/saatchi-saatchi-india-launches-fedex-the-move-india-needs-featuring-ms-dhoni-ruturaj-gaikwad-and-urvil-patel/"/>
    <hyperlink ref="N195" r:id="rId194" display="https://www.medianews4u.com/rohit-hardik-sky-light-up-lauritz-knudsens-who-am-i-campaign-by-saatchi-saatchi/"/>
    <hyperlink ref="N196" r:id="rId195" display="https://www.medianews4u.com/saatchi-saatchi-india-highlights-structural-strength-with-captain-steel-tvc-featuring-sourav-ganguly/"/>
    <hyperlink ref="N197" r:id="rId196" display="https://www.medianews4u.com/saatchi-saatchi-india-elevates-flites-iconic-tagline-with-sanya-malhotra/"/>
    <hyperlink ref="N198" r:id="rId197" display="https://www.medianews4u.com/lk-saatchi-saatchis-campaign-showcases-ac-refrigerants-role-in-staying-cool-during-summer/"/>
    <hyperlink ref="N199" r:id="rId198" display="https://www.medianews4u.com/lk-saatchi-saatchi-bags-grupo-bimbos-creative-and-media-mandate/"/>
    <hyperlink ref="N200" r:id="rId199" display="https://www.medianews4u.com/hero-motocorp-turns-tibetan-prayer-flags-into-first-aid-kits-for-himalayan-bikers/"/>
    <hyperlink ref="N201" r:id="rId200" display="https://www.adobomagazine.com/campaign-spotlight/jiomart-and-lk-saatchi-and-saatchi-bring-the-relationship-between-shopkeeper-and-customer-to-the-fore/"/>
    <hyperlink ref="N202" r:id="rId201" display="https://www.medianews4u.com/house-of-mcdowells-soda-takes-its-yaari-story-in-a-new-direction-with-kartik-aaryan/"/>
    <hyperlink ref="N203" r:id="rId202" display="https://www.medianews4u.com/saatchi-saatchi-reimagines-renault-kiger-launch-with-gamified-billboard/"/>
    <hyperlink ref="N204" r:id="rId203" display="https://www.medianews4u.com/kartik-aaryan-leads-mcdowells-sodas-new-campaign-celebrating-friendship-and-unforgettable-firsts/"/>
    <hyperlink ref="N205" r:id="rId204" display="https://campaignbriefasia.com/2026/09/23/adani-realty-and-22feet-india-celebrate-the-journey-of-bappas-homecoming/"/>
    <hyperlink ref="N206" r:id="rId205" display="https://campaignbriefasia.com/2026/04/20/agoda-highlights-smart-travel-savings-in-new-what-a-save-campaign-via-22feet-india/"/>
    <hyperlink ref="N207" r:id="rId206" display="https://www.socialsamosa.com/industry-updates/22feet-digital-aor-ajio-11834732"/>
    <hyperlink ref="N208" r:id="rId207" display="https://campaignbriefasia.com/2026/08/17/ajio-and-22feet-launch-rakhi-recovery-abhiyaan-to-recover-years-of-missed-gifts/"/>
    <hyperlink ref="N209" r:id="rId208" display="https://campaignbriefasia.com/2025/11/03/ddb-tribal-and-mars-wrigley-india-launch-take-pleasure-campaign-for-all-new-galaxy/"/>
    <hyperlink ref="N210" r:id="rId209" display="https://www.storyboard18.com/agency-news/22feet-wins-social-media-mandate-for-interio-by-godrej-100832.htm"/>
    <hyperlink ref="N211" r:id="rId210" display="https://news.google.com/rss/search?q=%2222feet+Tribal%22&amp;hl=en-IN&amp;gl=IN&amp;ceid=IN:en"/>
    <hyperlink ref="N212" r:id="rId211" display="https://www.storyboard18.com/advertising/jack-daniels-appoints-22feet-as-its-integrated-creative-agency-of-record-for-india-96423.htm"/>
    <hyperlink ref="N213" r:id="rId212" display="https://www.afaqs.com/news/newbizwins/keenai-wealth-appoints-22feet-tribal-worldwide-as-creative-partner-9059980"/>
    <hyperlink ref="N214" r:id="rId213" display="https://campaignbriefasia.com/2023/08/01/ddb-tribal-india-demonstrates-the-power-of-aroma-via-latest-adani-wilmar-campaign/"/>
    <hyperlink ref="N215" r:id="rId214" display="https://www.afaqs.com/news/advertising/22feet-tribal-worldwide-bags-the-digital-mandate-for-lumina-cloudinfra"/>
    <hyperlink ref="N216" r:id="rId215" display="https://www.afaqs.com/news/newbizwins/22feet-bags-digital-mandate-for-royal-canin-india-11874973"/>
    <hyperlink ref="N217" r:id="rId216" display="https://campaignbriefasia.com/2026/08/05/royal-canins-new-film-by-22feet-india-encourages-a-healthier-start-for-puppies-and-kittens/"/>
    <hyperlink ref="N218" r:id="rId217" display="https://campaignbriefasia.com/2025/11/17/volkswagen-india-takes-drivers-back-to-the-moment-their-love-for-cars-was-born/"/>
    <hyperlink ref="N219" r:id="rId218" display="https://www.medianews4u.com/whiskas-introduces-a-cat-food-range-with-a-campaign-featuring-mrunal-thakur/"/>
    <hyperlink ref="N220" r:id="rId219" display="https://news.google.com/rss/search?q=BGMI+Krafton+campaign+agency+22feet+OR+McCann+OR+Mudra+2026&amp;hl=en-IN&amp;gl=IN&amp;ceid=IN:en"/>
    <hyperlink ref="N221" r:id="rId220" display="https://campaignbriefasia.com/2023/06/26/doublemint-encourages-real-conversations-with-startsometingfresh-via-ddb-tribal-india/"/>
    <hyperlink ref="N222" r:id="rId221" display="https://campaignbriefasia.com/2026/08/11/flipkart-puts-a-new-spin-on-british-raj-for-freedom-sale-campaign-by-22feet-india/"/>
    <hyperlink ref="N223" r:id="rId222" display="https://www.afaqs.com/news/advertising/mars-petcare-awards-digital-mandate-to-22feet-tribal-worldwide"/>
    <hyperlink ref="N224" r:id="rId223" display="https://news.google.com/rss/search?q=%2222feet+Tribal%22&amp;hl=en-IN&amp;gl=IN&amp;ceid=IN:en"/>
    <hyperlink ref="N225" r:id="rId224" display="https://campaignbriefasia.com/2024/07/17/rohit-shetty-takes-the-wheel-in-this-new-ddb-tribal-india-spot-for-snickers/"/>
    <hyperlink ref="N226" r:id="rId225" display="https://www.afaqs.com/news/advertising/mercedes-benz-marks-140-years-with-india-chapter-of-global-expedition-12544146"/>
    <hyperlink ref="N227" r:id="rId226" display="https://campaignbriefasia.com/2026/09/17/mercedes-benz-celebrates-140-years-with-bbdo-indias-distinctly-indian-homecoming/"/>
    <hyperlink ref="N228" r:id="rId227" display="https://www.storyboard18.com/brand-marketing/bbdo-india-wins-integrated-creative-mandate-for-lt-foods-daawat-in-india-105902.htm"/>
    <hyperlink ref="N229" r:id="rId228" display="https://news.google.com/rss/search?q=%22BBDO+India%22+mandate&amp;hl=en-IN&amp;gl=IN&amp;ceid=IN:en"/>
    <hyperlink ref="N230" r:id="rId229" display="https://www.socialsamosa.com/samosa-snippets/bbdo-tbwa-mccann-bring-omnicom-reshaped-empire-10841609"/>
    <hyperlink ref="N231" r:id="rId230" display="https://news.google.com/rss/search?q=%22BBDO+India%22+mandate&amp;hl=en-IN&amp;gl=IN&amp;ceid=IN:en"/>
    <hyperlink ref="N232" r:id="rId231" display="https://campaignbriefasia.com/2026/08/06/bbdo-india-and-mcdonalds-india-launch-mccafe-campaign-as-network-expands-to-200-outlets/"/>
    <hyperlink ref="N233" r:id="rId232" display="https://campaignbriefasia.com/2025/06/09/cannes-lions-2025-contenders-bbdo-india/"/>
    <hyperlink ref="N234" r:id="rId233" display="https://campaignbriefasia.com/2025/06/09/cannes-lions-2025-contenders-bbdo-india/"/>
    <hyperlink ref="N235" r:id="rId234" display="https://www.medianews4u.com/whiskas-spotlights-texture-and-taste-with-new-pockets-campaign/"/>
    <hyperlink ref="N236" r:id="rId235" display="https://campaignbriefasia.com/2025/09/24/bbdo-india-and-world-gold-council-celebrate-lifes-everyday-moments-with-gold/"/>
    <hyperlink ref="N237" r:id="rId236" display="https://campaignbriefasia.com/2025/06/20/bbdo-india-takes-out-sustainable-development-goals-silver-lion-for-ariel-sharetheload-10-years/"/>
    <hyperlink ref="N238" r:id="rId237" display="https://www.medianews4u.com/birla-opus-paints-tackles-indias-papdi-problem-with-humorous-campaign-for-style-power-bright/"/>
    <hyperlink ref="N239" r:id="rId238" display="https://campaignbriefasia.com/2025/06/09/cannes-lions-2025-contenders-bbdo-india/"/>
    <hyperlink ref="N240" r:id="rId239" display="https://news.google.com/rss/search?q=%22BBDO+India%22+mandate&amp;hl=en-IN&amp;gl=IN&amp;ceid=IN:en"/>
    <hyperlink ref="N241" r:id="rId240" display="https://campaignbriefasia.com/2026/08/05/bbdo-india-reminds-readers-ink-doesnt-lie-in-new-campaign-for-the-indian-newspaper-society/"/>
    <hyperlink ref="N242" r:id="rId241" display="https://campaignbriefasia.com/2022/02/08/bbdo-india-lands-milkbaskets-brand-mandate/"/>
    <hyperlink ref="N243" r:id="rId242" display="https://www.socialsamosa.com/samosa-snippets/bbdo-tbwa-mccann-bring-omnicom-reshaped-empire-10841609"/>
    <hyperlink ref="N244" r:id="rId243" display="https://www.storyboard18.com/agency-news/omnicom-reinvents-the-volkswagen-playbook-with-bernbach-95341.htm"/>
    <hyperlink ref="N245" r:id="rId244" display="https://www.storyboard18.com/how-it-works/volkswagen-colgate-palmolive-apple-the-return-of-the-agency-within-an-agency-96076.htm"/>
    <hyperlink ref="N246" r:id="rId245" display="https://www.medianews4u.com/berger-paints-and-kareena-kapoor-khan-turn-up-the-shine-in-new-berger-silk-glamor-campaign/"/>
    <hyperlink ref="N247" r:id="rId246" display="https://www.medianews4u.com/mumbais-potholes-become-mahindras-playground-in-bold-thar-test-drive-campaign/"/>
    <hyperlink ref="N248" r:id="rId247" display="https://www.medianews4u.com/royal-stag-barrel-select-shorts-launches-for-the-select-ones-campaign-featuring-rajkummar-rao-and-patralekha/"/>
    <hyperlink ref="N249" r:id="rId248" display="https://www.medianews4u.com/horlicks-fcb-neo-flip-the-script-on-growth-with-new-campaign-celebrating-mischief-as-a-sign-of-true-development/"/>
    <hyperlink ref="N250" r:id="rId249" display="https://www.afaqs.com/news/advertising/kfc-turns-up-the-heat-with-a-saucy-new-campaign-for-its-dunked-range-10987101"/>
    <hyperlink ref="N251" r:id="rId250" display="https://www.medianews4u.com/royal-stag-launches-rscode-campaign-blending-cricket-data-and-ai-to-help-fans-decode-success/"/>
    <hyperlink ref="N252" r:id="rId251" display="https://www.afaqs.com/news/advertising/volvo-appoints-ipgs-initiative-as-global-media-agency-8549521"/>
    <hyperlink ref="N253" r:id="rId252" display="https://www.afaqs.com/news/newbizwins/dentsu-to-handle-air-indias-media-mandate-12068834"/>
    <hyperlink ref="N254" r:id="rId253" display="https://www.storyboard18.com/advertising/biz-breaks-major-account-moves-and-pitches-of-2024-51970.htm"/>
    <hyperlink ref="N255" r:id="rId254" display="https://www.medianews4u.com/bmw-india-interactive-avenues-and-vdo-ai-collaborate-to-launch-interactive-ctv-campaigns-showcasing-bmw-2-series-gran-coupe-and-bmw-x3/"/>
    <hyperlink ref="N256" r:id="rId255" display="https://www.afaqs.com/news/advertising/interactive-avenues-bags-social-media-mandate-for-rppl"/>
    <hyperlink ref="N257" r:id="rId256" display="https://www.afaqs.com/news/advertising/interactive-avenues-awarded-e-commerce-mandate-for-twinings"/>
    <hyperlink ref="N258" r:id="rId257" display="https://www.afaqs.com/news/advertising/apsara-zestas-new-campaign-celebrates-the-joy-of-writing-12159662"/>
    <hyperlink ref="N259" r:id="rId258" display="https://www.medianews4u.com/interactive-avenues-secures-social-media-mandate-for-home-centre/"/>
    <hyperlink ref="N260" r:id="rId259" display="https://www.medianews4u.com/interactive-avenues-wins-creative-and-media-mandate-for-super-league-kerala/"/>
    <hyperlink ref="N261" r:id="rId260" display="https://news.google.com/rss/search?q=%22Ketchum+Sampark%22+OR+%22FleishmanHillard+India%22+mandate&amp;hl=en-IN&amp;gl=IN&amp;ceid=IN:en"/>
    <hyperlink ref="N262" r:id="rId261" display="https://news.google.com/rss/search?q=%22Ketchum+Sampark%22+OR+%22FleishmanHillard+India%22+mandate&amp;hl=en-IN&amp;gl=IN&amp;ceid=IN:en"/>
    <hyperlink ref="N263" r:id="rId262" display="https://news.google.com/rss/search?q=%22Ketchum+Sampark%22+OR+%22FleishmanHillard+India%22+mandate&amp;hl=en-IN&amp;gl=IN&amp;ceid=IN:en"/>
    <hyperlink ref="N264" r:id="rId263" display="https://www.afaqs.com/news/advertising/hdfc-bank-kinnect-turn-laziness-saves-into-fraud-awareness-12482592"/>
    <hyperlink ref="N265" r:id="rId264" display="https://www.medianews4u.com/intel-launches-new-campaign-urging-parents-to-rethink-the-role-of-pcs-in-modern-education/"/>
    <hyperlink ref="N266" r:id="rId265" display="https://www.medianews4u.com/lenovo-intel-and-fcb-kinnect-transform-storytelling-with-ai-in-brave-new-art-3/"/>
    <hyperlink ref="N267" r:id="rId266" display="https://sportzpower.com/kinnect-wins-mumbai-indians-creative-mandate/"/>
    <hyperlink ref="N268" r:id="rId267" display="https://www.afaqs.com/news/advertising/titans-skinn-wants-you-to-smell-like-a-celebration-this-festive-season-10498061"/>
    <hyperlink ref="N269" r:id="rId268" display="https://www.afaqs.com/news/advertising/kinnect-bags-digital-mandate-for-blue-star"/>
    <hyperlink ref="N270" r:id="rId269" display="https://www.storyboard18.com/brand-marketing/exclusive-kinnect-wins-creative-mandate-for-burger-king-india-99209.htm"/>
    <hyperlink ref="N271" r:id="rId270" display="https://www.medianews4u.com/flipkarts-sasa-lele-a-double-sale-you-cant-look-away-from-or-stop-humming/"/>
    <hyperlink ref="N272" r:id="rId271" display="https://www.afaqs.com/news/newbizwins/fcb-kinnect-wins-full-funnel-creative-mandate-for-prega-news-8742531"/>
    <hyperlink ref="N273" r:id="rId272" display="https://www.medianews4u.com/sbi-launches-celebrations-unlimited-campaign-conceptualized-by-fcb-kinnect-to-promote-festive-loans/"/>
    <hyperlink ref="N274" r:id="rId273" display="https://www.medianews4u.com/tvs-raider-launches-bold-new-campaign-call-of-the-wicked/"/>
    <hyperlink ref="N275" r:id="rId274" display="https://www.storyboard18.com/agency-news/exclusive-bmw-india-appoints-vmls-contract-advertising-india-as-creative-agency-87842.htm"/>
    <hyperlink ref="N276" r:id="rId275" display="https://www.storyboard18.com/agency-news/exclusive-cheil-india-secures-samsungs-consolidated-above-the-line-media-account-following-high-stakes-pitch-99615.htm"/>
    <hyperlink ref="N277" r:id="rId276" display="https://www.afaqs.com/news/newbizwins/omnicom-medias-lodestar-um-wins-amfis-integrated-media-mandate-12053173"/>
    <hyperlink ref="N278" r:id="rId277" display="https://www.afaqs.com/news/advertising/hilton-wants-indias-hustlers-to-feel-at-home-enough-to-dance-just-ask-deepika-12186053"/>
    <hyperlink ref="N279" r:id="rId278" display="https://www.storyboard18.com/brand-marketing/air-india-unveils-new-brand-campaign-featuring-vaibhav-sooryavanshi-ahead-of-asian-games-ws-l-111103.htm"/>
    <hyperlink ref="N280" r:id="rId279" display="https://www.medianews4u.com/mccann-worldgroup-bags-air-indias-advertising-and-marketing-communications-mandate/"/>
    <hyperlink ref="N281" r:id="rId280" display="https://www.medianews4u.com/mccann-worldgroup-crafts-visual-symphony-for-asian-paints-royale-glitz-featuring-deepika-padukone/"/>
    <hyperlink ref="N282" r:id="rId281" display="https://www.afaqs.com/news/advertising/birla-estates-launches-storiespersqft-t20-campaign-with-rcb-players-8924426"/>
    <hyperlink ref="N283" r:id="rId282" display="https://www.storyboard18.com/agency-news/mccann-worldgroup-leads-indian-wins-at-dad-awards-2025-67113.htm"/>
    <hyperlink ref="N284" r:id="rId283" display="https://www.afaqs.com/news/mktg/cera-names-kriti-sanon-as-brand-ambassador-12167225"/>
    <hyperlink ref="N285" r:id="rId284" display="https://www.afaqs.com/news/advertising/johnsons-baby-launches-poshan-ka-pehla-sparsh-campaign-12062183"/>
    <hyperlink ref="N286" r:id="rId285" display="https://www.afaqs.com/news/advertising/ceo-dheeraj-sinha-on-leading-mccann-in-the-post-merger-era-12015227"/>
    <hyperlink ref="N287" r:id="rId286" display="https://www.medianews4u.com/manyavars-aap-kab-ban-rahe-hain-manyavar-campaign-celebrates-the-wedding-as-a-joyful-milestone-in-the-grooms-journey/"/>
    <hyperlink ref="N288" r:id="rId287" display="https://www.afaqs.com/news/advertising/ceo-dheeraj-sinha-on-leading-mccann-in-the-post-merger-era-12015227"/>
    <hyperlink ref="N289" r:id="rId288" display="https://www.afaqs.com/news/advertising/salesforces-first-campaign-in-india-stars-rahul-dravid-7235070"/>
    <hyperlink ref="N290" r:id="rId289" display="https://www.afaqs.com/news/newbizwins/mccann-india-wins-3m-consumer-business-creative-mandate-12250026"/>
    <hyperlink ref="N291" r:id="rId290" display="https://www.medianews4u.com/bajaj-strengthens-connections-with-todays-youth-through-summer-campaigns-for-fans-and-air-coolers/"/>
    <hyperlink ref="N292" r:id="rId291" display="https://www.medianews4u.com/britannias-chunkies-get-a-quirky-makeover-with-the-relatable-eathappens-campaign/"/>
    <hyperlink ref="N293" r:id="rId292" display="https://www.afaqs.com/topic/mccann-worldgroup-india"/>
    <hyperlink ref="N294" r:id="rId293" display="https://www.socialsamosa.com/samosa-snippets/bbdo-tbwa-mccann-bring-omnicom-reshaped-empire-10841609"/>
    <hyperlink ref="N295" r:id="rId294" display="https://www.medianews4u.com/madhuri-dixit-and-sneha-emphasize-on-criticality-of-protein-for-growing-kids/"/>
    <hyperlink ref="N296" r:id="rId295" display="https://www.medianews4u.com/dettol-fresh-introduces-12-hour-freshness-to-keep-indians-always-ready/"/>
    <hyperlink ref="N297" r:id="rId296" display="https://www.storyboard18.com/agency-news/mccann-worldgroup-leads-indian-wins-at-dad-awards-2025-67113.htm"/>
    <hyperlink ref="N298" r:id="rId297" display="https://www.medianews4u.com/flipkart-turns-piyush-mishras-biggest-regret-into-a-big-billion-days-iphone-campaign/"/>
    <hyperlink ref="N299" r:id="rId298" display="https://www.afaqs.com/news/advertising/hero-destinis-new-campaign-puts-dads-in-the-heros-seat-12152141"/>
    <hyperlink ref="N300" r:id="rId299" display="https://www.afaqs.com/news/advertising/ceo-dheeraj-sinha-on-leading-mccann-in-the-post-merger-era-12015227"/>
    <hyperlink ref="N301" r:id="rId300" display="https://campaignbriefasia.com/2026/06/05/mcdonalds-india-celebrates-30-years-with-lets-family-at-mcd-campaign-via-mccann-india/"/>
    <hyperlink ref="N302" r:id="rId301" display="https://www.socialsamosa.com/samosa-snippets/bbdo-tbwa-mccann-bring-omnicom-reshaped-empire-10841609"/>
    <hyperlink ref="N303" r:id="rId302" display="https://www.socialsamosa.com/samosa-snippets/bbdo-tbwa-mccann-bring-omnicom-reshaped-empire-10841609"/>
    <hyperlink ref="N304" r:id="rId303" display="https://www.afaqs.com/news/newbizwins/smart-bazaar-appoints-mccann-worldgroup-india-to-lead-creative-mandate-9765343"/>
    <hyperlink ref="N305" r:id="rId304" display="https://manifest-media.in/video/campaigns/280926/stayfree-puts-boys-at-the-centre-of-its-latest-push-to-normalise-perio.html"/>
    <hyperlink ref="N306" r:id="rId305" display="https://www.medianews4u.com/yes-banks-milkar-jitayenge-campaign-looks-to-support-olympic-athletes-through-a-film-interactive-microsite/"/>
    <hyperlink ref="N307" r:id="rId306" display="https://www.medianews4u.com/fcb-india-reimagines-call-me-bae-scenes-for-android-campaign-to-engage-gen-z/"/>
    <hyperlink ref="N308" r:id="rId307" display="https://www.medianews4u.com/centrum-onboards-kajal-aggarwal-as-brand-ambassador-for-multivitamin-protein-powders/"/>
    <hyperlink ref="N309" r:id="rId308" display="https://www.medianews4u.com/dbs-bank-india-revamps-sounds-of-budget-campaign/"/>
    <hyperlink ref="N310" r:id="rId309" display="https://www.medianews4u.com/fcb-interface-secures-philips-home-appliances-creative-mandate/"/>
    <hyperlink ref="N311" r:id="rId310" display="https://www.afaqs.com/news/advertising/fcb-group-india-onboards-14-new-clients-across-agencies-8649932"/>
    <hyperlink ref="N312" r:id="rId311" display="https://www.medianews4u.com/bata-launches-festive-collection-featuring-kartik-aaryan-with-celebrate-every-step-campaign/"/>
    <hyperlink ref="N313" r:id="rId312" display="https://www.afaqs.com/news/newbizwins/fcb-india-wins-creative-mandate-for-dulcoflex-8777232"/>
    <hyperlink ref="N314" r:id="rId313" display="https://www.medianews4u.com/hero-motocorp-launches-high-octane-campaign-for-xtreme-power-brand-featuring-virat-kohli/"/>
    <hyperlink ref="N315" r:id="rId314" display="https://afaqs.com/topic/fcb-interface"/>
    <hyperlink ref="N316" r:id="rId315" display="https://www.afaqs.com/news/advertising/fcb-group-india-onboards-14-new-clients-across-agencies-8649932"/>
    <hyperlink ref="N317" r:id="rId316" display="https://www.medianews4u.com/ubers-new-campaign-featuring-shroff-duo-aims-to-revolutionize-urban-transportation-perceptions/"/>
    <hyperlink ref="N318" r:id="rId317" display="https://www.afaqs.com/news/advertising/vivo-brings-back-the-joyofhomecoming-celebrating-the-spirit-of-diwali-preparations-10543173"/>
    <hyperlink ref="N319" r:id="rId318" display="https://www.afaqs.com/news/advertising/fcb-group-india-onboards-14-new-clients-across-agencies-8649932"/>
    <hyperlink ref="N320" r:id="rId319" display="https://campaignbriefasia.com/2025/09/05/the-work-2025-hot-list-2-ddb-mudra-group-india/"/>
    <hyperlink ref="N321" r:id="rId320" display="https://www.medianews4u.com/ethnix-by-raymond-celebrates-family-and-fashion-in-its-latest-campaign/"/>
    <hyperlink ref="N322" r:id="rId321" display="https://campaignbriefasia.com/2025/09/05/the-work-2025-hot-list-2-ddb-mudra-group-india/"/>
    <hyperlink ref="N323" r:id="rId322" display="https://campaignbriefasia.com/2024/08/05/the-work-2024-hot-list-3-ddb-mudra-group-india/"/>
    <hyperlink ref="N324" r:id="rId323" display="https://www.exchange4media.com/advertising-news/malabar-gold-diamonds-campaign-with-alia-bhatt-celebrates-the-charm-of-solitaires-140391.html"/>
    <hyperlink ref="N325" r:id="rId324" display="https://campaignbriefasia.com/2025/06/16/meta-ai-launches-in-india-with-campaign-by-ddb-mudra-celebrating-everyday-creativity/"/>
    <hyperlink ref="N326" r:id="rId325" display="https://campaignbriefasia.com/2025/06/25/ddb-mudra-india-and-myntra-unveil-m-now-campaign-spotlighting-instant-style-solutions/"/>
    <hyperlink ref="N327" r:id="rId326" display="https://campaignbriefasia.com/2025/02/21/go-from-ayyo-to-oh-says-new-narayana-health-spot-via-ddb-mudra-ending-healthcare-worries/"/>
    <hyperlink ref="N328" r:id="rId327" display="https://campaignbriefasia.com/2025/09/05/the-work-2025-hot-list-2-ddb-mudra-group-india/"/>
    <hyperlink ref="N329" r:id="rId328" display="https://www.socialsamosa.com/samosa-snippets/end-of-ddb-means-legacy-built-with-mudra-10874481"/>
    <hyperlink ref="N330" r:id="rId329" display="https://www.afaqs.com/news/advertising/ddb-mudra-wins-raymonds-integrated-aor-mandate"/>
    <hyperlink ref="N331" r:id="rId330" display="https://campaignbriefasia.com/2024/08/05/the-work-2024-hot-list-3-ddb-mudra-group-india/"/>
    <hyperlink ref="N332" r:id="rId331" display="https://campaignbriefasia.com/2025/09/05/the-work-2025-hot-list-2-ddb-mudra-group-india/"/>
    <hyperlink ref="N333" r:id="rId332" display="https://www.storyboard18.com/how-it-works/volkswagen-colgate-palmolive-apple-the-return-of-the-agency-within-an-agency-96076.htm"/>
    <hyperlink ref="N334" r:id="rId333" display="https://campaignbriefasia.com/2024/06/26/ddb-mudra-south-creates-new-acko-pola-varuma-campaign-for-acko-in-chennai/"/>
    <hyperlink ref="N335" r:id="rId334" display="https://campaignbriefasia.com/2025/09/05/the-work-2025-hot-list-2-ddb-mudra-group-india/"/>
    <hyperlink ref="N336" r:id="rId335" display="https://www.adgully.com/post/2275/from-period-shame-to-in-game-weddings-ddb-mudra-groups-cannes-lions-2025-hopefuls"/>
    <hyperlink ref="N337" r:id="rId336" display="https://campaignbriefasia.com/2025/07/02/npci-bharat-billpays-new-campaign-by-ddb-mudra-showcases-the-quiet-reliability-of-bharat-connect/"/>
    <hyperlink ref="N338" r:id="rId337" display="https://bwmarketingworld.businessworld.in/article/Account-Wins-Birla-Opus-DDB-Mudra-Prohed-PokerBaazi-Interbrand-India-HDFC-Bank-Wing-Communications-Planify/23-02-2024-510756/"/>
    <hyperlink ref="N339" r:id="rId338" display="https://campaignbriefasia.com/2025/08/13/birlanu-reinforces-its-leakproof-commitment-in-new-campaign-film-by-ddb-mudra-group/"/>
    <hyperlink ref="N340" r:id="rId339" display="https://campaignbriefasia.com/2025/06/19/jasprit-bumrah-revives-the-swagger-associated-with-gum-via-new-ddb-mudra-and-boomers-spot/"/>
    <hyperlink ref="N341" r:id="rId340" display="https://www.afaqs.com/tags/ddb-mudra-group"/>
    <hyperlink ref="N342" r:id="rId341" display="https://campaignbriefasia.com/2025/09/05/the-work-2025-hot-list-2-ddb-mudra-group-india/"/>
    <hyperlink ref="N343" r:id="rId342" display="https://campaignbriefasia.com/2024/05/30/dream11-unveils-new-yeh-sabka-dream-hai-t20-world-cup-campaign-via-ddb-mudra/"/>
    <hyperlink ref="N344" r:id="rId343" display="https://campaignbriefasia.com/2025/09/25/ddb-mudra-and-flipkart-bring-tradition-to-big-billion-days-with-shubh-muhurat-deals/"/>
    <hyperlink ref="N345" r:id="rId344" display="https://campaignbriefasia.com/2024/08/05/the-work-2024-hot-list-3-ddb-mudra-group-india/"/>
    <hyperlink ref="N346" r:id="rId345" display="https://campaignbriefasia.com/2025/09/05/the-work-2025-hot-list-2-ddb-mudra-group-india/"/>
    <hyperlink ref="N347" r:id="rId346" display="https://news.google.com/rss/search?q=%22DDB+Mudra%22+wins+OR+bags+OR+mandate&amp;hl=en-IN&amp;gl=IN&amp;ceid=IN:en"/>
    <hyperlink ref="N348" r:id="rId347" display="https://campaignbriefasia.com/2025/10/17/mcdonalds-india-turns-social-media-feedback-into-a-feast-in-new-ddb-mudra-campaign/"/>
    <hyperlink ref="N349" r:id="rId348" display="https://campaignbriefasia.com/2024/08/05/the-work-2024-hot-list-3-ddb-mudra-group-india/"/>
    <hyperlink ref="N350" r:id="rId349" display="https://campaignbriefasia.com/2024/08/05/the-work-2024-hot-list-3-ddb-mudra-group-india/"/>
    <hyperlink ref="N351" r:id="rId350" display="https://campaignbriefasia.com/2025/09/05/the-work-2025-hot-list-2-ddb-mudra-group-india/"/>
    <hyperlink ref="N352" r:id="rId351" display="https://www.adgully.com/post/2275/from-period-shame-to-in-game-weddings-ddb-mudra-groups-cannes-lions-2025-hopefuls"/>
    <hyperlink ref="N353" r:id="rId352" display="https://campaignbriefasia.com/2024/08/05/the-work-2024-hot-list-3-ddb-mudra-group-india/"/>
    <hyperlink ref="N354" r:id="rId353" display="https://campaignbriefasia.com/2025/08/07/ttk-prestige-bebuts-life-size-anti-spill-lid-installation-created-via-ddb-mudra-india/"/>
    <hyperlink ref="N355" r:id="rId354" display="https://www.medianews4u.com/bira-91-partners-with-omd-to-engage-beer-fans/"/>
    <hyperlink ref="N356" r:id="rId355" display="https://www.afaqs.com/news/newbizwins/omd-india-wins-integrated-media-mandate-for-hdfc-life-8636433"/>
    <hyperlink ref="N357" r:id="rId356" display="https://www.medianews4u.com/omd-india-bags-media-mandate-for-sugar-cosmetics/"/>
    <hyperlink ref="N358" r:id="rId357" display="https://www.afaqs.com/news/newbizwins/omnicom-medias-omd-india-wins-ventura-securities-integrated-media-mandate-12457523"/>
    <hyperlink ref="N359" r:id="rId358" display="https://www.medianews4u.com/raymonds-the-complete-man-campaign-celebrates-modern-fatherhood-and-emotional-presence/"/>
    <hyperlink ref="N360" r:id="rId359" display="https://www.storyboard18.com/advertising/omnicom-media-bags-netflix-indias-mandate-signalling-strategic-reset-in-ott-marketing-97341.htm"/>
    <hyperlink ref="N361" r:id="rId360" display="https://www.storyboard18.com/brand-makers/tata-motors-pvs-media-pitch-concludes-auto-major-retains-existing-agencies-48051.htm"/>
    <hyperlink ref="N362" r:id="rId361" display="https://www.storyboard18.com/agency-news/sbi-hands-digital-marketing-mandate-to-omnicom-media-india-100466.htm"/>
    <hyperlink ref="N363" r:id="rId362" display="https://www.tbwaindia.com/"/>
    <hyperlink ref="N364" r:id="rId363" display="https://www.afaqs.com/news/advertising/rivaah-by-tanishq-brings-many-stories-to-one-wedding-12540691"/>
    <hyperlink ref="N365" r:id="rId364" display="https://www.afaqs.com/news/advertising/axis-bank-turns-nri-distance-into-stories-of-care-and-connection-12399615"/>
    <hyperlink ref="N366" r:id="rId365" display="https://www.medianews4u.com/axis-banks-new-nri-campaign-turns-distance-into-a-story-of-connection/"/>
    <hyperlink ref="N367" r:id="rId366" display="https://www.medianews4u.com/dosti-1-mumbai-rides-anil-kapoors-charisma-and-comedy-chops/"/>
    <hyperlink ref="N368" r:id="rId367" display="https://www.afaqs.com/people-spotting/ranjeev-vij-moves-on-from-tbwaindia-9009481"/>
    <hyperlink ref="N369" r:id="rId368" display="https://www.tbwaindia.com/"/>
    <hyperlink ref="N370" r:id="rId369" display="https://www.medianews4u.com/lowe-lintas-wins-creative-mandate-for-fabindia/"/>
    <hyperlink ref="N371" r:id="rId370" display="https://www.medianews4u.com/google-gemini-and-lowe-lintas-bring-ai-into-everyday-moments/"/>
    <hyperlink ref="N372" r:id="rId371" display="https://www.socialsamosa.com/samosa-snippets/as-mullen-vanishes-tbwalintas-lives-on-10867606"/>
    <hyperlink ref="N373" r:id="rId372" display="https://www.medianews4u.com/hersheys-turns-lifes-everyday-setbacks-into-moments-of-comfort-in-new-campaign/"/>
    <hyperlink ref="N374" r:id="rId373" display="https://www.tbwaindia.com/"/>
    <hyperlink ref="N375" r:id="rId374" display="https://www.medianews4u.com/hindware-italian-collection-launches-5-star-bathrooms-ad-campaign-featuring-rcb-icons/"/>
    <hyperlink ref="N376" r:id="rId375" display="https://www.afaqs.com/news/advertising/indusind-bank-launches-fixed-bhi-fabulous-bhi-campaign-for-fds-11810481"/>
    <hyperlink ref="N377" r:id="rId376" display="https://www.medianews4u.com/lowe-lintas-wins-jawa-motorcycles-creative-mandate/"/>
    <hyperlink ref="N378" r:id="rId377" display="https://www.tbwaindia.com/"/>
    <hyperlink ref="N379" r:id="rId378" display="https://www.medianews4u.com/magnum-pistachio-launches-with-kareena-kapoor-khan-in-a-decadent-new-campaign/"/>
    <hyperlink ref="N380" r:id="rId379" display="https://www.medianews4u.com/manipal-hospitals-urges-people-to-take-care-of-themselves-to-be-there-for-their-loved-ones/"/>
    <hyperlink ref="N381" r:id="rId380" display="https://www.tbwaindia.com/"/>
    <hyperlink ref="N382" r:id="rId381" display="https://sportzpower.com/kinnect-wins-mumbai-indians-creative-mandate/"/>
    <hyperlink ref="N383" r:id="rId382" display="https://www.afaqs.com/people-spotting/ranjeev-vij-moves-on-from-tbwaindia-9009481"/>
    <hyperlink ref="N384" r:id="rId383" display="https://campaignbriefasia.com/2026/09/25/reliance-foundation-puts-opportunity-before-victory-in-new-tbwalintas-india-campaign/"/>
    <hyperlink ref="N385" r:id="rId384" display="https://www.afaqs.com/news/advertising/rivaah-by-tanishq-brings-many-stories-to-one-wedding-12540691"/>
    <hyperlink ref="N386" r:id="rId385" display="https://www.socialsamosa.com/samosa-snippets/bbdo-tbwa-mccann-bring-omnicom-reshaped-empire-10841609"/>
    <hyperlink ref="N387" r:id="rId386" display="https://www.medianews4u.com/rivaah-by-tanishq-unveils-one-wedding-many-stories-campaign-celebrating-modern-indian-weddings/"/>
    <hyperlink ref="N388" r:id="rId387" display="https://www.afaqs.com/news/advertising/true-elements-onboards-tbwa-as-their-creative-agency"/>
    <hyperlink ref="N389" r:id="rId388" display="https://www.storyboard18.com/advertising/lowe-lintas-bags-the-creative-mandate-of-tuborg-75196.htm"/>
    <hyperlink ref="N390" r:id="rId389" display="https://www.afaqs.com/news/advertising/tvs-apache-launches-tu-race-laga-campaign-12152297"/>
    <hyperlink ref="N391" r:id="rId390" display="https://campaignbriefasia.com/2026/09/16/the-work-2026-asia-hot-list-7-tbwalintas-india/"/>
    <hyperlink ref="N392" r:id="rId391" display="https://www.afaqs.com/news/advertising/urban-ladders-new-campaign-spotlights-city-specific-aspirations-11188874"/>
    <hyperlink ref="N393" r:id="rId392" display="https://campaignbriefasia.com/2025/10/15/air-india-express-embarks-on-a-new-journey-with-xplore-more-xpress-more/"/>
    <hyperlink ref="N394" r:id="rId393" display="https://campaignbriefasia.com/2026/09/16/the-work-2026-asia-hot-list-7-tbwalintas-india/"/>
    <hyperlink ref="N395" r:id="rId394" display="https://www.medianews4u.com/lowe-lintas-bags-creative-mandate-for-amaron/"/>
    <hyperlink ref="N396" r:id="rId395" display="https://www.medianews4u.com/bajaj-almond-launches-its-new-integrated-campaign-featuring-parineeti-chopra/"/>
    <hyperlink ref="N397" r:id="rId396" display="https://www.afaqs.com/news/newbizwins/dentsu-creative-isobar-bags-bandhan-banks-creative-account-12186723"/>
    <hyperlink ref="N398" r:id="rId397" display="https://www.medianews4u.com/britannia-nutrichoice-rolls-out-bold-face-the-facts-campaign-with-refreshingly-honest-packaging/"/>
    <hyperlink ref="N399" r:id="rId398" display="https://www.socialsamosa.com/samosa-snippets/bbdo-tbwa-mccann-bring-omnicom-reshaped-empire-10841609"/>
    <hyperlink ref="N400" r:id="rId399" display="https://www.medianews4u.com/lowe-lintas-wins-creative-mandate-for-cofsils/"/>
    <hyperlink ref="N401" r:id="rId400" display="https://www.storyboard18.com/agency-news/lowe-lintas-bags-the-creative-mandate-of-complan-50864.htm"/>
    <hyperlink ref="N402" r:id="rId401" display="https://www.afaqs.com/news/advertising/mohammed-siraj-and-ravi-shastri-groove-to-oo-antava-song-in-dixcy-scotts-latest-campaign"/>
    <hyperlink ref="N403" r:id="rId402" display="https://www.medianews4u.com/dollar-missy-and-lowe-lintas-launch-campaign-on-fashions-perfect-pairing/"/>
    <hyperlink ref="N404" r:id="rId403" display="https://www.afaqs.com/topic/tbwa-lintas"/>
    <hyperlink ref="N405" r:id="rId404" display="https://www.medianews4u.com/lowe-lintas-campaign-for-flipkart-health-uses-humour-to-strengthen-the-brands-presence-in-up/"/>
    <hyperlink ref="N406" r:id="rId405" display="https://www.tbwaindia.com/"/>
    <hyperlink ref="N407" r:id="rId406" display="https://campaignbriefasia.com/2026/09/18/omnicom-advertising-india-dominates-the-work-2026-with-mccann-taking-out-apac-agency-of-the-year-title-and-tbwalintas-2-in-india/"/>
    <hyperlink ref="N408" r:id="rId407" display="https://www.medianews4u.com/google-pay-launches-pocket-money-campaign-with-tbwa-lintas-to-drive-financial-independence-among-teenagers/"/>
    <hyperlink ref="N409" r:id="rId408" display="https://www.socialsamosa.com/samosa-snippets/bbdo-tbwa-mccann-bring-omnicom-reshaped-empire-10841609"/>
    <hyperlink ref="N410" r:id="rId409" display="https://www.medianews4u.com/kamiliant-unveils-bold-campaign-naam-hai-kamiliant-kaam-hai-toughness/"/>
    <hyperlink ref="N411" r:id="rId410" display="https://news.google.com/rss/search?q=%22TBWA%22+India+mandate+OR+wins+OR+bags&amp;hl=en-IN&amp;gl=IN&amp;ceid=IN:en"/>
    <hyperlink ref="N412" r:id="rId411" display="https://www.afaqs.com/news/advertising/h-is-for-handwashing-baby-hippo-moo-deng-spreads-lifebuoys-message-7569894"/>
    <hyperlink ref="N413" r:id="rId412" display="https://www.afaqs.com/news/advertising/lowe-lintas-bags-the-mandate-to-lead-brand-lifestyle"/>
    <hyperlink ref="N414" r:id="rId413" display="https://www.tbwaindia.com/"/>
    <hyperlink ref="N415" r:id="rId414" display="https://www.medianews4u.com/lowe-lintas-and-naukri-team-up-for-a-youth-oriented-campaign/"/>
    <hyperlink ref="N416" r:id="rId415" display="https://www.afaqs.com/news/advertising/nissan-turns-ladakhs-night-sky-into-stage-for-magnite-kuro-edition-9673862"/>
    <hyperlink ref="N417" r:id="rId416" display="https://www.medianews4u.com/its-fizzin-amazing-sidharth-malhotra-endorses-daburs-real-fizzin-beverages-range/"/>
    <hyperlink ref="N418" r:id="rId417" display="https://www.medianews4u.com/maricos-saffola-masala-oats-hits-a-six-with-playful-cricket-campaign-featuring-sanjay-manjrekar/"/>
    <hyperlink ref="N419" r:id="rId418" display="https://campaignbriefasia.com/2026/06/23/wolf-bkk-tbwalintas-mumbai-kodansha-tokyo-geek-pictures-tokyo-win-film-craft-bronze-lions/"/>
    <hyperlink ref="N420" r:id="rId419" display="https://www.socialsamosa.com/samosa-snippets/as-mullen-vanishes-tbwalintas-lives-on-10867606"/>
    <hyperlink ref="N421" r:id="rId420" display="https://news.google.com/rss/search?q=%22TBWA%22+India+mandate+OR+wins+OR+bags&amp;hl=en-IN&amp;gl=IN&amp;ceid=IN:en"/>
    <hyperlink ref="N422" r:id="rId421" display="https://www.medianews4u.com/tata-tea-golds-campaign-continues-to-celebrate-the-bengali-way-of-living-and-their-no-compromise-attitude/"/>
    <hyperlink ref="N423" r:id="rId422" display="https://www.medianews4u.com/tvs-motors-campaign-protect-little-riders-looks-to-create-awareness-on-child-safety/"/>
    <hyperlink ref="N424" r:id="rId423" display="https://www.afaqs.com/topic/lowe-lintas"/>
    <hyperlink ref="N425" r:id="rId424" display="https://www.medianews4u.com/vims-equal-vows-campaign-champions-gender-equality-in-households-with-collaborative-partnerships/"/>
    <hyperlink ref="N426" r:id="rId425" display="https://www.medianews4u.com/reliance-retails-fashion-brand-yousta-partners-mullen-lintas/"/>
    <hyperlink ref="N427" r:id="rId426" display="https://www.afaqs.com/news/advertising/hyatt-india-launches-official-instagram-page-with-vaani-kapoor-8449076"/>
    <hyperlink ref="N428" r:id="rId427" display="https://www.medianews4u.com/lintas-live-rides-away-with-the-classic-legends-mandate/"/>
    <hyperlink ref="N429" r:id="rId428" display="https://www.exchange4media.com/pr-and-corporate-communication-news/lintas-live-wins-pr-and-communication-mandate-for-prestige-group-109905.html"/>
    <hyperlink ref="N430" r:id="rId429" display="https://www.medianews4u.com/lintas-live-bags-pr-partner-for-impresarios-social/"/>
    <hyperlink ref="N431" r:id="rId430" display="https://www.afaqs.com/news/advertising/lintas-live-wins-social-media-marketing-mandate-for-turespaa"/>
    <hyperlink ref="N432" r:id="rId431" display="https://www.medianews4u.com/lintas-live-wins-back-the-pr-and-integrated-communications-mandate-for-visit-victoria/"/>
    <hyperlink ref="N433" r:id="rId432" display="https://www.medianews4u.com/lintas-live-named-pr-firm-for-allied-blenders-and-distillers/"/>
    <hyperlink ref="N434" r:id="rId433" display="https://www.medianews4u.com/lintas-live-wins-social-media-pr-mandates-for-bayer-indias-saridon-supradyn/"/>
    <hyperlink ref="N435" r:id="rId434" display="https://www.medianews4u.com/lintas-live-bags-the-pr-mandate-for-tata-aig-general-insurance/"/>
    <hyperlink ref="N436" r:id="rId435" display="https://campaignbriefasia.com/2026/09/18/omnicom-advertising-india-dominates-the-work-2026-with-mccann-taking-out-apac-agency-of-the-year-title-and-tbwalintas-2-in-india/"/>
    <hyperlink ref="N437" r:id="rId436" display="https://www.medianews4u.com/bhima-jewels-diamond-range-encourages-women-to-indulge-in-self-love-with-sobhita-dhulipala-as-its-face/"/>
    <hyperlink ref="N438" r:id="rId437" display="https://www.medianews4u.com/kansai-nerolac-tests-paint-at-86000-feet-in-stratospheric-campaign-with-ulka/"/>
    <hyperlink ref="N439" r:id="rId438" display="https://www.socialsamosa.com/industry-updates/fcb-ulka-creative-mandate-provident-housing-4755687"/>
    <hyperlink ref="N440" r:id="rId439" display="https://www.medianews4u.com/fcb-ulka-wins-the-creative-mandate-for-shoppers-stop/"/>
    <hyperlink ref="N441" r:id="rId440" display="https://www.afaqs.com/topic/fcb-ulka"/>
    <hyperlink ref="N442" r:id="rId441" display="https://www.medianews4u.com/fcb-ulka-bags-creative-mandate-for-bajaj-almond-drops-hair-oil-and-bajaj-no-marks/"/>
    <hyperlink ref="N443" r:id="rId442" display="https://www.medianews4u.com/itc-candyman-expands-portfolio-with-soft-chews-targets-evolving-kids-preferences-with-kuch-bhi-karega-campaign-2/"/>
    <hyperlink ref="N444" r:id="rId443" display="https://www.medianews4u.com/navbharat-times-fcb-ulka-introduce-gender-inclusive-hindi-with-barabari-ki-bhasha/"/>
    <hyperlink ref="N445" r:id="rId444" display="https://www.storyboard18.com/agency-news/exclusive-ulka-mudra-find-new-home-in-bbdo-after-omnicom-ipg-merger-shake-up-85462.htm"/>
    <hyperlink ref="N446" r:id="rId445" display="https://www.medianews4u.com/fcb-ulka-bags-creative-mandate-for-sensodent-group/"/>
    <hyperlink ref="N447" r:id="rId446" display="https://www.medianews4u.com/idp-education-appoints-weber-shandwick-as-its-communication-partner/"/>
    <hyperlink ref="N448" r:id="rId447" display="https://www.afaqs.com/news/newbizwins/livpure-appoints-weber-shandwick-as-communications-partner-10788859"/>
    <hyperlink ref="N449" r:id="rId448" display="https://www.medianews4u.com/johnnie-walker-partners-with-taproot-dentsu-to-launch-the-walkinwithjohnnie-campaign/"/>
    <hyperlink ref="N450" r:id="rId449" display="https://www.dentsu.com/in/en/our-news/-aditya-birla-capital-appoints-dentsu-creative-india-as-its-lead-brand-communications-agency"/>
    <hyperlink ref="N451" r:id="rId450" display="https://www.afaqs.com/news/newbizwins/dentsu-to-handle-air-indias-media-mandate-12068834"/>
    <hyperlink ref="N452" r:id="rId451" display="https://www.afaqs.com/news/advertising/taproot-dentsu-wins-creative-mandate-for-biba"/>
    <hyperlink ref="N453" r:id="rId452" display="https://www.dentsu.com/in/en/our-news/dentsu-creative-india-launches-a-honda-goes-beyond-campaign"/>
    <hyperlink ref="N454" r:id="rId453" display="https://www.medianews4u.com/taproot-dentsu-and-aditya-birla-group-unshackle-mens-ethnic-wear-from-codes-of-conduct-in-their-latest-campaign/"/>
    <hyperlink ref="N455" r:id="rId454" display="https://www.storyboard18.com/agency-news/dentsu-india-wins-tata-groups-integrated-ipl-media-mandate-across-key-brands-99912.htm"/>
    <hyperlink ref="N456" r:id="rId455" display="https://www.campaignindia.in/article/bajaj-auto-partners-with-vdo-ai-and-dentsu-india-for-triumph-ctv-campaign/4j6jvghpybpvr2mavhy9kbs1dp"/>
    <hyperlink ref="N457" r:id="rId456" display="https://www.dentsu.com/in/en/our-news/vlcc-and-dentsu-creative-indias-new-campaign"/>
    <hyperlink ref="N458" r:id="rId457" display="https://www.dentsu.com/in/en/our-news/bajaj-allianz-gic-and-dentsu-creative-indias-new-campaign-"/>
    <hyperlink ref="N459" r:id="rId458" display="https://marketech-apac.com/watconsult-bags-creative-social-media-mandate-for-cardekho/"/>
    <hyperlink ref="N460" r:id="rId459" display="https://www.medianews4u.com/gulf-oil-gives-its-new-ad-campaign-a-full-fledged-movie-format/"/>
    <hyperlink ref="N461" r:id="rId460" display="https://www.afaqs.com/news/newbizwins/hell-energy-drink-names-dentsu-india-as-integrated-marketing-partner-11725549"/>
    <hyperlink ref="N462" r:id="rId461" display="https://www.afaqs.com/news/newbizwins/dentsu-creative-india-bags-lottes-creative-mandate-12125904"/>
    <hyperlink ref="N463" r:id="rId462" display="https://www.dentsu.com/in/en/our-news/motorola-india-appoints-dentsu-creative-as-creative-partner"/>
    <hyperlink ref="N464" r:id="rId463" display="https://www.dentsu.com/in/en/our-news/dentsu-creative-bags-integrated-creative-mandate-for-popeyes-india"/>
    <hyperlink ref="N465" r:id="rId464" display="https://www.dentsu.com/in/en/our-news/dentsu-creative-india-bags-digital-mandate-for-sony-entertainment-television"/>
    <hyperlink ref="N466" r:id="rId465" display="https://www.socialsamosa.com/industry-updates/dentsu-creative-india-expands-mandate-ttk-healthcare-3587888"/>
    <hyperlink ref="N467" r:id="rId466" display="https://www.storyboard18.com/agency-news/dentsu-wins-tvs-motor-media-mandate-ws-l-106734.htm"/>
    <hyperlink ref="N468" r:id="rId467" display="https://www.afaqs.com/news/advertising/tvs-ntorq-celebrates-footballs-champions-through-the-streets-remember-12054342"/>
    <hyperlink ref="N469" r:id="rId468" display="https://www.dentsu.com/in/en/our-news/dentsu-creative-isobar-wins-integrated-creative-mandate-for-forevermark"/>
    <hyperlink ref="N470" r:id="rId469" display="https://www.afaqs.com/news/newbizwins/dentsu-creative-isobar-bags-integrated-creative-mandate-for-blackberrys-12249821"/>
    <hyperlink ref="N471" r:id="rId470" display="https://www.medianews4u.com/dentsu-creative-isobar-bags-canon-indias-digital-and-e-commerce-mandate/"/>
    <hyperlink ref="N472" r:id="rId471" display="https://www.afaqs.com/news/advertising/intels-latest-campaign-reboots-a-90s-tune-for-the-ai-generation-9610743"/>
    <hyperlink ref="N473" r:id="rId472" display="https://www.storyboard18.com/agency-news/dentsu-creative-isobar-wins-bandhan-banks-creative-mandate-after-multi-agency-pitch-105098.htm"/>
    <hyperlink ref="N474" r:id="rId473" display="https://www.medianews4u.com/dentsu-creative-isobar-and-krafton-india-elevate-bgmi-beyond-gaming-in-latest-campaign/"/>
    <hyperlink ref="N475" r:id="rId474" display="https://www.campaignindia.in/article/dentsu-bags-integrated-marketing-mandate-for-hell-energy-drink/48skmntrs290bsxedvmpd2q6ww"/>
    <hyperlink ref="N476" r:id="rId475" display="https://www.dentsu.com/in/en/our-news/swiggy-instamart-dentsu-creative-isobar-and-lifelong-heat-up-delhi-ncr-campaign"/>
    <hyperlink ref="N477" r:id="rId476" display="https://www.campaignindia.in/article/dentsu-bags-integrated-marketing-mandate-for-hell-energy-drink/48skmntrs290bsxedvmpd2q6ww"/>
    <hyperlink ref="N478" r:id="rId477" display="https://www.dentsu.com/in/en/our-news/papa-johns-india-appoints-dentsu-as-integrated-agency-partner"/>
    <hyperlink ref="N479" r:id="rId478" display="https://www.afaqs.com/news/newbizwins/dentsu-creative-webchutney-wins-rak-ceramics-and-kludi-india-mandate-10500325"/>
    <hyperlink ref="N480" r:id="rId479" display="https://www.medianews4u.com/dentsu-creative-webchutney-crafts-a-surreal-vrindavan-for-bhimas-raasleela-jewellery-film/"/>
    <hyperlink ref="N481" r:id="rId480" display="https://www.medianews4u.com/canon-india-dentsu-creative-webchutney-unveil-go-beyond-campaign-to-inspire-young-creators/"/>
    <hyperlink ref="N482" r:id="rId481" display="https://www.medianews4u.com/dsp-mutual-fund-dentsu-creative-webchutney-falco-robotics-launch-garuda-rakshak-to-safeguard-children-at-purna-maha-kumbh/"/>
    <hyperlink ref="N483" r:id="rId482" display="https://www.storyboard18.com/agency-news/dentsu-creative-webchutney-wins-digital-mandate-of-godrej-professional-35235.htm"/>
    <hyperlink ref="N484" r:id="rId483" display="https://www.afaqs.com/news/advertising/greenlam-turns-a-bollywood-classic-into-a-story-of-silent-admiration-12179969"/>
    <hyperlink ref="N485" r:id="rId484" display="https://www.dentsu.com/in/en/our-news/dentsu-creative-webchutney-wins-strategy-and-creative-mandate-for-rak-ceramics-india-and-kludi-india"/>
    <hyperlink ref="N486" r:id="rId485" display="https://www.medianews4u.com/laadli-media-and-advertising-awards-for-gender-sensitivity-2022-dentsu-webchutney-wins-grand-prix-for-tanishq/"/>
    <hyperlink ref="N487" r:id="rId486" display="https://www.afaqs.com/news/advertising/ds-group-puts-catch-pink-rock-salt-in-the-spotlight-with-first-tvc-11745565"/>
    <hyperlink ref="N488" r:id="rId487" display="https://www.dentsu.com/in/en/our-news/dentsu-creative-india-bags-integrated-creative-mandate-for-gemini-edibles-and-fats-india"/>
    <hyperlink ref="N489" r:id="rId488" display="https://www.dentsu.com/in/en/our-news/dentsu-creative-webchutney-launches-new-campaign-for-iqoo-z11"/>
    <hyperlink ref="N490" r:id="rId489" display="https://www.medianews4u.com/madhur-sugar-dentsu-creative-webchutney-transform-packaging-with-the-good-cut-for-a-greener-tomorrow/"/>
    <hyperlink ref="N491" r:id="rId490" display="https://www.dentsu.com/in/en/our-news/dentsu-webchutney-wins-digital-mandate-for-make-my-trip"/>
    <hyperlink ref="N492" r:id="rId491" display="https://www.medianews4u.com/nescafe-sunrise-launches-campaign-honoring-coffee-farmers/"/>
    <hyperlink ref="N493" r:id="rId492" display="https://www.medianews4u.com/dentsu-creative-webchutney-new-holland-unveil-asli-hero-ki-asli-taaqat-to-honour-indias-farmers/"/>
    <hyperlink ref="N494" r:id="rId493" display="https://www.storyboard18.com/agency-news/papa-johns-india-names-dentsu-as-integrated-agency-partner-80083.htm"/>
    <hyperlink ref="N495" r:id="rId494" display="https://www.afaqs.com/news/digital/edstead-air-india-express-and-dentsu-se-unveil-voices-of-the-land-12126455"/>
    <hyperlink ref="N496" r:id="rId495" display="https://www.afaqs.com/news/newbizwins/arena-media-india-wins-integrated-media-mandate-for-ashiana-housing-12533294"/>
    <hyperlink ref="N497" r:id="rId496" display="https://www.medianews4u.com/jbl-marks-independence-day-with-two-print-first-campaigns-for-personal-and-home-audio/"/>
    <hyperlink ref="N498" r:id="rId497" display="https://www.socialsamosa.com/2021/03/havas-creative-india-digital-communication-mandate-itc-bingo/"/>
    <hyperlink ref="N499" r:id="rId498" display="https://www.medianews4u.com/burger-king-india-debuts-limited-time-korean-spicy-fest-menu/"/>
    <hyperlink ref="N500" r:id="rId499" display="https://www.medianews4u.com/chinese-wok-awards-integrated-mandate-to-havas-creative-india-and-arena-media/"/>
    <hyperlink ref="N501" r:id="rId500" display="https://www.afaqs.com/news/media/havas-creative-india-wins-creative-aor-mandate-for-eastman-auto-power-7594341"/>
    <hyperlink ref="N502" r:id="rId501" display="https://www.medianews4u.com/harpic-launches-new-harpic-bathroom-ultra-cleaner-appoints-rohit-shetty-as-brand-ambassador/"/>
    <hyperlink ref="N503" r:id="rId502" display="https://www.socialsamosa.com/cannes-lions/havas-cannes-lions-2024-mortein-mamaearth-campaigns-4596158"/>
    <hyperlink ref="N504" r:id="rId503" display="https://www.afaqs.com/news/advertising/mamaearths-latest-campaign-showcases-the-beauty-of-glass-like-skin-with-its-rice-facewash"/>
    <hyperlink ref="N505" r:id="rId504" display="https://www.medianews4u.com/moovs-campaign-stresses-pain-relief-commitment-for-all-ages/"/>
    <hyperlink ref="N506" r:id="rId505" display="https://www.afaqs.com/tags/havas-creative-india"/>
    <hyperlink ref="N507" r:id="rId506" display="https://www.exchange4media.com/advertising-news/muthoot-fincorp-launches-campaign-with-shah-rukh-khan-134851.html"/>
    <hyperlink ref="N508" r:id="rId507" display="https://www.medianews4u.com/havas-creative-india-wins-indias-first-gold-at-cannes-lions-2025-for-ink-of-democracy/"/>
    <hyperlink ref="N509" r:id="rId508" display="https://www.medianews4u.com/uti-mutual-funds-sip-karo-sipizen-bano-investor-education-campaign-encourages-investors-to-build-financial-discipline-through-consistent-sip-investing/"/>
    <hyperlink ref="N510" r:id="rId509" display="https://www.afaqs.com/news/advertising/vanish-aims-to-make-uniforms-uniform-again-with-vanishthedifference-campaign"/>
    <hyperlink ref="N511" r:id="rId510" display="https://www.medianews4u.com/the-betterwaytowax-campaign-is-veets-attempt-to-empower-women-with-confidence-and-offers-them-a-better-method-of-hair-removal/"/>
    <hyperlink ref="N512" r:id="rId511" display="https://www.socialsamosa.com/marketing-shorts/joyalukkas-marketing-strategy-for-indias-costliest-wedding-season-yet-10901443"/>
    <hyperlink ref="N513" r:id="rId512" display="https://www.afaqs.com/news/newbizwins/havas-media-network-bags-media-mandate-for-aakash-educational-services-11438357"/>
    <hyperlink ref="N514" r:id="rId513" display="https://www.storyboard18.com/advertising/policybazaar-awards-rs-200-250-crore-media-mandate-to-havas-108043.htm"/>
    <hyperlink ref="N515" r:id="rId514" display="https://www.medianews4u.com/hansgrohe-india-assigns-its-pr-duties-to-pr-pundit/"/>
    <hyperlink ref="N516" r:id="rId515" display="https://www.medianews4u.com/bioderma-india-appoints-pr-pundit-as-its-communications-partner/"/>
    <hyperlink ref="N517" r:id="rId516" display="https://www.manifest-media.in/marketing/070825/pr-pundit-havas-red-secures-communications-mandate-of-jbcn-group-of-sc.html"/>
    <hyperlink ref="N518" r:id="rId517" display="https://www.medianews4u.com/orra-diamond-jewellery-has-appointed-pr-pundit-as-its-communication-partners-in-india/"/>
    <hyperlink ref="N519" r:id="rId518" display="https://www.afaqs.com/news/advertising/cheil-india-rolls-out-trusted-by-india-campaign-for-galaxy-a-series-12030227"/>
    <hyperlink ref="N520" r:id="rId519" display="https://www.storyboard18.com/agency-news/exclusive-cheil-india-secures-samsungs-consolidated-above-the-line-media-account-following-high-stakes-pitch-99615.htm"/>
    <hyperlink ref="N521" r:id="rId520" display="https://www.afaqs.com/news/advertising/cheil-x-launches-ev-sahi-hai-campaign-to-promote-jsw-mg-electric-vehicles-9659781"/>
    <hyperlink ref="N522" r:id="rId521" display="https://www.storyboard18.com/agency-news/pnb-metlife-consolidates-creative-mandate-with-cheil-x-india-81433.htm"/>
    <hyperlink ref="N523" r:id="rId522" display="https://www.exchange4media.com/companies/cheil-x.html"/>
    <hyperlink ref="N524" r:id="rId523" display="https://www.manifest-media.in/advertising/230524/cheil-india-named-as-the-creative-agency-for-luminous-power-technologi.html"/>
    <hyperlink ref="N525" r:id="rId524" display="https://www.afaqs.com/news/newbizwins/experience-commerce-wins-social-media-mandate-for-iconiqa-hotels-resorts-11438545"/>
    <hyperlink ref="N526" r:id="rId525" display="https://www.medianews4u.com/experience-commerce-renews-digital-mandate-with-mrf-tyres-for-12th-consecutive-year/"/>
    <hyperlink ref="N527" r:id="rId526" display="https://www.medianews4u.com/cheils-experience-commerce-wins-digital-and-media-mandate-for-eveready/"/>
    <hyperlink ref="N528" r:id="rId527" display="https://www.medianews4u.com/experience-commerce-secures-social-media-mandate-for-parle-candy-culture/"/>
    <hyperlink ref="N529" r:id="rId528" display="https://www.socialbeat.in/work/"/>
    <hyperlink ref="N530" r:id="rId529" display="https://www.socialbeat.in/work/"/>
    <hyperlink ref="N531" r:id="rId530" display="https://www.medianews4u.com/social-beat-wins-digital-mandate-for-edtech-company-cialfo/"/>
    <hyperlink ref="N532" r:id="rId531" display="https://www.afaqs.com/news/digital/social-beat-secures-digital-mandate-for-juicy-chemistry"/>
    <hyperlink ref="N533" r:id="rId532" display="https://www.afaqs.com/news/ooh/social-beat-executes-pdooh-campaign-for-kalpataru-at-mumbai-airport-11806525"/>
    <hyperlink ref="N534" r:id="rId533" display="https://www.afaqs.com/news/advertising/khazana-jewellery-chooses-social-beat-for-digital-mandate"/>
    <hyperlink ref="N535" r:id="rId534" display="https://www.medianews4u.com/social-beat-secures-seo-and-content-mandate-for-pothys/"/>
    <hyperlink ref="N536" r:id="rId535" display="https://www.medianews4u.com/social-beat-captures-fortunes-25-year-legacy-with-a-digital-campaign/"/>
    <hyperlink ref="N537" r:id="rId536" display="https://www.medianews4u.com/radico-khaitan-appoints-adglobal360-as-integrated-digital-media-partner-to-strengthen-consumer-engagement/"/>
    <hyperlink ref="N538" r:id="rId537" display="https://www.hakuhodo-global.com/news/hakuhodo-india-network-secures-16-prestigious-awards-at-e4m-automotive-marketing-awards-2026.html"/>
    <hyperlink ref="N539" r:id="rId538" display="https://www.afaqs.com/news/newbizwins/adglobal360-wins-radico-khaitans-digital-media-mandate-12017046"/>
    <hyperlink ref="N540" r:id="rId539" display="https://www.medianews4u.com/radico-khaitan-appoints-adglobal360-as-integrated-digital-media-partner-to-strengthen-consumer-engagement/"/>
    <hyperlink ref="N541" r:id="rId540" display="https://www.medianews4u.com/radico-khaitan-appoints-adglobal360-as-integrated-digital-media-partner-to-strengthen-consumer-engagement/"/>
    <hyperlink ref="N542" r:id="rId541" display="https://www.hakuhodo-global.com/news/hakuhodo-india-network-secures-16-prestigious-awards-at-e4m-automotive-marketing-awards-2026.html"/>
    <hyperlink ref="N543" r:id="rId542" display="https://www.afaqs.com/news/advertising/hakuhodo-india-named-strategic-creative-partner-of-radico-khaitan-for-a-host-of-premium-products"/>
    <hyperlink ref="N544" r:id="rId543" display="https://www.afaqs.com/news/newbizwins/dr-willmar-schwabes-dizester-assigns-creative-mandate-to-hakuhodowyng-10733385"/>
    <hyperlink ref="N545" r:id="rId544" display="https://manifest-media.in/advertising/280526/hakuhodo-bags-creative-mandate-for-jindal-stainless.html"/>
    <hyperlink ref="N546" r:id="rId545" display="https://www.hakuhodo-global.com/news/hakuhodo-india-network-secures-16-prestigious-awards-at-e4m-automotive-marketing-awards-2026.html"/>
    <hyperlink ref="N547" r:id="rId546" display="https://www.hakuhodo-global.com/news/hakuhodo-india-network-secures-16-prestigious-awards-at-e4m-automotive-marketing-awards-2026.html"/>
    <hyperlink ref="N548" r:id="rId547" display="https://www.hakuhodo-global.com/news/pmg-india-earns-agency-of-the-year-and-21-awards-at-wow-awards-asia-2026-marking-another-milestone-for-the-hakuhodo-international-collective.html"/>
    <hyperlink ref="N549" r:id="rId548" display="https://www.hakuhodo-global.com/news/pmg-india-earns-agency-of-the-year-and-21-awards-at-wow-awards-asia-2026-marking-another-milestone-for-the-hakuhodo-international-collective.html"/>
    <hyperlink ref="N550" r:id="rId549" display="https://www.hakuhodo-global.com/news/hakuhodo-india-network-secures-16-prestigious-awards-at-e4m-automotive-marketing-awards-2026.html"/>
    <hyperlink ref="N551" r:id="rId550" display="https://www.hakuhodo-global.com/news/pmg-india-earns-agency-of-the-year-and-21-awards-at-wow-awards-asia-2026-marking-another-milestone-for-the-hakuhodo-international-collective.html"/>
    <hyperlink ref="N552" r:id="rId551" display="https://www.afaqs.com/news/newbizwins/healthcare-global-enterprises-appoints-4am-worldwide-as-creative-brand-partner-12030869"/>
    <hyperlink ref="N553" r:id="rId552" display="https://www.medianews4u.com/fabindia-appoints-80-db-mavericks-pr-consultancy/"/>
    <hyperlink ref="N554" r:id="rId553" display="https://www.afaqs.com/news/newbizwins/80-db-communications-wins-the-pr-mandate-for-smytten-11720853"/>
    <hyperlink ref="N555" r:id="rId554" display="https://www.medianews4u.com/a-simple-agency-wins-ooh-mandate-for-foxtale-featuring-shah-rukh-khan/"/>
    <hyperlink ref="N556" r:id="rId555" display="https://www.afaqs.com/news/newbizwins/a-simple-agency-bags-foxtales-ooh-mandate-featuring-shah-rukh-khan-12394815"/>
    <hyperlink ref="N557" r:id="rId556" display="https://www.exchange4media.com/pr-and-corporate-communication-news/itc-hotels-ropes-in-actimedia-as-pr-and-communications-partner-113939.html"/>
    <hyperlink ref="N558" r:id="rId557" display="https://www.afaqs.com/news/newbizwins/air-canada-appoints-actimedia-pr-as-communications-partner-for-india-8686842"/>
    <hyperlink ref="N559" r:id="rId558" display="https://www.medianews4u.com/senco-gold-diamonds-appoints-actimedia-pr-digital-as-official-pr-partner/"/>
    <hyperlink ref="N560" r:id="rId559" display="https://www.adgully.com/post/611/mercedes-benz-india-awards-pr-mandate-to-adfactors-pr"/>
    <hyperlink ref="N561" r:id="rId560" display="https://www.campaignindia.in/article/au-small-finance-bank-appoints-adfactors-pr-as-its-strategic-communications-partner/47xnxqj38v1a16xfs0r0z4nc5p"/>
    <hyperlink ref="N562" r:id="rId561" display="https://www.afaqs.com/news/newbizwins/adlift-wins-ai-search-visibility-mandate-from-casagrand-for-tesseract-12255953"/>
    <hyperlink ref="N563" r:id="rId562" display="https://www.medianews4u.com/adlift-bags-seo-mandate-for-indriya-aditya-birla-jewellery/"/>
    <hyperlink ref="N564" r:id="rId563" display="https://www.afaqs.com/news/newbizwins/adlift-bags-seo-mandate-for-indriya-11885816"/>
    <hyperlink ref="N565" r:id="rId564" display="https://www.campaignindia.in/article/tata-aia-marks-25-years-with-city-led-campaign/40h4xznpb8afwsycdf1j2w5n5e"/>
    <hyperlink ref="N566" r:id="rId565" display="https://www.afaqs.com/corporate-communications-and-pr/alphabet-media-wins-the-pr-mandate-for-luxury-fashion-brand-saundh"/>
    <hyperlink ref="N567" r:id="rId566" display="https://www.afaqs.com/news/advertising/hyatt-india-launches-new-fb-campaign-to-highlight-its-culinary-legacy-7777415"/>
    <hyperlink ref="N568" r:id="rId567" display="https://www.afaqs.com/news/newbizwins/apostrophe-ventures-wins-tilaknagar-industries-pr-mandate-12228000"/>
    <hyperlink ref="N569" r:id="rId568" display="https://www.medianews4u.com/tilaknagar-industries-appoints-apostrophe-ventures-as-corporate-and-brand-pr-partner/"/>
    <hyperlink ref="N570" r:id="rId569" display="https://www.storyboard18.com/advertising/coca-colas-limca-shifts-creative-mandate-to-atom-network-93735.htm"/>
    <hyperlink ref="N571" r:id="rId570" display="https://www.storyboard18.com/agency-news/antara-senior-living-appoints-bang-in-the-middle-as-its-creative-agency-33413.htm"/>
    <hyperlink ref="N572" r:id="rId571" display="https://www.afaqs.com/news/advertising/groupe-seb-india-appoints-bang-in-the-middle-as-its-creative-agency"/>
    <hyperlink ref="N573" r:id="rId572" display="https://www.afaqs.com/news/advertising/bang-in-the-middle-hollers-at-former-client-mendanta-for-using-a-campaign-idea-it-rejected-during-their-year-long-relationship"/>
    <hyperlink ref="N574" r:id="rId573" display="https://www.afaqs.com/news/advertising/mothers-recipe-picks-bang-in-the-middle-to-service-its-mainline-creative-account"/>
    <hyperlink ref="N575" r:id="rId574" display="https://www.bcwebwise.com/"/>
    <hyperlink ref="N576" r:id="rId575" display="https://www.medianews4u.com/bc-web-wise-wins-digital-and-social-media-mandate-for-procam-internationals-hdor/"/>
    <hyperlink ref="N577" r:id="rId576" display="https://www.bcwebwise.com/"/>
    <hyperlink ref="N578" r:id="rId577" display="https://www.medianews4u.com/bc-web-wise-relaunches-gatsby-with-gottagroove-campaign/"/>
    <hyperlink ref="N579" r:id="rId578" display="https://www.medianews4u.com/bc-web-wise-wins-digital-mandate-for-lic-housing-finance/"/>
    <hyperlink ref="N580" r:id="rId579" display="https://www.medianews4u.com/mpokket-appoints-bc-web-wise-to-strengthen-ai-led-search-and-digital-discovery-strategy/"/>
    <hyperlink ref="N581" r:id="rId580" display="https://www.medianews4u.com/bc-web-wise-secures-digital-mandate-for-mschief/"/>
    <hyperlink ref="N582" r:id="rId581" display="https://www.medianews4u.com/bc-web-wise-tiger-balm-shine-spotlight-on-forest-guards-this-international-tigers-day/"/>
    <hyperlink ref="N583" r:id="rId582" display="https://www.medianews4u.com/zuno-general-insurance-renews-digital-mandate-with-bc-web-wise-for-the-second-consecutive-year/"/>
    <hyperlink ref="N584" r:id="rId583" display="https://www.medianews4u.com/beam-and-words-bags-social-media-mandate-for-luxury-designer-brand-tarun-tahiliani/"/>
    <hyperlink ref="N585" r:id="rId584" display="https://www.medianews4u.com/indri-single-malt-whisky-gives-360-brand-mandate-to-blackcab-agency-network/"/>
    <hyperlink ref="N586" r:id="rId585" display="https://www.afaqs.com/news/advertising/agoda-launches-ai-powered-campaign-with-ayushmann-khurrana-to-personalise-travel-ads-for-audiences"/>
    <hyperlink ref="N587" r:id="rId586" display="https://www.afaqs.com/news/advertising/fibe-awards-its-digital-mandate-to-blink-digital"/>
    <hyperlink ref="N588" r:id="rId587" display="https://www.afaqs.com/news/media/creative-agency-blue-vector-wins-the-social-media-mandate-for-volvo-cars-india"/>
    <hyperlink ref="N589" r:id="rId588" display="https://www.campaignindia.in/article/pitch-update-coca-cola-mastercard-vinfast-sleepwell-and-more/42wq85ph1ex6qsf9ngpgb9ahxk"/>
    <hyperlink ref="N590" r:id="rId589" display="https://www.afaqs.com/news/advertising/when-the-star-client-stumbles-building-resilience-in-indias-new-age-ad-agencies-10477604"/>
    <hyperlink ref="N591" r:id="rId590" display="https://www.afaqs.com/news/advertising/ananya-panday-reads-the-riot-act-to-anurag-kashyap-in-a-tresemme-ad-10974026"/>
    <hyperlink ref="N592" r:id="rId591" display="https://www.afaqs.com/news/advertising/when-the-star-client-stumbles-building-resilience-in-indias-new-age-ad-agencies-10477604"/>
    <hyperlink ref="N593" r:id="rId592" display="https://www.afaqs.com/news/advertising/courtyard-by-marriott-gurugram-downtown-awards-its-creative-socialmedia-marketing-mandate-to-brand-catapult"/>
    <hyperlink ref="N594" r:id="rId593" display="https://www.brandcatapult.in/"/>
    <hyperlink ref="N595" r:id="rId594" display="https://www.afaqs.com/news/advertising/53191_kotak-mahindra-bank-plays-inclusion-card"/>
    <hyperlink ref="N596" r:id="rId595" display="https://www.medianews4u.com/tag/chimpz-inc/"/>
    <hyperlink ref="N597" r:id="rId596" display="https://www.communicateindia.com/"/>
    <hyperlink ref="N598" r:id="rId597" display="https://www.communicateindia.com/"/>
    <hyperlink ref="N599" r:id="rId598" display="https://www.afaqs.com/news/newbizwins/swiss-military-appoints-compass-communications-as-strategic-comms-partner-11224671"/>
    <hyperlink ref="N600" r:id="rId599" display="https://www.socialsamosa.com/industry-updates/concept-pr-communications-mandate-runwal-enterprises-12062954"/>
    <hyperlink ref="N601" r:id="rId600" display="https://www.afaqs.com/news/newbizwins/concept-communications-wins-creative-mandate-for-amfis-mutual-funds-sahi-hai-campaign-11024109"/>
    <hyperlink ref="N602" r:id="rId601" display="https://www.afaqs.com/news/newbizwins/confiance-communications-secures-pr-mandate-for-raga-svara-wellness-retreat-9518188"/>
    <hyperlink ref="N603" r:id="rId602" display="https://www.afaqs.com/news/newbizwins/confiance-communications-bags-communications-mandate-for-libertario-coffee-india-11777538"/>
    <hyperlink ref="N604" r:id="rId603" display="https://www.afaqs.com/news/newbizwins/the-pant-project-names-confiance-communications-as-pr-partner-12186958"/>
    <hyperlink ref="N605" r:id="rId604" display="https://www.afaqs.com/news/newbizwins/türkiye-tourism-renews-india-pr-mandate-with-confiance-communications-11076007"/>
    <hyperlink ref="N606" r:id="rId605" display="https://www.medianews4u.com/balaji-wafers-appoints-creativefuel-as-social-and-digital-partner/"/>
    <hyperlink ref="N607" r:id="rId606" display="https://www.medianews4u.com/creativefuel-drives-multi-platform-digital-launch-for-jiohotstar-x-superman/"/>
    <hyperlink ref="N608" r:id="rId607" display="https://www.afaqs.com/news/newbizwins/creativefuel-wins-social-media-digital-mandate-for-priyagold-11092247"/>
    <hyperlink ref="N609" r:id="rId608" display="https://www.afaqs.com/news/newbizwins/creativeland-asia-delhi-bags-del-monte-indias-creative-mandate-12116891"/>
    <hyperlink ref="N610" r:id="rId609" display="https://www.afaqs.com/news/advertising/creativeland-asia-rolls-out-vida-vaka-voom-anthem-for-hero-vida-11458758"/>
    <hyperlink ref="N611" r:id="rId610" display="https://www.storyboard18.com/advertising/meh-rupay-kotak-and-caratlane-had-every-possible-advantage-their-campaigns-did-not-show-it-99583.htm"/>
    <hyperlink ref="N612" r:id="rId611" display="https://www.afaqs.com/news/advertising/how-kotak-is-banking-on-ai-driven-content-to-stay-ahead-of-the-curve-8893952"/>
    <hyperlink ref="N613" r:id="rId612" display="https://www.medianews4u.com/entourage-films-brings-jasprit-bumrahs-off-field-ease-to-life-in-uniqlos-newest-campaign-ad-film/"/>
    <hyperlink ref="N614" r:id="rId613" display="https://www.afaqs.com/news/advertising/pizza-huts-no-interruption-only-satisfaction-campaign-unveils-melts-a-meal-for-on-the-go-consumers"/>
    <hyperlink ref="N615" r:id="rId614" display="https://www.afaqs.com/news/newbizwins/creativeland-asia-wins-social-media-mandate-for-realme-11458316"/>
    <hyperlink ref="N616" r:id="rId615" display="https://crosshairscommunication.com/case-studies/"/>
    <hyperlink ref="N617" r:id="rId616" display="https://crosshairscommunication.com/clients/"/>
    <hyperlink ref="N618" r:id="rId617" display="https://crosshairscommunication.com/clients/"/>
    <hyperlink ref="N619" r:id="rId618" display="https://crosshairscommunication.com/clients/"/>
    <hyperlink ref="N620" r:id="rId619" display="https://crosshairscommunication.com/case-studies/"/>
    <hyperlink ref="N621" r:id="rId620" display="https://www.afaqs.com/corporate-communications-and-pr/crosshairs-communication-wins-pr-mandate-for-khurana-jewellery-house"/>
    <hyperlink ref="N622" r:id="rId621" display="https://crosshairscommunication.com/case-studies/"/>
    <hyperlink ref="N623" r:id="rId622" display="https://www.medianews4u.com/loccitane-awards-its-pr-mandate-to-crosshairs-communication/"/>
    <hyperlink ref="N624" r:id="rId623" display="https://www.afaqs.com/corporate-communications-and-pr/crosshairs-communication-bags-pr-mandate-for-le-royal-monceau-raffles-paris-7594598"/>
    <hyperlink ref="N625" r:id="rId624" display="https://crosshairscommunication.com/case-studies/"/>
    <hyperlink ref="N626" r:id="rId625" display="https://crosshairscommunication.com/case-studies/"/>
    <hyperlink ref="N627" r:id="rId626" display="https://www.afaqs.com/news/newbizwins/crosshairs-communication-bags-pr-mandate-for-raghavendra-rathore-jodhpur-8899894"/>
    <hyperlink ref="N628" r:id="rId627" display="https://crosshairscommunication.com/clients/"/>
    <hyperlink ref="N629" r:id="rId628" display="https://crosshairscommunication.com/clients/"/>
    <hyperlink ref="N630" r:id="rId629" display="https://www.afaqs.com/corporate-communications-and-pr/crosshairs-communication-bags-pr-mandate-for-thomas-goode-co-in-india-7295230"/>
    <hyperlink ref="N631" r:id="rId630" display="https://www.afaqs.com/corporate-communications-and-pr/crosshairs-communication-is-now-accor-indias-pr-partner"/>
    <hyperlink ref="N632" r:id="rId631" display="https://crosshairscommunication.com/case-studies/"/>
    <hyperlink ref="N633" r:id="rId632" display="https://crosshairscommunication.com/case-studies/"/>
    <hyperlink ref="N634" r:id="rId633" display="https://crosshairscommunication.com/clients/"/>
    <hyperlink ref="N635" r:id="rId634" display="https://crosshairscommunication.com/clients/"/>
    <hyperlink ref="N636" r:id="rId635" display="https://www.afaqs.com/news/advertising/axis-bank-shows-what-happens-when-open-becomes-the-new-normal-12559223"/>
    <hyperlink ref="N637" r:id="rId636" display="https://www.afaqs.com/news/advertising/gulf-pride-dhoni-12480108"/>
    <hyperlink ref="N638" r:id="rId637" display="https://www.afaqs.com/news/advertising/too-yumm-revamps-brand-positioning-introduces-twisties-snack-in-new-ad"/>
    <hyperlink ref="N639" r:id="rId638" display="https://www.afaqs.com/news/advertising/urbn-appoints-curativity-as-creative-partner"/>
    <hyperlink ref="N640" r:id="rId639" display="https://www.medianews4u.com/curry-nation-wins-integrated-digital-and-growth-mandates-across-jewellery-technology-and-kitchenware/"/>
    <hyperlink ref="N641" r:id="rId640" display="https://www.medianews4u.com/curry-nation-wins-integrated-digital-and-growth-mandates-across-jewellery-technology-and-kitchenware/"/>
    <hyperlink ref="N642" r:id="rId641" display="https://www.medianews4u.com/tag/cut-the-crap/"/>
    <hyperlink ref="N643" r:id="rId642" display="https://www.medianews4u.com/digital-refresh-networks-bags-the-digital-mandate-for-mia-by-tanishq-motherhood-ivf-and-ikounsellor/"/>
    <hyperlink ref="N644" r:id="rId643" display="https://www.medianews4u.com/digital-refresh-networks-bags-the-digital-mandate-for-haribol/"/>
    <hyperlink ref="N645" r:id="rId644" display="https://www.afaqs.com/tags/digital-refresh-networks"/>
    <hyperlink ref="N646" r:id="rId645" display="https://www.medianews4u.com/digital-refresh-networks-wins-digital-mandate-for-nissin-geki-korean-noodles/"/>
    <hyperlink ref="N647" r:id="rId646" display="https://dnanetworks.com/our-work/corporate-events/"/>
    <hyperlink ref="N648" r:id="rId647" display="https://dnanetworks.com/our-work/special-events/"/>
    <hyperlink ref="N649" r:id="rId648" display="https://www.medianews4u.com/dvio-digital-wins-the-creative-and-digital-marketing-mandate-for-theobroma/"/>
    <hyperlink ref="N650" r:id="rId649" display="https://www.afaqs.com/news/newbizwins/gant-india-partners-with-emporiom-digital-to-drive-digital-growth-8975364"/>
    <hyperlink ref="N651" r:id="rId650" display="https://www.afaqs.com/news/newbizwins/enormous-wins-creative-mandate-for-bombay-shaving-company-11133665"/>
    <hyperlink ref="N652" r:id="rId651" display="https://www.afaqs.com/news/newbizwins/enormous-wins-creative-mandate-for-bombay-shaving-company-11133665"/>
    <hyperlink ref="N653" r:id="rId652" display="https://www.afaqs.com/news/newbizwins/enormous-wins-the-integrated-creative-mandate-for-duroflex-and-sleepyhead-10061432"/>
    <hyperlink ref="N654" r:id="rId653" display="https://www.afaqs.com/news/advertising/how-enormous-is-winning-most-of-its-new-business-without-pitching-10996334"/>
    <hyperlink ref="N655" r:id="rId654" display="https://www.afaqs.com/news/advertising/nua-launches-new-campaign-on-pad-irritation-with-enormous-11822719"/>
    <hyperlink ref="N656" r:id="rId655" display="https://www.afaqs.com/news/advertising/dish-tv-turns-small-switches-into-always-on-viewing-11735391"/>
    <hyperlink ref="N657" r:id="rId656" display="https://www.afaqs.com/news/advertising/how-enormous-is-winning-most-of-its-new-business-without-pitching-10996334"/>
    <hyperlink ref="N658" r:id="rId657" display="https://www.afaqs.com/news/advertising/lahori-zeera-returns-with-a-sequel-not-a-reboot-10993407"/>
    <hyperlink ref="N659" r:id="rId658" display="https://www.afaqs.com/news/advertising/how-enormous-is-winning-most-of-its-new-business-without-pitching-10996334"/>
    <hyperlink ref="N660" r:id="rId659" display="https://www.afaqs.com/news/advertising/enormous-highlights-ralson-tyres-durability-in-new-campaign-11805738"/>
    <hyperlink ref="N661" r:id="rId660" display="https://www.afaqs.com/news/advertising/how-enormous-is-winning-most-of-its-new-business-without-pitching-10996334"/>
    <hyperlink ref="N662" r:id="rId661" display="https://www.afaqs.com/news/advertising/how-enormous-is-winning-most-of-its-new-business-without-pitching-10996334"/>
    <hyperlink ref="N663" r:id="rId662" display="https://www.ethinos.com/"/>
    <hyperlink ref="N664" r:id="rId663" display="https://www.afaqs.com/news/advertising/50574_everest-brand-solutions-retains-creative-mandate-of-ddfs"/>
    <hyperlink ref="N665" r:id="rId664" display="https://www.afaqs.com/news/advertising/famous-innovations-wins-5-major-mandates-in-h2-strengthens-geographical-expansion-11727022"/>
    <hyperlink ref="N666" r:id="rId665" display="https://www.afaqs.com/news/advertising/famous-innovations-wins-5-major-mandates-in-h2-strengthens-geographical-expansion-11727022"/>
    <hyperlink ref="N667" r:id="rId666" display="https://www.afaqs.com/news/advertising/famous-innovations-wins-5-major-mandates-in-h2-strengthens-geographical-expansion-11727022"/>
    <hyperlink ref="N668" r:id="rId667" display="https://www.afaqs.com/news/advertising/famous-innovations-wins-5-major-mandates-in-h2-strengthens-geographical-expansion-11727022"/>
    <hyperlink ref="N669" r:id="rId668" display="https://bestmediainfo.com/2023/10/mia-by-tanishq-s-for-the-star-in-you-campaign-inspires-individuals-to-embrace-their-inner-radiance"/>
    <hyperlink ref="N670" r:id="rId669" display="https://www.afaqs.com/news/advertising/sebamed-draws-a-line-between-hair-fall-and-hair-loss-in-new-campaign-12162719"/>
    <hyperlink ref="N671" r:id="rId670" display="https://www.afaqs.com/news/newbizwins/famous-innovations-to-lead-communications-for-world-pickleball-league-9521850"/>
    <hyperlink ref="N672" r:id="rId671" display="https://www.afaqs.com/news/advertising/famous-innovations-wins-5-major-mandates-in-h2-strengthens-geographical-expansion-11727022"/>
    <hyperlink ref="N673" r:id="rId672" display="https://www.afaqs.com/news/advertising/famous-innovations-wins-5-major-mandates-in-h2-strengthens-geographical-expansion-11727022"/>
    <hyperlink ref="N674" r:id="rId673" display="https://www.afaqs.com/news/advertising/famous-innovations-wins-5-major-mandates-in-h2-strengthens-geographical-expansion-11727022"/>
    <hyperlink ref="N675" r:id="rId674" display="https://www.afaqs.com/news/advertising/famous-innovations-wins-5-major-mandates-in-h2-strengthens-geographical-expansion-11727022"/>
    <hyperlink ref="N676" r:id="rId675" display="https://www.afaqs.com/news/newbizwins/famous-innovations-wins-the-creative-duties-of-nilkamal-sleep-9496503"/>
    <hyperlink ref="N677" r:id="rId676" display="https://www.afaqs.com/news/advertising/oppo-reveals-full-aawara-gang-story-with-siddhant-ishaan-pooja-following-ranbir-kapoors-teaser-9442028"/>
    <hyperlink ref="N678" r:id="rId677" display="https://www.afaqs.com/news/newbizwins/laneige-appoints-filter-coffee-co-as-its-digital-communication-partner-in-india-8941193"/>
    <hyperlink ref="N679" r:id="rId678" display="https://www.medianews4u.com/first-sight-wings-digital-mandate-of-luxury-chocolate-brand-smoor/"/>
    <hyperlink ref="N680" r:id="rId679" display="https://www.medianews4u.com/senco-gold-diamonds-launches-aapkashukriya-campaign-honouring-artisan-craftsmanship/"/>
    <hyperlink ref="N681" r:id="rId680" display="https://www.socialsamosa.com/industry-updates/glad-u-came-pr-mandate-world-luxury-chamber-of-commerce-12575269"/>
    <hyperlink ref="N682" r:id="rId681" display="https://www.afaqs.com/corporate-communications-and-pr/glad-u-came-wins-pr-mandate-for-eze-perfumes-a-sawai-fragrance-venture"/>
    <hyperlink ref="N683" r:id="rId682" display="https://www.medianews4u.com/glad-u-came-bagged-the-pr-mandate-of-park-avenue-for-lakme-fashion-week-x-fdci/"/>
    <hyperlink ref="N684" r:id="rId683" display="https://www.afaqs.com/news/newbizwins/gozoop-creative-to-handle-cookieman-indias-digital-and-creative-mandate-10940065"/>
    <hyperlink ref="N685" r:id="rId684" display="https://www.medianews4u.com/gozoop-hawk-bags-digital-customer-service-mandate-for-godrej-properties/"/>
    <hyperlink ref="N686" r:id="rId685" display="https://www.medianews4u.com/gozoop-creative-launches-msme-day-campaign-for-tata-tele-business-services/"/>
    <hyperlink ref="N687" r:id="rId686" display="https://www.grapesworldwide.com/"/>
    <hyperlink ref="N688" r:id="rId687" display="https://www.grapesworldwide.com/"/>
    <hyperlink ref="N689" r:id="rId688" display="https://www.grapesworldwide.com/"/>
    <hyperlink ref="N690" r:id="rId689" display="https://www.grapesworldwide.com/"/>
    <hyperlink ref="N691" r:id="rId690" display="https://www.grapesworldwide.com/"/>
    <hyperlink ref="N692" r:id="rId691" display="https://www.grapesworldwide.com/"/>
    <hyperlink ref="N693" r:id="rId692" display="https://www.grapesworldwide.com/"/>
    <hyperlink ref="N694" r:id="rId693" display="https://www.grapesworldwide.com/"/>
    <hyperlink ref="N695" r:id="rId694" display="https://www.grapesworldwide.com/"/>
    <hyperlink ref="N696" r:id="rId695" display="https://www.grapesworldwide.com/"/>
    <hyperlink ref="N697" r:id="rId696" display="https://www.grapesworldwide.com/"/>
    <hyperlink ref="N698" r:id="rId697" display="https://www.grapesworldwide.com/"/>
    <hyperlink ref="N699" r:id="rId698" display="https://www.medianews4u.com/grapes-worldwide-bags-digital-mandate-for-livwell/"/>
    <hyperlink ref="N700" r:id="rId699" display="https://www.grapesworldwide.com/case-study/samsonite-autonomic"/>
    <hyperlink ref="N701" r:id="rId700" display="https://www.medianews4u.com/grapes-worldwide-crafts-quirky-stories-for-bikanos-dil-ki-mano-enjoy-bikano-campaign/"/>
    <hyperlink ref="N702" r:id="rId701" display="https://www.medianews4u.com/grapes-worldwide-crafts-real-time-ai-powered-campaign-pokos-day-out-for-mamypoko-pants/"/>
    <hyperlink ref="N703" r:id="rId702" display="https://www.medianews4u.com/grapes-worldwide-crafts-new-kuch-bhi-campaign-for-vibhor-oils/"/>
    <hyperlink ref="N704" r:id="rId703" display="https://www.afaqs.com/news/newbizwins/greenhonchos-wins-digital-mandate-for-blackberrys-9476792"/>
    <hyperlink ref="N705" r:id="rId704" display="https://www.afaqs.com/news/newbizwins/hashtag-orange-bags-marketing-mandate-for-frankfinn-12505549"/>
    <hyperlink ref="N706" r:id="rId705" display="https://www.afaqs.com/news/newbizwins/hashtag-orange-wins-digital-mandate-for-aparna-venster-and-okotech-9632214"/>
    <hyperlink ref="N707" r:id="rId706" display="https://www.medianews4u.com/gaurang-menon-steps-down-from-hashtag-orange-after-building-mumbai-business/"/>
    <hyperlink ref="N708" r:id="rId707" display="https://www.hashtagorange.in/case-studies"/>
    <hyperlink ref="N709" r:id="rId708" display="https://www.hashtagorange.in/case-studies"/>
    <hyperlink ref="N710" r:id="rId709" display="https://www.medianews4u.com/gaurang-menon-steps-down-from-hashtag-orange-after-building-mumbai-business/"/>
    <hyperlink ref="N711" r:id="rId710" display="https://www.afaqs.com/news/newbizwins/hashtag-orange-wins-digital-mandate-for-roca-8988699"/>
    <hyperlink ref="N712" r:id="rId711" display="https://www.medianews4u.com/hashtag-orange-secures-safetree-mandate-to-build-indias-first-fertility-insurance-brand/"/>
    <hyperlink ref="N713" r:id="rId712" display="https://www.medianews4u.com/gaurang-menon-steps-down-from-hashtag-orange-after-building-mumbai-business/"/>
    <hyperlink ref="N714" r:id="rId713" display="https://www.medianews4u.com/hashtag-orange-unveils-dum-bhi-bharosa-bhi-campaign-for-escorts-kubotas-mu-series/"/>
    <hyperlink ref="N715" r:id="rId714" display="https://www.afaqs.com/news/newbizwins/hashtag-orange-bags-marketing-mandate-for-frankfinn-12505549"/>
    <hyperlink ref="N716" r:id="rId715" display="https://www.medianews4u.com/gaurang-menon-steps-down-from-hashtag-orange-after-building-mumbai-business/"/>
    <hyperlink ref="N717" r:id="rId716" display="https://www.medianews4u.com/gaurang-menon-steps-down-from-hashtag-orange-after-building-mumbai-business/"/>
    <hyperlink ref="N718" r:id="rId717" display="https://www.afaqs.com/news/newbizwins/hashtag-orange-bags-marketing-mandate-for-frankfinn-12505549"/>
    <hyperlink ref="N719" r:id="rId718" display="https://www.socialsamosa.com/industry-updates/hashtag-orange-zuno-insurances-communications-mandate-9402773"/>
    <hyperlink ref="N720" r:id="rId719" display="https://www.socialsamosa.com/industry-updates/tanishq-joins-chatgpt-ads-audience-discovery-consideration-12568214"/>
    <hyperlink ref="N721" r:id="rId720" display="https://www.afaqs.com/news/newbizwins/hiveminds-bags-integrated-digital-mandate-for-dr-reddys-laboratories-12040344"/>
    <hyperlink ref="N722" r:id="rId721" display="https://www.medianews4u.com/bacardi-launches-casa-bacardi-its-your-mood-its-your-summer-to-celebrate-indias-summer-state-of-mind/"/>
    <hyperlink ref="N723" r:id="rId722" display="https://www.afaqs.com/news/newbizwins/hovers-wins-performance-marketing-mandate-for-pn-gadgil-sons-8984830"/>
    <hyperlink ref="N724" r:id="rId723" display="https://www.afaqs.com/news/newbizwins/hypothesis-by-oml-wins-influencer-marketing-mandate-for-ather-energy-8916060"/>
    <hyperlink ref="N725" r:id="rId724" display="https://www.socialsamosa.com/industry-updates/icubeswire-digital-mandate-luxury-real-estate-brand-central-park-9368637"/>
    <hyperlink ref="N726" r:id="rId725" display="https://www.medianews4u.com/icubeswire-bags-global-media-mandate-for-wozoyo/"/>
    <hyperlink ref="N727" r:id="rId726" display="https://www.afaqs.com/news/newbizwins/louis-stitch-ropes-in-image-stereo-for-pr-communications-mandate-9602128"/>
    <hyperlink ref="N728" r:id="rId727" display="https://www.afaqs.com/news/newbizwins/image-stereo-wins-the-strategic-pr-brand-mandate-for-som-distilleries-breweries-9360384"/>
    <hyperlink ref="N729" r:id="rId728" display="https://www.socialsamosa.com/2019/12/imarti-media-vlcc-social-media-mandate/"/>
    <hyperlink ref="N730" r:id="rId729" display="https://www.afaqs.com/news/newbizwins/infectious-advertising-to-handle-the-integrated-mandate-for-bkt-tyres-in-india-11169533"/>
    <hyperlink ref="N731" r:id="rId730" display="https://www.afaqs.com/news/advertising/bkt-tyres-launches-elevate-your-drive-campaign-with-ranveer-singh-11209237"/>
    <hyperlink ref="N732" r:id="rId731" display="https://www.afaqs.com/news/newbizwins/jack-in-the-box-worldwide-wins-social-media-mandate-for-kotak-mahindra-prime-9306900"/>
    <hyperlink ref="N733" r:id="rId732" display="https://www.medianews4u.com/the-third-edition-of-netflix-and-kommunes-voices-of-tomorrow-nurtures-lgbtqia-and-senior-adult-voice-talent/"/>
    <hyperlink ref="N734" r:id="rId733" display="https://www.afaqs.com/news/newbizwins/liqvd-asia-bags-social-media-and-orm-mandate-for-narayana-health-12226137"/>
    <hyperlink ref="N735" r:id="rId734" display="https://www.afaqs.com/news/newbizwins/liqvd-asia-bags-digital-communications-mandate-for-woodland-11187958"/>
    <hyperlink ref="N736" r:id="rId735" display="https://www.afaqs.com/news/newbizwins/liqvd-asia-bags-digital-communications-mandate-for-woodland-11187958"/>
    <hyperlink ref="N737" r:id="rId736" display="https://www.afaqs.com/news/newbizwins/wozoyo-appoints-liqvd-asia-as-digital-marketing-partner-12183708"/>
    <hyperlink ref="N738" r:id="rId737" display="https://www.afaqs.com/news/newbizwins/liqvd-asia-bags-four-new-mandates-11255145"/>
    <hyperlink ref="N739" r:id="rId738" display="https://www.afaqs.com/news/newbizwins/liqvd-asia-bags-four-new-mandates-11255145"/>
    <hyperlink ref="N740" r:id="rId739" display="https://lyxelandflamingo.com/"/>
    <hyperlink ref="N741" r:id="rId740" display="https://lyxelandflamingo.com/case-studies/seo/converse-india-seo-organic-growth-case-study/"/>
    <hyperlink ref="N742" r:id="rId741" display="https://lyxelandflamingo.com/case-studies/retention/kimirica-retention-marketing-lifecycle-automation-case-study/"/>
    <hyperlink ref="N743" r:id="rId742" display="https://lyxelandflamingo.com/case-studies/retention/o3/"/>
    <hyperlink ref="N744" r:id="rId743" display="https://lyxelandflamingo.com/case-studies/third-party-marketplaces/united-colors-of-benetton-diwali-ecommerce-performance-case-study/"/>
    <hyperlink ref="N745" r:id="rId744" display="https://www.medianews4u.com/big-bowl-taps-lyxelflamingo-as-social-and-media-partner-to-drive-digital-led-growth/"/>
    <hyperlink ref="N746" r:id="rId745" display="https://lyxelandflamingo.com/case-studies/seo/kurlon-geo-seo-ai-visibility/"/>
    <hyperlink ref="N747" r:id="rId746" display="https://www.afaqs.com/news/newbizwins/maars-communicates-wins-strategic-communications-mandate-for-studio-blo-12256823"/>
    <hyperlink ref="N748" r:id="rId747" display="https://www.madchatter.in/"/>
    <hyperlink ref="N749" r:id="rId748" display="https://www.medianews4u.com/madchatter-bags-pr-mandate-of-p2p-lending-platform-rang-de/"/>
    <hyperlink ref="N750" r:id="rId749" display="https://www.afaqs.com/news/advertising/madison-loop-wins-the-integrated-account-of-oberoi-realty"/>
    <hyperlink ref="N751" r:id="rId750" display="https://www.afaqs.com/news/advertising/madison-bmb-integrates-with-madison-loop"/>
    <hyperlink ref="N752" r:id="rId751" display="https://www.afaqs.com/news/advertising/madison-bmb-integrates-with-madison-loop"/>
    <hyperlink ref="N753" r:id="rId752" display="https://www.socialsamosa.com/media-samosa/madison-media-alpha-pilgrim-india-media-aor-6140769"/>
    <hyperlink ref="N754" r:id="rId753" display="https://www.medianews4u.com/moms-starbucks-conduct-a-3d-anamorphic-campaign-in-bangalore-to-spotlight-the-blonde-roast/"/>
    <hyperlink ref="N755" r:id="rId754" display="https://www.afaqs.com/news/newbizwins/jindal-stainless-appoints-madison-media-as-its-media-aor-11797436"/>
    <hyperlink ref="N756" r:id="rId755" display="https://www.storyboard18.com/agency-news/dentsu-wins-tvs-motor-media-mandate-ws-l-106734.htm"/>
    <hyperlink ref="N757" r:id="rId756" display="https://www.afaqs.com/news/advertising/makani-creatives-wins-integrated-creative-mandate-for-florsheim-shoes-7451769"/>
    <hyperlink ref="N758" r:id="rId757" display="https://www.afaqs.com/news/advertising/irus-eyewear-and-kartik-aaryan-urge-viewers-to-look-again-to-challenge-misconceptions-about-gen-z"/>
    <hyperlink ref="N759" r:id="rId758" display="https://www.afaqs.com/news/advertising/shoppers-stop-empowers-women-to-embrace-their-choices-fearlessly-with-dontstop-campaign"/>
    <hyperlink ref="N760" r:id="rId759" display="https://www.afaqs.com/news/advertising/makani-creatives-challenges-gender-stereotypes-with-give-her-space-campaign-for-american-tourister"/>
    <hyperlink ref="N761" r:id="rId760" display="https://www.afaqs.com/news/advertising/makani-creatives-wins-creative-mandate-for-stimulus-and-eeken"/>
    <hyperlink ref="N762" r:id="rId761" display="https://www.medianews4u.com/ajio-launches-because-fashion-campaign-celebrating-bold-style-choices-with-big-bold-sale/"/>
    <hyperlink ref="N763" r:id="rId762" display="https://monk-e.in/"/>
    <hyperlink ref="N764" r:id="rId763" display="https://monk-e.in/"/>
    <hyperlink ref="N765" r:id="rId764" display="https://www.medianews4u.com/monks-interactive-wins-the-pr-mandate-of-the-fern-hotels-resorts/"/>
    <hyperlink ref="N766" r:id="rId765" display="https://www.goodadsmatter.com/post/moonshot"/>
    <hyperlink ref="N767" r:id="rId766" display="https://www.afaqs.com/tags/moonshot"/>
    <hyperlink ref="N768" r:id="rId767" display="https://www.goodadsmatter.com/post/moonshot"/>
    <hyperlink ref="N769" r:id="rId768" display="https://www.manifest-media.in/advertising/081025/indiaa-awards-2025-moonshot-and-ogilvy-dominate-with-four-wins-each.html"/>
    <hyperlink ref="N770" r:id="rId769" display="https://www.goodadsmatter.com/post/moonshot"/>
    <hyperlink ref="N771" r:id="rId770" display="https://www.manifest-media.in/advertising/081025/indiaa-awards-2025-moonshot-and-ogilvy-dominate-with-four-wins-each.html"/>
    <hyperlink ref="N772" r:id="rId771" display="https://www.goodadsmatter.com/post/moonshot"/>
    <hyperlink ref="N773" r:id="rId772" display="https://www.manifest-media.in/advertising/081025/indiaa-awards-2025-moonshot-and-ogilvy-dominate-with-four-wins-each.html"/>
    <hyperlink ref="N774" r:id="rId773" display="https://www.goodadsmatter.com/post/moonshot"/>
    <hyperlink ref="N775" r:id="rId774" display="https://www.afaqs.com/tags/moonshot"/>
    <hyperlink ref="N776" r:id="rId775" display="https://www.goodadsmatter.com/post/moonshot"/>
    <hyperlink ref="N777" r:id="rId776" display="https://www.manifest-media.in/advertising/081025/indiaa-awards-2025-moonshot-and-ogilvy-dominate-with-four-wins-each.html"/>
    <hyperlink ref="N778" r:id="rId777" display="https://www.afaqs.com/tags/moonshot"/>
    <hyperlink ref="N779" r:id="rId778" display="https://www.campaignindia.in/article/pixel-perfect-how-nash8-turned-indigo-axis-bank-credit-card-launch-into-a-game-worth-playing/4p09sj3s31zrztgj67esjzmwdj"/>
    <hyperlink ref="N780" r:id="rId779" display="https://www.medianews4u.com/oktobuzz-wins-digital-marketing-mandate-of-westside/"/>
    <hyperlink ref="N781" r:id="rId780" display="https://www.afaqs.com/news/advertising/one-hand-clap-the-agency-that-got-ms-dhoni-to-re-enact-ranbir-kapoors-animal-8970115"/>
    <hyperlink ref="N782" r:id="rId781" display="https://www.afaqs.com/news/advertising/one-hand-clap-the-agency-that-got-ms-dhoni-to-re-enact-ranbir-kapoors-animal-8970115"/>
    <hyperlink ref="N783" r:id="rId782" display="https://www.afaqs.com/news/advertising/one-hand-clap-the-agency-that-got-ms-dhoni-to-re-enact-ranbir-kapoors-animal-8970115"/>
    <hyperlink ref="N784" r:id="rId783" display="https://www.afaqs.com/news/advertising/one-hand-clap-the-agency-that-got-ms-dhoni-to-re-enact-ranbir-kapoors-animal-8970115"/>
    <hyperlink ref="N785" r:id="rId784" display="https://www.afaqs.com/news/advertising/underneat-turns-wardrobe-drama-into-a-superhero-story-with-underwoman-11082470"/>
    <hyperlink ref="N786" r:id="rId785" display="https://www.afaqs.com/news/advertising/one-hand-clap-the-agency-that-got-ms-dhoni-to-re-enact-ranbir-kapoors-animal-8970115"/>
    <hyperlink ref="N787" r:id="rId786" display="https://www.afaqs.com/news/advertising/when-the-star-client-stumbles-building-resilience-in-indias-new-age-ad-agencies-10477604"/>
    <hyperlink ref="N788" r:id="rId787" display="https://www.afaqs.com/news/newbizwins/pepper-communications-group-wins-pr-mandate-for-timbertales-luxury-resort-8629292"/>
    <hyperlink ref="N789" r:id="rId788" display="https://www.afaqs.com/news/newbizwins/pollinate-labs-wins-the-rebranding-mandate-for-4700bc-12506207"/>
    <hyperlink ref="N790" r:id="rId789" display="https://www.medianews4u.com/popkorn-bags-creative-mandate-for-the-coffee-bean-tea-leaf-india/"/>
    <hyperlink ref="N791" r:id="rId790" display="https://www.medianews4u.com/prius-communications-leads-pr-and-digital-mandate-for-delhi-times-fashion-week-2026-for-seventh-consecutive-year/"/>
    <hyperlink ref="N792" r:id="rId791" display="https://www.afaqs.com/news/newbizwins/prohed-bags-performance-marketing-mandate-for-vianaar-11220895"/>
    <hyperlink ref="N793" r:id="rId792" display="https://www.pulpstrategy.com/?portfolio=the-heroines-journey-beyond-by-zoya"/>
    <hyperlink ref="N794" r:id="rId793" display="https://www.pulpstrategy.com/"/>
    <hyperlink ref="N795" r:id="rId794" display="https://www.pulpstrategy.com/?portfolio=chooseblackforwhite-dabur-charcoals-bold-narrative"/>
    <hyperlink ref="N796" r:id="rId795" display="https://www.afaqs.com/news/advertising/jsw-mg-motor-indias-ganesh-chaturthi-film-shows-how-cars-become-part-of-family-traditions-9758951"/>
    <hyperlink ref="N797" r:id="rId796" display="https://www.medianews4u.com/punt-creative-bags-communications-mandate-for-pizzaexpress-india/"/>
    <hyperlink ref="N798" r:id="rId797" display="https://www.afaqs.com/news/newbizwins/punt-creative-wins-communication-mandate-for-pizzaexpress-india-12235291"/>
    <hyperlink ref="N799" r:id="rId798" display="https://www.afaqs.com/news/newbizwins/punt-creative-bags-digital-duties-for-piramal-consumer-healthcares-flagship-brands-9762988"/>
    <hyperlink ref="N800" r:id="rId799" display="https://quirkhead.ae/"/>
    <hyperlink ref="N801" r:id="rId800" display="https://quirkhead.ae/"/>
    <hyperlink ref="N802" r:id="rId801" display="https://quirkhead.ae/"/>
    <hyperlink ref="N803" r:id="rId802" display="https://www.afaqs.com/news/newbizwins/quirk-head-becomes-social-media-and-creative-design-partner-for-marriott-udaipur-and-jim-corbett-9014286"/>
    <hyperlink ref="N804" r:id="rId803" display="https://www.storyboard18.com/brand-marketing/exclusive-netflix-indias-influencer-mandate-under-review-96486.htm"/>
    <hyperlink ref="N805" r:id="rId804" display="https://www.storyboard18.com/agency-news/exclusive-bmw-india-appoints-vmls-contract-advertising-india-as-creative-agency-87842.htm"/>
    <hyperlink ref="N806" r:id="rId805" display="https://www.exchange4media.com/advertising-news/rediffusion-collaborates-with-ihcl-for-launch-of-she-remains-the-taj-120348.html"/>
    <hyperlink ref="N807" r:id="rId806" display="https://www.medianews4u.com/rediffusion-crafts-heartwarming-saas-bahu-campaign-for-liebherr-with-neena-gupta/"/>
    <hyperlink ref="N808" r:id="rId807" display="https://www.storyboard18.com/agency-news/rediffusion-wins-creative-mandate-for-nippon-india-mutual-fund-46728.htm"/>
    <hyperlink ref="N809" r:id="rId808" display="https://www.medianews4u.com/rediffusion-bags-creative-mandate-for-glucon-d/"/>
    <hyperlink ref="N810" r:id="rId809" display="https://www.medianews4u.com/rediffusion-bags-creative-media-mandate-for-keya-foods/"/>
    <hyperlink ref="N811" r:id="rId810" display="https://www.afaqs.com/news/advertising/parles-new-ad-showcases-londonderry-as-a-generational-symbol-of-love-8449297"/>
    <hyperlink ref="N812" r:id="rId811" display="https://www.afaqs.com/news/newbizwins/rediffusion-kolkata-awarded-creative-mandate-for-prabhuji-9009602"/>
    <hyperlink ref="N813" r:id="rId812" display="https://www.afaqs.com/news/advertising/rediffusion-raids-create-an-ai-film-for-danones-protinex-9331706"/>
    <hyperlink ref="N814" r:id="rId813" display="https://www.afaqs.com/news/advertising/rediffusion-unveils-ai-generated-christmas-film-for-tata-power-8543786"/>
    <hyperlink ref="N815" r:id="rId814" display="https://www.medianews4u.com/sephora-india-retains-repindia-as-its-social-media-partner/"/>
    <hyperlink ref="N816" r:id="rId815" display="https://www.afaqs.com/news/newbizwins/repindia-bags-integrated-creative-mandate-for-oppo-india-10541040"/>
    <hyperlink ref="N817" r:id="rId816" display="https://www.afaqs.com/news/newbizwins/ardent-alcobev-partners-with-roll-dot-agency-for-dram-bell-whiskys-india-debut-8729582"/>
    <hyperlink ref="N818" r:id="rId817" display="https://www.afaqs.com/news/newbizwins/ruder-finn-india-wins-communications-mandate-for-oneplus-india-11111756"/>
    <hyperlink ref="N819" r:id="rId818" display="https://www.medianews4u.com/savvytree-renews-helios-by-titans-social-media-mandate-for-3rd-year/"/>
    <hyperlink ref="N820" r:id="rId819" display="https://www.afaqs.com/news/advertising/alcon-introduces-precision1-contact-lenses-in-india-with-a-new-launch-campaign-9014962"/>
    <hyperlink ref="N821" r:id="rId820" display="https://www.afaqs.com/news/advertising/reliance-jewels-unveils-vindhya-collection-for-akshaya-tritiya"/>
    <hyperlink ref="N822" r:id="rId821" display="https://www.afaqs.com/news/advertising/sportz-village-advocates-for-sports-in-schools-in-its-new-campaign"/>
    <hyperlink ref="N823" r:id="rId822" display="https://www.schbang.com/casestudies/indriya-went-from-zero-to-50m-views-in-a-year-heres-how"/>
    <hyperlink ref="N824" r:id="rId823" display="https://www.socialsamosa.com/industry-updates/akshay-gurnani-exits-schbang-harshil-sohil-karia-full-control-8772881"/>
    <hyperlink ref="N825" r:id="rId824" display="https://www.schbang.com/news-centre"/>
    <hyperlink ref="N826" r:id="rId825" display="https://www.afaqs.com/news/advertising/idfc-first-banks-campaign-with-sumeet-vyas-questions-banking-norms-12041058"/>
    <hyperlink ref="N827" r:id="rId826" display="https://www.afaqs.com/news/advertising/idfc-first-banks-campaign-with-sumeet-vyas-questions-banking-norms-12041058"/>
    <hyperlink ref="N828" r:id="rId827" display="https://www.schbang.com/news-centre"/>
    <hyperlink ref="N829" r:id="rId828" display="https://www.socialsamosa.com/industry-updates/akshay-gurnani-exits-schbang-harshil-sohil-karia-full-control-8772881"/>
    <hyperlink ref="N830" r:id="rId829" display="https://www.medianews4u.com/louis-philippe-bets-on-cultural-credibility-over-celebrity-influence-in-new-digital-campaign/"/>
    <hyperlink ref="N831" r:id="rId830" display="https://www.afaqs.com/news/advertising/louis-philippe-brings-kenny-sebastian-into-new-onam-campaign-12436755"/>
    <hyperlink ref="N832" r:id="rId831" display="https://www.schbang.com/work"/>
    <hyperlink ref="N833" r:id="rId832" display="https://www.schbang.com/work"/>
    <hyperlink ref="N834" r:id="rId833" display="https://www.schbang.com/work"/>
    <hyperlink ref="N835" r:id="rId834" display="https://www.medianews4u.com/specta-quartz-surfaces-partners-with-jim-sarbh-to-spotlight-quartz-through-new-campaign/"/>
    <hyperlink ref="N836" r:id="rId835" display="https://www.schbang.com/news-centre"/>
    <hyperlink ref="N837" r:id="rId836" display="https://www.socialsamosa.com/industry-updates/akshay-gurnani-exits-schbang-harshil-sohil-karia-full-control-8772881"/>
    <hyperlink ref="N838" r:id="rId837" display="https://www.afaqs.com/news/advertising/britannia-the-laughing-cow-launches-snacking-ka-new-angle-campaign-10981152"/>
    <hyperlink ref="N839" r:id="rId838" display="https://www.medianews4u.com/schbang-brings-quirky-shopper-personas-to-life-for-amazon-indias-great-freedom-sale/"/>
    <hyperlink ref="N840" r:id="rId839" display="https://www.medianews4u.com/tag/schbang/"/>
    <hyperlink ref="N841" r:id="rId840" display="https://www.schbang.com/news-centre"/>
    <hyperlink ref="N842" r:id="rId841" display="https://www.afaqs.com/tags/schbang?page=2"/>
    <hyperlink ref="N843" r:id="rId842" display="https://www.socialsamosa.com/industry-updates/akshay-gurnani-exits-schbang-harshil-sohil-karia-full-control-8772881"/>
    <hyperlink ref="N844" r:id="rId843" display="https://www.schbang.com/news-centre"/>
    <hyperlink ref="N845" r:id="rId844" display="https://www.schbang.com/work"/>
    <hyperlink ref="N846" r:id="rId845" display="https://www.socialsamosa.com/industry-updates/akshay-gurnani-exits-schbang-harshil-sohil-karia-full-control-8772881"/>
    <hyperlink ref="N847" r:id="rId846" display="https://www.afaqs.com/news/advertising/schbang-bags-the-social-media-mandate-for-sharechat-and-moj"/>
    <hyperlink ref="N848" r:id="rId847" display="https://www.schbang.com/news-centre"/>
    <hyperlink ref="N849" r:id="rId848" display="https://www.medianews4u.com/scribbld-bags-digital-mandate-for-brushers-co/"/>
    <hyperlink ref="N850" r:id="rId849" display="https://www.afaqs.com/news/newbizwins/scribbld-wins-digital-and-social-media-mandate-for-foot-locker-india-10279212"/>
    <hyperlink ref="N851" r:id="rId850" display="https://www.afaqs.com/news/newbizwins/scribbld-wins-performance-marketing-mandate-for-suzette-gourmet-11871446"/>
    <hyperlink ref="N852" r:id="rId851" display="https://www.medianews4u.com/scribbld-wins-playnxt-and-terrapy-mandates-expands-consumer-and-lifestyle-brand-portfolio/"/>
    <hyperlink ref="N853" r:id="rId852" display="https://www.medianews4u.com/sga-growth-advisors-wins-pr-and-social-media-mandate-for-renee-cosmetics/"/>
    <hyperlink ref="N854" r:id="rId853" display="https://www.medianews4u.com/manyavar-mohey-onboards-rashmika-mandanna-vijay-deverakonda-as-its-brand-ambassadors-for-its-new-campaign-made-for-each-other/"/>
    <hyperlink ref="N855" r:id="rId854" display="https://www.campaignindia.in/article/happilo-appoints-sideways-for-its-creative-mandate/4xy5wmxrg1rzbvvd76w7t1c1nx"/>
    <hyperlink ref="N856" r:id="rId855" display="https://www.afaqs.com/tags/sideways-consulting"/>
    <hyperlink ref="N857" r:id="rId856" display="https://www.afaqs.com/tags/sideways-consulting"/>
    <hyperlink ref="N858" r:id="rId857" display="https://www.afaqs.com/news/advertising/sideways-bags-creative-mandate-for-pidilites-haisha-paints"/>
    <hyperlink ref="N859" r:id="rId858" display="https://socheers.in/"/>
    <hyperlink ref="N860" r:id="rId859" display="https://socheers.in/"/>
    <hyperlink ref="N861" r:id="rId860" display="https://socheers.in/"/>
    <hyperlink ref="N862" r:id="rId861" display="https://www.afaqs.com/news/advertising/socheers-wins-digital-mandate-for-asus-india"/>
    <hyperlink ref="N863" r:id="rId862" display="https://www.afaqs.com/news/mktg/broadway-launches-pune-store-with-culture-led-campaign-by-socheers-11775191"/>
    <hyperlink ref="N864" r:id="rId863" display="https://www.afaqs.com/news/mktg/broadway-launches-pune-store-with-culture-led-campaign-by-socheers-11775191"/>
    <hyperlink ref="N865" r:id="rId864" display="https://socheers.in/work"/>
    <hyperlink ref="N866" r:id="rId865" display="https://socheers.in/work"/>
    <hyperlink ref="N867" r:id="rId866" display="https://socheers.in/work"/>
    <hyperlink ref="N868" r:id="rId867" display="https://socheers.in/work"/>
    <hyperlink ref="N869" r:id="rId868" display="https://socheers.in/work"/>
    <hyperlink ref="N870" r:id="rId869" display="https://www.afaqs.com/tags/social-panga"/>
    <hyperlink ref="N871" r:id="rId870" display="https://www.afaqs.com/news/newbizwins/social-panga-wins-digital-mandate-for-devans-beer-gin-brands-12426681"/>
    <hyperlink ref="N872" r:id="rId871" display="https://www.afaqs.com/news/newbizwins/social-panga-wins-digital-mandate-for-devans-beer-gin-brands-12426681"/>
    <hyperlink ref="N873" r:id="rId872" display="https://www.medianews4u.com/social-panga-bags-social-media-mandate-for-tata-aig/"/>
    <hyperlink ref="N874" r:id="rId873" display="https://www.medianews4u.com/van-heusens-innerwear-range-onboards-social-panga-as-its-social-media-marketing-partner/"/>
    <hyperlink ref="N875" r:id="rId874" display="https://www.afaqs.com/news/advertising/amazon-now-takes-a-dig-at-quick-commerce-charges-with-new-campaign-12226512"/>
    <hyperlink ref="N876" r:id="rId875" display="https://www.socialsamosa.com/industry-updates/social-panga-digital-creative-communication-mandates-balaji-wafers-6695929"/>
    <hyperlink ref="N877" r:id="rId876" display="https://www.medianews4u.com/miniklub-and-social-panga-launch-the-happy-parenting-strategy-campaign-celebrating-modern-fatherhood/"/>
    <hyperlink ref="N878" r:id="rId877" display="https://www.afaqs.com/news/newbizwins/social-panga-wins-the-marketing-mandate-for-neo-by-nippon-paint-9480460"/>
    <hyperlink ref="N879" r:id="rId878" display="https://www.socialsamosa.com/industry-updates/spek-digital-creative-marketing-mandate-birdys-9607484"/>
    <hyperlink ref="N880" r:id="rId879" display="https://www.medianews4u.com/story-digital-wins-the-digital-creative-mandate-for-riya-perfumes/"/>
    <hyperlink ref="N881" r:id="rId880" display="https://www.medianews4u.com/story-digital-wins-creative-digital-partner-mandate-for-wozoyo-india/"/>
    <hyperlink ref="N882" r:id="rId881" display="https://www.afaqs.com/news/newbizwins"/>
    <hyperlink ref="N883" r:id="rId882" display="https://www.afaqs.com/news/newbizwins/sunny-side-up-wins-creative-mandate-for-william-penns-lapis-bard-10881552"/>
    <hyperlink ref="N884" r:id="rId883" display="https://www.storyboard18.com/agency-news/sw-network-wins-full-digital-mandate-for-mini-india-87868.htm"/>
    <hyperlink ref="N885" r:id="rId884" display="https://www.afaqs.com/news/newbizwins/sw-network-retains-creative-and-digital-mandate-for-nexus-select-citywalk-delhi-9316678"/>
    <hyperlink ref="N886" r:id="rId885" display="https://www.medianews4u.com/sociowash-secures-d2c-media-mandate-for-ageasy/"/>
    <hyperlink ref="N887" r:id="rId886" display="https://www.afaqs.com/news/newbizwins/sw-network-bags-creative-mandate-for-anytime-fitness-india-9530353"/>
    <hyperlink ref="N888" r:id="rId887" display="https://www.afaqs.com/news/newbizwins/sw-network-wins-fila-and-foot-locker-mandates-from-metro-brands-10812995"/>
    <hyperlink ref="N889" r:id="rId888" display="https://www.medianews4u.com/sw-network-bags-creative-mandate-for-fila-and-foot-locker-from-metro-brands/"/>
    <hyperlink ref="N890" r:id="rId889" display="https://www.afaqs.com/news/newbizwins/sw-network-wins-fila-and-foot-locker-mandates-from-metro-brands-10812995"/>
    <hyperlink ref="N891" r:id="rId890" display="https://www.afaqs.com/news/newbizwins/sw-network-wins-fila-and-foot-locker-mandates-from-metro-brands-10812995"/>
    <hyperlink ref="N892" r:id="rId891" display="https://www.afaqs.com/news/newbizwins/sw-network-wins-integrated-digital-mandate-for-fujifilms-instax-in-india-9336522"/>
    <hyperlink ref="N893" r:id="rId892" display="https://www.afaqs.com/news/newbizwins/sw-network-bags-garden-varelis-performance-marketing-mandate-12425632"/>
    <hyperlink ref="N894" r:id="rId893" display="https://www.medianews4u.com/sw-network-flipkart-and-motorola-reimagine-tech-launches-with-swarovski-studded-360-campaign-for-razr-60/"/>
    <hyperlink ref="N895" r:id="rId894" display="https://www.afaqs.com/news/branded-content/nykaa-wanderlust-enters-microdrama-space-with-hotel-wanderlust-12584987"/>
    <hyperlink ref="N896" r:id="rId895" display="https://www.medianews4u.com/sociowash-wins-mandate-of-titans-licensed-watch-brands-kenneth-cole-new-york-and-tommy-hilfiger/"/>
    <hyperlink ref="N897" r:id="rId896" display="https://www.medianews4u.com/sociowash-wins-mandate-of-titans-licensed-watch-brands-kenneth-cole-new-york-and-tommy-hilfiger/"/>
    <hyperlink ref="N898" r:id="rId897" display="https://www.medianews4u.com/sociowash-bags-the-creative-mandate-for-indrive/"/>
    <hyperlink ref="N899" r:id="rId898" display="https://www.afaqs.com/news/newbizwins/sw-network-bags-social-media-mandate-for-lava-mobiles-11258403"/>
    <hyperlink ref="N900" r:id="rId899" display="https://www.afaqs.com/news/newbizwins/livpure-appoints-sw-network-to-handle-digital-communications-11705112"/>
    <hyperlink ref="N901" r:id="rId900" display="https://www.afaqs.com/news/newbizwins/sw-networks-youthbeat-bags-mandate-for-myntra-style-squad-campaign-11157365"/>
    <hyperlink ref="N902" r:id="rId901" display="https://www.medianews4u.com/forest-essentials-launches-take-your-time-campaign-celebrating-slow-beauty-and-rituals/"/>
    <hyperlink ref="N903" r:id="rId902" display="https://www.goodadsmatter.com/post/talented"/>
    <hyperlink ref="N904" r:id="rId903" display="https://www.goodadsmatter.com/post/talented"/>
    <hyperlink ref="N905" r:id="rId904" display="https://www.afaqs.com/news/advertising/the-hindu-turns-the-star-rating-on-its-readers-this-labour-day-11785404"/>
    <hyperlink ref="N906" r:id="rId905" display="https://www.goodadsmatter.com/post/talented"/>
    <hyperlink ref="N907" r:id="rId906" display="https://www.storyboard18.com/brand-makers/from-talented-to-moonshot-the-new-age-agencies-redefining-advertising-in-india-86794.htm"/>
    <hyperlink ref="N908" r:id="rId907" display="https://campaignbriefasia.com/2026/09/09/talented-casts-cars24s-ceo-in-a-legendary-new-role-as-king-vikram-in-latest-campaign/"/>
    <hyperlink ref="N909" r:id="rId908" display="https://www.goodadsmatter.com/post/talented"/>
    <hyperlink ref="N910" r:id="rId909" display="https://www.afaqs.com/news/advertising/duolingo-enters-punjab-with-ullu-da-pattha-campaign-for-english-course-12501089"/>
    <hyperlink ref="N911" r:id="rId910" display="https://www.afaqs.com/news/advertising/flipkart-trades-celebs-for-local-faces-in-kolkata-big-billion-days-ad-12564903"/>
    <hyperlink ref="N912" r:id="rId911" display="https://www.medianews4u.com/pantaloons-names-samantha-ruth-prabhu-as-its-first-ever-brand-ambassador-launches-festive-campaign-spark-your-imagination/"/>
    <hyperlink ref="N913" r:id="rId912" display="https://www.afaqs.com/news/advertising/when-beera-became-jeera-how-talented-crafted-a-rd-burman-earworm-for-rimzims-return-11159354"/>
    <hyperlink ref="N914" r:id="rId913" display="https://campaignbriefasia.com/2026/08/17/talented-turns-the-back-of-billboards-into-a-symbol-of-support-for-star-health-insurance/"/>
    <hyperlink ref="N915" r:id="rId914" display="https://www.goodadsmatter.com/post/talented"/>
    <hyperlink ref="N916" r:id="rId915" display="https://www.medianews4u.com/team-pumpkin-wins-alphathetas-digital-mandate-to-drive-online-presence/"/>
    <hyperlink ref="N917" r:id="rId916" display="https://www.medianews4u.com/kickers-partners-with-team-pumpkin-to-build-digital-presence-in-india/"/>
    <hyperlink ref="N918" r:id="rId917" display="https://www.medianews4u.com/koche-awards-marketing-mandate-to-team-pumpkin/"/>
    <hyperlink ref="N919" r:id="rId918" display="https://www.socialsamosa.com/industry-updates/team-pumpkin-social-media-mandate-kotak-securities-6950753"/>
    <hyperlink ref="N920" r:id="rId919" display="https://www.medianews4u.com/plum-goodness-retains-team-pumpkin-for-performance-marketing/"/>
    <hyperlink ref="N921" r:id="rId920" display="https://www.afaqs.com/news/newbizwins/royaloak-appoints-team-pumpkin-as-digital-marketing-partner-12065166"/>
    <hyperlink ref="N922" r:id="rId921" display="https://www.afaqs.com/news/newbizwins/team-pumpkin-bags-social-media-mandate-for-lavie-sport-12256990"/>
    <hyperlink ref="N923" r:id="rId922" display="https://www.medianews4u.com/team-pumpkin-appointed-pr-agency-souled-store/"/>
    <hyperlink ref="N924" r:id="rId923" display="https://www.afaqs.com/news/newbizwins/techmagnate-bags-seo-mandate-for-axis-max-life-insurance-8706353"/>
    <hyperlink ref="N925" r:id="rId924" display="https://www.afaqs.com/news/advertising/tgthr-launches-an-integrated-campaign-for-ultraviolettes-f77-mach-2-7235171"/>
    <hyperlink ref="N926" r:id="rId925" display="https://www.afaqs.com/news/advertising/when-the-star-client-stumbles-building-resilience-in-indias-new-age-ad-agencies-10477604"/>
    <hyperlink ref="N927" r:id="rId926" display="https://www.medianews4u.com/the-minimalist-wins-strategic-communications-mandate-from-afc-furniture-solutions/"/>
    <hyperlink ref="N928" r:id="rId927" display="https://www.medianews4u.com/the-minimalist-bags-creative-and-social-media-mandate-for-schwarzkopf-india/"/>
    <hyperlink ref="N929" r:id="rId928" display="https://www.afaqs.com/news/newbizwins/eveready-appoints-the-minimalist-as-its-digital-agency-partner-10596647"/>
    <hyperlink ref="N930" r:id="rId929" display="https://www.afaqs.com/news/newbizwins/the-minimalist-wins-integrated-digital-mandate-for-tyresnmore-12249540"/>
    <hyperlink ref="N931" r:id="rId930" display="https://www.afaqs.com/news/advertising/when-the-star-client-stumbles-building-resilience-in-indias-new-age-ad-agencies-10477604"/>
    <hyperlink ref="N932" r:id="rId931" display="https://www.afaqs.com/news/advertising/when-the-star-client-stumbles-building-resilience-in-indias-new-age-ad-agencies-10477604"/>
    <hyperlink ref="N933" r:id="rId932" display="https://www.afaqs.com/news/newbizwins/the-other-circle-bags-pr-mandate-for-the-astor-goa-9504708"/>
    <hyperlink ref="N934" r:id="rId933" display="https://www.afaqs.com/news/newbizwins/modi-illva-appoints-the-reppro-as-strategic-communications-partner-11857700"/>
    <hyperlink ref="N935" r:id="rId934" display="https://www.afaqs.com/news/advertising/vicky-kaushal-stars-in-birla-estates-real-advise-campaign"/>
    <hyperlink ref="N936" r:id="rId935" display="https://www.afaqs.com/news/advertising/the-think-tank-secures-creative-mandate-for-kanakia-group"/>
    <hyperlink ref="N937" r:id="rId936" display="https://www.indianweb2.com/2026/07/accenture-in-advanced-talks-to-acquire.html"/>
    <hyperlink ref="N938" r:id="rId937" display="https://www.afaqs.com/news/advertising/bsh-home-appliances-partners-with-the-womb-to-improve-brand-equity-7347140"/>
    <hyperlink ref="N939" r:id="rId938" display="https://www.afaqs.com/news/advertising/mahindra-lifespaces-moves-beyond-amenities-in-its-latest-campaign-12051467"/>
    <hyperlink ref="N940" r:id="rId939" display="https://www.afaqs.com/news/advertising/why-mahindras-thar-roxx-is-courting-womenwithout-letting-go-of-its-core-identity-12229682"/>
    <hyperlink ref="N941" r:id="rId940" display="https://www.indianweb2.com/2026/07/accenture-in-advanced-talks-to-acquire.html"/>
    <hyperlink ref="N942" r:id="rId941" display="https://www.indianweb2.com/2026/07/accenture-in-advanced-talks-to-acquire.html"/>
    <hyperlink ref="N943" r:id="rId942" display="https://www.indianweb2.com/2026/07/accenture-in-advanced-talks-to-acquire.html"/>
    <hyperlink ref="N944" r:id="rId943" display="https://www.afaqs.com/news/mktg/dinshaws-draws-on-kamblis-journey-for-dildaaribut-how-far-is-too-far-11771596"/>
    <hyperlink ref="N945" r:id="rId944" display="https://www.afaqs.com/news/newbizwins/gullak-appoints-the-womb-as-its-strategic-and-creative-partner-12215182"/>
    <hyperlink ref="N946" r:id="rId945" display="https://www.afaqs.com/news/advertising/the-womb-wins-nilkamals-brand-communications-mandate-7305118"/>
    <hyperlink ref="N947" r:id="rId946" display="https://www.indianweb2.com/2026/07/accenture-in-advanced-talks-to-acquire.html"/>
    <hyperlink ref="N948" r:id="rId947" display="https://www.afaqs.com/news/advertising/rasna-launches-thick-concentrate-rasna-rich-with-a-nostalgic-campaign-8865647"/>
    <hyperlink ref="N949" r:id="rId948" display="https://www.indianweb2.com/2026/07/accenture-in-advanced-talks-to-acquire.html"/>
    <hyperlink ref="N950" r:id="rId949" display="https://www.indianweb2.com/2026/07/accenture-in-advanced-talks-to-acquire.html"/>
    <hyperlink ref="N951" r:id="rId950" display="https://www.indianweb2.com/2026/07/accenture-in-advanced-talks-to-acquire.html"/>
    <hyperlink ref="N952" r:id="rId951" display="https://www.afaqs.com/news/newbizwins/the-womb-wins-wonder-cements-creative-and-strategy-mandate-11878818"/>
    <hyperlink ref="N953" r:id="rId952" display="https://manifest-media.in/advertising/270526/the-womb-bags-wonder-cements-brand-strategy-and-creative-mandate.html"/>
    <hyperlink ref="N954" r:id="rId953" display="https://www.afaqs.com/news/advertising/baidyanath-rhuma-oil-ad-is-a-new-take-on-pain-relief"/>
    <hyperlink ref="N955" r:id="rId954" display="https://www.afaqs.com/news/advertising/truecaller-awards-creative-duties-to-thinkstr"/>
    <hyperlink ref="N956" r:id="rId955" display="https://www.afaqs.com/news/newbizwins/three-fourth-solutions-wins-marketing-mandate-for-chandrani-pearls-12204750"/>
    <hyperlink ref="N957" r:id="rId956" display="https://www.storyboard18.com/agency-news/ather-energy-onboards-tilt-brand-solutions-as-their-brand-and-communications-agency-33891.htm"/>
    <hyperlink ref="N958" r:id="rId957" display="https://www.afaqs.com/news/newbizwins/enamor-appoints-tilt-brand-solutions-as-its-brand-communications-aor-8888963"/>
    <hyperlink ref="N959" r:id="rId958" display="https://www.afaqs.com/news/advertising/alia-bhatt-ranbir-kapoor-find-every-reason-to-shop-in-myntras-bff-campaign-12583285"/>
    <hyperlink ref="N960" r:id="rId959" display="https://www.afaqs.com/news/advertising/bajaj-promises-toughness-and-and-day-one-feel-in-its-summer-campaign-8892367"/>
    <hyperlink ref="N961" r:id="rId960" display="https://www.afaqs.com/news/advertising/when-the-star-client-stumbles-building-resilience-in-indias-new-age-ad-agencies-10477604"/>
    <hyperlink ref="N962" r:id="rId961" display="https://www.storyboard18.com/agency-news/santoor-appoints-tilt-brand-solutions-as-agency-on-record-95223.htm"/>
    <hyperlink ref="N963" r:id="rId962" display="https://www.medianews4u.com/toaster-insea-launches-full-funnel-digital-campaign-for-tira-beauty-to-engage-multi-generational-audiences/"/>
    <hyperlink ref="N964" r:id="rId963" display="https://www.afaqs.com/news/newbizwins/toaster-insea-wins-social-mandate-for-godfather-beer-10788216"/>
    <hyperlink ref="N965" r:id="rId964" display="https://www.medianews4u.com/tonic-worldwide-wins-digital-mandate-for-tilaknagars-monarch-legacy-edition-luxury-brandy/"/>
    <hyperlink ref="N966" r:id="rId965" display="https://www.afaqs.com/news/advertising/motilal-oswal-financial-servicess-new-ad-warns-against-bad-financial-advice-9306490"/>
    <hyperlink ref="N967" r:id="rId966" display="https://www.medianews4u.com/tonic-worldwide-wins-digital-mandate-for-pcpl/"/>
    <hyperlink ref="N968" r:id="rId967" display="https://www.tonicworldwide.com/work/seven-islands-whisky-bombay-brand-launch-case-study"/>
    <hyperlink ref="N969" r:id="rId968" display="https://www.tonicworldwide.com/"/>
    <hyperlink ref="N970" r:id="rId969" display="https://www.tonicworldwide.com/"/>
    <hyperlink ref="N971" r:id="rId970" display="https://www.tonicworldwide.com/"/>
    <hyperlink ref="N972" r:id="rId971" display="https://www.afaqs.com/news/newbizwins/tonic-worldwide-wins-airpay-moneys-digital-marketing-mandate-12029612"/>
    <hyperlink ref="N973" r:id="rId972" display="https://www.afaqs.com/tags/tonic-worldwide"/>
    <hyperlink ref="N974" r:id="rId973" display="https://www.medianews4u.com/fiesta-india-condoms-film-conceptualised-and-executed-by-tonic-worldwide-leverages-gen-z-pop-culture-and-aims-to-redefine-category-messaging/"/>
    <hyperlink ref="N975" r:id="rId974" display="https://www.afaqs.com/news/newbizwins/kurlon-appoints-tonic-worldwide-as-digital-marketing-partner-12013101"/>
    <hyperlink ref="N976" r:id="rId975" display="https://www.afaqs.com/tags/tonic-worldwide"/>
    <hyperlink ref="N977" r:id="rId976" display="https://www.afaqs.com/marketing/nicmar-appoints-tonic-worldwide-as-integrated-digital-marketing-partner-10560074"/>
    <hyperlink ref="N978" r:id="rId977" display="https://www.afaqs.com/tags/tonic-worldwide"/>
    <hyperlink ref="N979" r:id="rId978" display="https://www.value360india.com/"/>
    <hyperlink ref="N980" r:id="rId979" display="https://www.medianews4u.com/verve-media-bags-digital-and-creative-mandate-for-maple-india/"/>
    <hyperlink ref="N981" r:id="rId980" display="https://www.medianews4u.com/verve-media-bags-digital-mandate-for-vedas-fund/"/>
    <hyperlink ref="N982" r:id="rId981" display="https://www.medianews4u.com/verve-media-bags-social-media-mandate-for-rasoi-raga/"/>
    <hyperlink ref="N983" r:id="rId982" display="https://www.medianews4u.com/verve-media-bags-video-strategy-and-content-creation-mandate-for-shriram-general-insurance/"/>
    <hyperlink ref="N984" r:id="rId983" display="https://www.medianews4u.com/verve-media-turns-everyday-style-into-shared-moments-with-snitch-campaign-on-cinema-screens-nationwide/"/>
    <hyperlink ref="N985" r:id="rId984" display="https://www.socialsamosa.com/2022/02/viral-pitch-influencer-marketing-mandate-lotus-herbals/"/>
    <hyperlink ref="N986" r:id="rId985" display="https://www.webenza.com/"/>
    <hyperlink ref="N987" r:id="rId986" display="https://www.webenza.com/"/>
    <hyperlink ref="N988" r:id="rId987" display="https://www.webenza.com/"/>
    <hyperlink ref="N989" r:id="rId988" display="https://www.medianews4u.com/webenza-secures-digital-creative-mandate-for-joy-personal-care/"/>
    <hyperlink ref="N990" r:id="rId989" display="https://www.whiteriversmedia.com/"/>
    <hyperlink ref="N991" r:id="rId990" display="https://www.medianews4u.com/white-rivers-media-wins-25-business-accounts-in-2023s-q4/"/>
    <hyperlink ref="N992" r:id="rId991" display="https://www.whiteriversmedia.com/"/>
    <hyperlink ref="N993" r:id="rId992" display="https://www.afaqs.com/news/newbizwins/white-rivers-media-to-lead-digital-creative-mandate-for-toi-metro-editions-9316924"/>
    <hyperlink ref="N994" r:id="rId993" display="https://www.medianews4u.com/white-rivers-media-wins-digital-creative-mandate-for-times-of-indias-metro-supplements/"/>
    <hyperlink ref="N995" r:id="rId994" display="https://www.medianews4u.com/white-rivers-media-wins-25-business-accounts-in-2023s-q4/"/>
    <hyperlink ref="N996" r:id="rId995" display="https://www.medianews4u.com/ds-groups-pulse-candy-brings-maha-kumbh-to-life-with-ai-powered-storytelling-immersive-experiences/"/>
    <hyperlink ref="N997" r:id="rId996" display="https://www.afaqs.com/news/newbizwins/white-rivers-media-wins-smfg-india-credits-digital-mandate-10917627"/>
    <hyperlink ref="N998" r:id="rId997" display="https://www.afaqs.com/news/newbizwins/white-rivers-media-wins-smfg-india-credits-digital-mandate-10917627"/>
    <hyperlink ref="N999" r:id="rId998" display="https://www.medianews4u.com/white-rivers-media-wins-25-business-accounts-in-2023s-q4/"/>
    <hyperlink ref="N1000" r:id="rId999" display="https://www.medianews4u.com/wieden-kennedy-india-wins-casio-g-shocks-creative-mandate/"/>
    <hyperlink ref="N1001" r:id="rId1000" display="https://www.storyboard18.com/brand-makers/the-accidental-agency-how-wit-chai-swapped-vanity-metrics-for-business-growth-to-land-starbucks-and-icici-bank-91910.htm"/>
    <hyperlink ref="N1002" r:id="rId1001" display="https://www.afaqs.com/news/newbizwins/audi-india-appoints-wondrlab-as-brand-communication-partner-11216364"/>
    <hyperlink ref="N1003" r:id="rId1002" display="https://www.medianews4u.com/ajio-and-wondrlab-launch-a-multi-starrer-festive-film-this-is-how-we-festival/"/>
    <hyperlink ref="N1004" r:id="rId1003" display="https://www.afaqs.com/news/advertising/hettich-finds-possibilities-beyond-storage-in-new-campaign-with-wondrlab-12430362"/>
    <hyperlink ref="N1005" r:id="rId1004" display="https://www.medianews4u.com/sephora-india-names-yellow-as-its-official-creative-agency/"/>
    <hyperlink ref="N1006" r:id="rId1005" display="https://www.storyboard18.com/agency-news/jaguar-land-rovers-launches-global-creative-agency-review-post-rebrand-65006.htm"/>
    <hyperlink ref="N1007" r:id="rId1006" display="https://www.storyboard18.com/advertising/wpp-finally-clinches-jaguar-land-rovers-global-mandate-86357.htm"/>
    <hyperlink ref="N1008" r:id="rId1007" display="https://www.medianews4u.com/innocean-india-bags-digital-social-media-mandate-for-gianchand-single-malt/"/>
    <hyperlink ref="N1009" r:id="rId1008" display="https://www.afaqs.com/news/newbizwins/innocean-india-wins-digital-and-social-mandate-for-gianchand-single-malt-12539501"/>
    <hyperlink ref="N1010" r:id="rId1009" display="https://www.storyboard18.com/agency-news/non-auto-business-nears-one-third-of-innocean-india-revenue-target-50-in-three-years-111037.htm"/>
    <hyperlink ref="N1011" r:id="rId1010" display="https://www.campaignindia.in/article/kia-seltos-campaign-builds-badass-identity-through-integrated-storytelling/4x2pkfh8eenqww367gj0cwagxk"/>
    <hyperlink ref="N1012" r:id="rId1011" display="https://www.afaqs.com/news/newbizwins/np-digital-india-wins-content-marketing-mandate-for-kotak-securities-8751172"/>
    <hyperlink ref="N1013" r:id="rId1012" display="https://www.socialsamosa.com/industry-updates/titan-partners-qoruz-data-driven-influencer-marketing-8758644"/>
    <hyperlink ref="N1014" r:id="rId1013" display="https://www.storyboard18.com/brand-makers/360-one-appoints-raghav-iyengar-as-ceo-designate-of-asset-business-36564.htm"/>
    <hyperlink ref="N1015" r:id="rId1014" display="https://www.campaignindia.in/article/accor-launches-all-for-love-celebrations-platform/4p466y39g5pxbtyrn5k9981fns"/>
    <hyperlink ref="N1023" r:id="rId1015" display="https://www.campaignindia.in/article/dlf-malls-launches-phygital-summer-up-campaign/4pvgt96ejphfhssc00m9ec3vmp"/>
    <hyperlink ref="N1024" r:id="rId1016" display="https://www.afaqs.com/people-spotting/ducati-india-elevates-amit-chauhan-to-head-of-marketing-11805878"/>
    <hyperlink ref="N1025" r:id="rId1017" display="https://www.afaqs.com/news/mktg/elan-group-onboards-shah-rukh-khan-as-brand-ambassador-8750776"/>
    <hyperlink ref="N1026" r:id="rId1018" display="https://www.medianews4u.com/estee-lauder-launches-india-campaign-for-advanced-night-repair-spotlights-nighttime-skin-recovery/"/>
    <hyperlink ref="N1028" r:id="rId1019" display="https://www.afaqs.com/people-spotting/himanshu-raj-joins-juniper-green-energy-experion-developers-as-vp-communications-8598890"/>
    <hyperlink ref="N1030" r:id="rId1020" display="https://www.afaqs.com/people-spotting/noopur-khandekar-joins-galeries-lafayette-india-as-brand-marketing-head-12391643"/>
    <hyperlink ref="N1034" r:id="rId1021" display="https://www.medianews4u.com/diageo-india-usl-to-acquire-nao-spirits-maker-of-greater-than-and-hapusa-craft-gins/"/>
    <hyperlink ref="N1036" r:id="rId1022" display="https://www.afaqs.com/news/advertising/house-of-hiranandani-unveils-tomorrowmatters-campaign-with-ambitious-5-year-sustainability-goals"/>
    <hyperlink ref="N1037" r:id="rId1023" display="https://www.campaignindia.in/article/welcomhotel-itc-dwarka-appoints-marketing-communications-lead/4bpd5zctc5zat1p7hd8cs87g5a"/>
    <hyperlink ref="N1038" r:id="rId1024" display="https://www.afaqs.com/people-spotting/itc-hotels-appoints-rajiv-singh-as-head-food-beverages-marketing-12250848"/>
    <hyperlink ref="N1040" r:id="rId1025" display="https://www.storyboard18.com/brand-marketing/taj-gvk-hotels-to-become-krishna-gvk-hotels-taj-gvk-hotels-to-become-krishna-gvk-hotels-ws-l-106223.htm"/>
    <hyperlink ref="N1042" r:id="rId1026" display="https://www.socialsamosa.com/industry-updates/lodha-sneha-shenoy-avp-brand-marketing-11871387"/>
    <hyperlink ref="N1043" r:id="rId1027" display="https://www.medianews4u.com/longitude-77-by-pernod-ricard-india-redefines-diwali-gifting-with-craft-and-culture/"/>
    <hyperlink ref="N1044" r:id="rId1028" display="https://www.medianews4u.com/m3m-appoints-nitin-singh-as-head-of-marketing/"/>
    <hyperlink ref="N1046" r:id="rId1029" display="https://www.afaqs.com/people-spotting/mercedes-benz-india-elevates-nandita-godbole-as-head-of-marketing-12159853"/>
    <hyperlink ref="N1047" r:id="rId1030" display="https://www.afaqs.com/news/mktg/mercedes-benz-india-joins-indian-padel-tour-as-title-partner-12215772"/>
    <hyperlink ref="N1048" r:id="rId1031" display="https://www.afaqs.com/news/media/network18-partners-with-nuvama-group-9348775"/>
    <hyperlink ref="N1049" r:id="rId1032" display="https://www.medianews4u.com/oberoi-realty-uses-storytelling-over-salesmanship-to-reinforce-the-exclusivity-of-three-sixty-west/"/>
    <hyperlink ref="N1051" r:id="rId1033" display="https://www.afaqs.com/people-spotting/piramal-realty-appoints-abhijeet-maheshwari-as-ceo"/>
    <hyperlink ref="N1052" r:id="rId1034" display="https://www.afaqs.com/people-spotting/škoda-india-appoints-ashutosh-dixit-as-brand-director-of-porsche-india-11802850"/>
    <hyperlink ref="N1055" r:id="rId1035" display="https://www.afaqs.com/people-spotting/rakesh-setia-joins-runwal-as-ceo-for-luxury-segment-after-7-year-stint-at-rustomjee-11742410"/>
    <hyperlink ref="N1057" r:id="rId1036" display="https://www.storyboard18.com/brand-makers/kunal-sharma-named-sazerac-india-managing-director-ws-l-110645.htm"/>
    <hyperlink ref="N1059" r:id="rId1037" display="https://www.afaqs.com/people-spotting/ashish-bajaj-to-lead-brand-and-communications-at-sobha-limited-10563656"/>
    <hyperlink ref="N1060" r:id="rId1038" display="https://www.medianews4u.com/radico-khaitan-doing-an-integrated-campaign-to-celebrate-its-debut-in-the-luxury-vodka-segment-with-the-spirit-of-kashmyr/"/>
    <hyperlink ref="N1064" r:id="rId1039" display="https://www.medianews4u.com/tata-cliq-luxury-turns-festive-shopping-into-an-investigation-with-festive-investigation-bureau/"/>
    <hyperlink ref="N1065" r:id="rId1040" display="https://www.manifest-media.in/marketing/240926/natural-diamond-council-relaunches-as-the-diamond-collective-with-new.html"/>
    <hyperlink ref="N1066" r:id="rId1041" display="https://www.socialsamosa.com/industry-updates/shweta-jain-steps-down-cmo-sales-officer-the-leela-palaces-9356489"/>
    <hyperlink ref="N1067" r:id="rId1042" display="https://www.agencyreporter.com/oberoi-hotels-appoints-mirum-india-for-marketing-cloud-services/"/>
    <hyperlink ref="N1070" r:id="rId1043" display="https://www.socialsamosa.com/campaign-spot/volvo-celebrates-innovation-road-safety-auto-expo-2025-8663302"/>
    <hyperlink ref="N1072" r:id="rId1044" display="https://www.medianews4u.com/zoyas-latest-campaign-paints-a-portrait-of-renewal-in-kashmirs-valley/"/>
    <hyperlink ref="N1073" r:id="rId1045" display="https://www.socialsamosa.com/industry-updates/adani-realty-harinder-dhillon-head-sales-marketing-delhi-ncr-11903616"/>
    <hyperlink ref="N1074" r:id="rId1046" display="https://www.medianews4u.com/atish-negi-appointed-brand-director-at-adidas-india/"/>
    <hyperlink ref="N1075" r:id="rId1047" display="https://www.afaqs.com/people-spotting/partha-ghosh-exits-air-india-after-three-and-a-half-years-12558443"/>
    <hyperlink ref="N1076" r:id="rId1048" display="https://www.afaqs.com/people-spotting/akasa-air-appoints-aditi-roy-as-head-of-corporate-communications-csr-11457862"/>
    <hyperlink ref="N1077" r:id="rId1049" display="https://www.afaqs.com/corporate-communications-and-pr/arvind-appoints-swagat-lakku-as-head-of-corporate-communications-12588593"/>
    <hyperlink ref="N1078" r:id="rId1050" display="https://www.afaqs.com/people-spotting/arvind-smartspaces-appoints-ankit-dave-as-head-of-marketing-12583232"/>
    <hyperlink ref="N1081" r:id="rId1051" display="https://www.campaignindia.in/article/axis-max-life-launches-retirement-campaign-with-rohit-sharma/4j3ybrfqnf3vzy15bx4mj0t55d"/>
    <hyperlink ref="N1082" r:id="rId1052" display="https://www.afaqs.com/people-spotting/bacardi-appoints-mahesh-kanchan-as-md-for-india-southeast-asia-12162120"/>
    <hyperlink ref="N1083" r:id="rId1053" display="https://www.storyboard18.com/brand-marketing/bajaj-finserv-rebrands-insurance-arms-after-full-ownership-acquisition-82190.htm"/>
    <hyperlink ref="N1086" r:id="rId1054" display="https://www.medianews4u.com/bellavitas-campaign-deo-bachche-lagate-hai-aims-to-reposition-perfumes-as-a-luxurious-upgrade-to-deodorants/"/>
    <hyperlink ref="N1087" r:id="rId1055" display="https://www.storyboard18.com/brand-marketing/boney-kapoor-bhutani-infras-noida-film-city-to-drive-hospitality-retail-investments-as-construction-nears-101963.htm"/>
    <hyperlink ref="N1088" r:id="rId1056" display="https://www.afaqs.com/people-spotting/bira-91-founder-ankur-jain-steps-down-after-lender-settlement-12187504"/>
    <hyperlink ref="N1089" r:id="rId1057" display="https://www.medianews4u.com/blenders-pride-fashion-tour-powered-by-fdci-sets-fashions-next-move-with-new-campaign/"/>
    <hyperlink ref="N1091" r:id="rId1058" display="https://www.medianews4u.com/bluestones-strokesofgenius-campaign-embraces-the-idea-that-jewellery-is-wearable-art/"/>
    <hyperlink ref="N1094" r:id="rId1059" display="https://www.socialsamosa.com/industry-updates/candere-smriti-mandhana-brand-ambassador-12116181"/>
    <hyperlink ref="N1096" r:id="rId1060" display="https://www.storyboard18.com/brand-marketing/club-mahindra-to-rebrand-as-club-m-enters-leisure-hospitality-with-rs-1000-crore-investment-84498.htm"/>
    <hyperlink ref="N1097" r:id="rId1061" display="https://www.storyboard18.com/brand-makers/nothing-ceo-india-needs-engineering-not-just-manufacturing-ws-l-111110.htm"/>
    <hyperlink ref="N1098" r:id="rId1062" display="https://www.socialsamosa.com/campaign-spot/cred-biometric-upi-payments-absurd-ad-campaign-12146112"/>
    <hyperlink ref="N1099" r:id="rId1063" display="https://www.medianews4u.com/cult-fit-ropes-in-ranveer-singh-reimagines-fitness-advertising/"/>
    <hyperlink ref="N1101" r:id="rId1064" display="https://www.afaqs.com/people-spotting/dailyobjects-appoints-zeenah-vilcassim-as-global-chief-marketing-officer-12570725"/>
    <hyperlink ref="N1102" r:id="rId1065" display="https://bestmediainfo.com/mediainfo/mediainfo-marketing/dbs-initiates-creative-agency-review-across-six-asia-pacific-markets-including-india-11700883"/>
    <hyperlink ref="N1104" r:id="rId1066" display="https://www.afaqs.com/people-spotting/faber-castell-india-appoints-sunaina-haldar-as-director-marketing-11223305"/>
    <hyperlink ref="N1105" r:id="rId1067" display="https://www.afaqs.com/people-spotting/ferrero-elevates-maria-luciani-to-head-of-marketing-11124915"/>
    <hyperlink ref="N1107" r:id="rId1068" display="https://www.afaqs.com/people-spotting/forever-new-appoints-shifali-singh-as-country-director-india-11111573"/>
    <hyperlink ref="N1108" r:id="rId1069" display="https://www.socialsamosa.com/industry-updates/giva-pulls-raksha-bandhan-ad-featuring-kriti-sanon-after-social-media-backlash-12436871"/>
    <hyperlink ref="N1109" r:id="rId1070" display="https://www.socialsamosa.com/indian-social-media-case-studies/case-study-godrej-properties-drones-laser-show-pune-real-estate-debut-11003916"/>
    <hyperlink ref="N1110" r:id="rId1071" display="https://www.medianews4u.com/diageo-india-usl-to-acquire-nao-spirits-maker-of-greater-than-and-hapusa-craft-gins/"/>
    <hyperlink ref="N1111" r:id="rId1072" display="https://www.storyboard18.com/brand-marketing/ipo-bound-groww-allocates-rs-225-crore-for-brand-building-rs-205-crore-on-subsidiaries-81220.htm"/>
    <hyperlink ref="N1112" r:id="rId1073" display="https://www.storyboard18.com/brand-marketing/exclusive-vinfast-backed-gsm-calls-creative-media-pitch-ahead-of-india-ride-hailing-launch-87951.htm"/>
    <hyperlink ref="N1114" r:id="rId1074" display="https://www.afaqs.com/news/mktg/harley-davidson-india-names-ahaan-panday-as-brand-ambassador-10884803"/>
    <hyperlink ref="N1115" r:id="rId1075" display="https://www.storyboard18.com/brand-marketing/hdfc-life-enters-microdrama-with-new-term-insurance-campaign-ws-l-111463.htm"/>
    <hyperlink ref="N1116" r:id="rId1076" display="https://www.campaignindia.in/article/hdfc-mutual-fund-s-barni-se-azadi-puts-women-centre-stage/4vwx7gdgw1vn60g41yqv07k1mc"/>
    <hyperlink ref="N1117" r:id="rId1077" display="https://www.afaqs.com/people-spotting/heads-up-for-tails-appoints-shrutie-kher-as-head-of-marketing-11876783"/>
    <hyperlink ref="N1118" r:id="rId1078" display="https://www.socialsamosa.com/industry-updates/heer-by-giva-anushka-sharma-face-of-brand-11826100"/>
    <hyperlink ref="N1120" r:id="rId1079" display="https://www.afaqs.com/people-spotting/hero-motocorp-appoints-anuj-dua-as-chief-business-officer-premium-segment-12227118"/>
    <hyperlink ref="N1121" r:id="rId1080" display="https://www.afaqs.com/people-spotting/hero-realty-cmo-karan-kumar-moves-on-12211162"/>
    <hyperlink ref="N1124" r:id="rId1081" display="https://www.medianews4u.com/honasa-consumer-names-saahil-nayar-as-business-head-senior-vice-president-to-lead-emerging-brands/"/>
    <hyperlink ref="N1127" r:id="rId1082" display="https://www.afaqs.com/news/advertising/icici-prudentials-mothers-day-campaign-urges-smart-investing-9052419"/>
    <hyperlink ref="N1128" r:id="rId1083" display="https://www.afaqs.com/people-spotting/indigo-appoints-mayank-kumar-as-head-of-content-creative-marketing-12514196"/>
    <hyperlink ref="N1129" r:id="rId1084" display="https://www.afaqs.com/people-spotting/deepesh-chhabra-joins-indusind-bank-as-head-of-marketing-and-partnerships-11786241"/>
    <hyperlink ref="N1132" r:id="rId1085" display="https://www.afaqs.com/people-spotting/jsw-mg-motor-india-appoints-parth-jindal-as-chairman-12458026"/>
    <hyperlink ref="N1133" r:id="rId1086" display="https://www.afaqs.com/people-spotting/k-raheja-group-appoints-vijayta-nikhil-raheja-as-ceo-12208087"/>
    <hyperlink ref="N1134" r:id="rId1087" display="https://www.medianews4u.com/nykaa-names-sukhleen-aneja-as-svp-and-business-head-for-kay-beauty/"/>
    <hyperlink ref="N1135" r:id="rId1088" display="https://www.manifest-media.in/marketing/240926/libas-expands-beyond-apparel-with-jewellery-launch.html"/>
    <hyperlink ref="N1136" r:id="rId1089" display="https://www.medianews4u.com/limelight-lab-grown-diamonds-announces-vertical-integration-inr-250-cr-fundraise-to-accelerate-growth/"/>
    <hyperlink ref="N1137" r:id="rId1090" display="https://www.afaqs.com/people-spotting/lovechild-by-masaba-appoints-joel-thottan-as-marketing-lead-11834518"/>
    <hyperlink ref="N1139" r:id="rId1091" display="https://www.storyboard18.com/brand-marketing/makemytrip-has-a-warning-for-every-cmo-in-india-101991.htm"/>
    <hyperlink ref="N1140" r:id="rId1092" display="https://www.afaqs.com/people-spotting/sneha-kanukolanu-joins-mia-by-tanishq-as-marketing-lead-12158434"/>
    <hyperlink ref="N1143" r:id="rId1093" display="https://www.storyboard18.com/brand-makers/myntra-cmo-sunder-balasubramanian-exits-after-4-years-ws-l-111600.htm"/>
    <hyperlink ref="N1145" r:id="rId1094" display="https://www.afaqs.com/people-spotting/neemans-appoints-akshit-dhingra-as-vp-brand-marketing-12030001"/>
    <hyperlink ref="N1147" r:id="rId1095" display="https://www.medianews4u.com/nike-takes-to-mumbai-streets-with-born-to-beat-the-odds-campaign-celebrating-self-belief-among-indian-athletes/"/>
    <hyperlink ref="N1148" r:id="rId1096" display="https://www.medianews4u.com/nykaas-new-at-nykaa-campaign-spotlights-latest-beauty-launches-through-playful-warehouse-heist/"/>
    <hyperlink ref="N1149" r:id="rId1097" display="https://www.medianews4u.com/nykaa-fashion-names-ishaan-khatter-shanaya-kapoor-as-new-faces-of-the-brand/"/>
    <hyperlink ref="N1151" r:id="rId1098" display="https://www.afaqs.com/people-spotting/origen-realty-appoints-poulomi-ray-as-chief-marketing-officer-11737049"/>
    <hyperlink ref="N1153" r:id="rId1099" display="https://www.afaqs.com/people-spotting/oziva-appoints-abhishek-agrawal-as-chief-growth-officer-12443459"/>
    <hyperlink ref="N1156" r:id="rId1100" display="https://www.medianews4u.com/pernod-ricard-india-appoints-debasree-dasgupta-as-cmo-and-global-business-development-head/"/>
    <hyperlink ref="N1157" r:id="rId1101" display="https://www.storyboard18.com/agency-news/philips-home-appliances-invites-creative-agencies-for-new-brand-mandates-107318.htm"/>
    <hyperlink ref="N1158" r:id="rId1102" display="https://www.medianews4u.com/p-n-gadgil-and-sons-welcomes-sonali-bendre-as-brand-ambassador/"/>
    <hyperlink ref="N1159" r:id="rId1103" display="https://www.campaignindia.in/article/prestige-group-launches-rise-with-us-campaign/4k6yqh6a2a759y8zhexzz7ryxm"/>
    <hyperlink ref="N1160" r:id="rId1104" display="https://www.medianews4u.com/puma-india-brings-virat-kohli-rcb-stars-and-viral-fan-together-for-rcbeverywhere-campaign/"/>
    <hyperlink ref="N1161" r:id="rId1105" display="https://www.storyboard18.com/brand-marketing/radisson-targets-160-hotels-19500-rooms-in-india-by-2026-amid-expansion-push-97096.htm"/>
    <hyperlink ref="N1162" r:id="rId1106" display="https://www.afaqs.com/people-spotting/vineet-shah-joins-raymond-lifestyle-as-head-omnichannel-media-12573726"/>
    <hyperlink ref="N1163" r:id="rId1107" display="https://www.afaqs.com/people-spotting/raymond-realty-appoints-karishma-mehta-as-cluster-head-marketing-12204838"/>
    <hyperlink ref="N1164" r:id="rId1108" display="https://www.afaqs.com/people-spotting/razorpay-elevates-apuarv-sethi-to-cmo-11837471"/>
    <hyperlink ref="N1166" r:id="rId1109" display="https://www.storyboard18.com/brand-makers/royal-enfields-ev-chief-mario-alvisi-steps-down-amid-strategic-shift-report-83207.htm"/>
    <hyperlink ref="N1167" r:id="rId1110" display="https://www.afaqs.com/people-spotting/samsung-india-promotes-shirish-agarwal-as-head-of-marketing-for-mx-business-11846627"/>
    <hyperlink ref="N1168" r:id="rId1111" display="https://www.campaignindia.in/article/sattva-group-launches-festive-brand-campaign-featuring-sima-taparia/43d1w83x5p5wfxzgdj8fyeqf5f"/>
    <hyperlink ref="N1169" r:id="rId1112" display="https://www.storyboard18.com/agency-news/exclusive-shaadi-coms-media-planning-mandate-up-for-review-96177.htm"/>
    <hyperlink ref="N1170" r:id="rId1113" display="https://www.socialsamosa.com/industry-updates/caratlane-shaya-shreya-ghoshal-brand-ambassador-12575545"/>
    <hyperlink ref="N1171" r:id="rId1114" display="https://www.socialsamosa.com/industry-updates/signature-global-imran-shaikh-gm-marketing-communication-10884838"/>
    <hyperlink ref="N1173" r:id="rId1115" display="https://www.afaqs.com/news/brands/is-jsws-volkswagen-deal-the-start-of-a-new-homegrown-auto-giant-12189046"/>
    <hyperlink ref="N1175" r:id="rId1116" display="https://www.afaqs.com/people-spotting/shanu-singh-rejoins-standard-chartered-as-head-marketing-wrb-india-11805501"/>
    <hyperlink ref="N1177" r:id="rId1117" display="https://www.medianews4u.com/sugar-cosmetics-digital-campaign-unites-celebrities-of-diverse-backgrounds/"/>
    <hyperlink ref="N1178" r:id="rId1118" display="https://www.medianews4u.com/sula-vineyards-appoints-chaitanya-rathi-as-non-executive-director/"/>
    <hyperlink ref="N1179" r:id="rId1119" display="https://www.storyboard18.com/brand-marketing/tata-motors-passenger-vehicles-rebrands-as-tata-cars-for-customer-facing-identity-109089.htm"/>
    <hyperlink ref="N1180" r:id="rId1120" display="https://www.afaqs.com/people-spotting/tata-motors-appoints-ejaz-takey-as-head-of-suv-marketing-11999514"/>
    <hyperlink ref="N1181" r:id="rId1121" display="https://www.medianews4u.com/tata-realty-and-tata-housing-appoint-gaurav-jain-as-managing-director-and-ceo/"/>
    <hyperlink ref="N1182" r:id="rId1122" display="https://www.medianews4u.com/tata-starbucks-introduces-a-film-spotlighting-indian-single-origin-coffee/"/>
    <hyperlink ref="N1184" r:id="rId1123" display="https://www.socialsamosa.com/industry-updates/harmeet-singh-the-body-shop-milestone-celebration-11879802"/>
    <hyperlink ref="N1185" r:id="rId1124" display="https://www.medianews4u.com/the-house-of-abhinandan-lodha-launches-new-campaign-for-the-sarayu-in-ayodhyaji-featuring-ranbir-kapoor/"/>
    <hyperlink ref="N1186" r:id="rId1125" display="https://www.medianews4u.com/third-wave-coffee-names-akshat-arora-as-marketing-director/"/>
    <hyperlink ref="N1187" r:id="rId1126" display="https://www.afaqs.com/news/advertising/thomas-cook-india-taps-kartik-aaryan-to-promote-borderless-travel-card-8920861"/>
    <hyperlink ref="N1192" r:id="rId1127" display="https://www.storyboard18.com/brand-makers/vijay-deverakonda-launches-skincare-brand-unhype-ws-l-110493.htm"/>
    <hyperlink ref="N1193" r:id="rId1128" display="https://www.medianews4u.com/van-heusen-looking-to-push-creative-boundaries-with-a-new-campaign-frame-to-redefine-new-eveningwear-sub-brand-vh-evening/"/>
    <hyperlink ref="N1194" r:id="rId1129" display="https://www.afaqs.com/people-spotting/virgio-appoints-hansa-nigam-as-chief-marketing-officer-12138383"/>
    <hyperlink ref="N1195" r:id="rId1130" display="https://www.storyboard18.com/agency-news/vistara-bookings-to-stop-from-next-week-onwards-merger-with-air-india-from-12-nov-40965.htm"/>
    <hyperlink ref="N1197" r:id="rId1131" display="https://www.manifest-media.in/marketing/280926/karun-arora-ends-five-year-stint-at-vivo.html"/>
    <hyperlink ref="N1198" r:id="rId1132" display="https://www.afaqs.com/news/advertising/yes-bank-rolls-out-score-kya-hua-campaign-to-drive-credit-score-awareness-10813534"/>
    <hyperlink ref="N1200" r:id="rId1133" display="https://www.storyboard18.com/brand-marketing/zerodha-kills-its-new-age-media-network-zero1-exposing-the-limits-of-the-finfluencer-boom-95898.htm"/>
    <hyperlink ref="N1201" r:id="rId1134" display="https://www.afaqs.com/people-spotting/ashish-mishra-parts-ways-with-acko-after-nearly-six-years-as-cmo-11745894"/>
    <hyperlink ref="N1202" r:id="rId1135" display="https://www.afaqs.com/people-spotting/ageas-federal-life-insurance-names-erum-kidwai-as-cmo-11876935"/>
    <hyperlink ref="N1203" r:id="rId1136" display="https://www.campaignindia.in/article/akasa-air-s-anti-advertising-playbook-winning-skies-through-unscripted-customer-moments/495j1wvysejyaz0b2xztdradws"/>
    <hyperlink ref="N1204" r:id="rId1137" display="https://www.storyboard18.com/brand-makers/bharatpe-names-yugal-tiwari-chief-product-and-marketing-officer-ws-l-110693.htm"/>
    <hyperlink ref="N1206" r:id="rId1138" display="https://www.afaqs.com/people-spotting/boat-names-vedansh-kumar-as-chief-marketing-officer-12003685"/>
    <hyperlink ref="N1207" r:id="rId1139" display="https://www.afaqs.com/people-spotting/dabur-names-herjit-s-bhalla-india-ceo-mohit-malhotra-global-ceo-11124785"/>
    <hyperlink ref="N1208" r:id="rId1140" display="https://www.medianews4u.com/decathlon-launches-kiprun-in-india-with-more-runs-more-life-campaign/"/>
    <hyperlink ref="N1209" r:id="rId1141" display="https://www.afaqs.com/people-spotting/dream11-cmo-vikrant-mudaliar-steps-down-12116888"/>
    <hyperlink ref="N1210" r:id="rId1142" display="https://www.afaqs.com/people-spotting/excitel-broadband-appoints-aditya-jain-as-chief-marketing-officer-12186970"/>
    <hyperlink ref="N1211" r:id="rId1143" display="https://www.ihcltata.com/press-room/ihcl-enters-into-strategic-partnership-for-10-hotels-and-1000-plus-keys-expanding-the-ginger-brand-in-south-india"/>
    <hyperlink ref="N1212" r:id="rId1144" display="https://www.afaqs.com/people-spotting/glenmark-pharmaceuticals-appoints-priyanka-tewari-as-head-of-marketing-12490366"/>
    <hyperlink ref="N1213" r:id="rId1145" display="https://www.afaqs.com/people-spotting/sudhir-sitapati-quits-gcpl-as-md-and-ceo-aasif-malbari-named-successor-12250851"/>
    <hyperlink ref="N1214" r:id="rId1146" display="https://www.storyboard18.com/agency-news/haier-india-media-mandate-under-review-ws-l-105850.htm"/>
    <hyperlink ref="N1215" r:id="rId1147" display="https://www.afaqs.com/people-spotting/indigo-appoints-mayank-kumar-as-head-of-content-creative-marketing-12514196"/>
    <hyperlink ref="N1216" r:id="rId1148" display="https://www.storyboard18.com/brand-makers/jupiter-money-names-adityan-kayalakal-as-vp-head-of-marketing-66226.htm"/>
    <hyperlink ref="N1217" r:id="rId1149" display="https://www.afaqs.com/people-spotting/yum-brands-appoints-rishab-mukherjee-as-cmo-for-kfc-south-asia-12141444"/>
    <hyperlink ref="N1218" r:id="rId1150" display="https://www.afaqs.com/people-spotting/maggis-category-marketing-head-kanika-juneja-steps-down-12551813"/>
    <hyperlink ref="N1219" r:id="rId1151" display="https://www.afaqs.com/people-spotting/mcdonalds-india-ws-names-mehak-jaini-as-head-of-marketing-12187427"/>
    <hyperlink ref="N1221" r:id="rId1152" display="https://www.storyboard18.com/brand-makers/orient-electric-appoints-sandhya-biswas-as-chief-marketing-and-customer-experience-officer-110669.htm"/>
    <hyperlink ref="N1222" r:id="rId1153" display="https://www.socialsamosa.com/marketing-shorts/palmonas-star-power-influencers-awareness-win-consumers-11257986"/>
    <hyperlink ref="N1223" r:id="rId1154" display="https://www.medianews4u.com/royal-challenge-packaged-drinking-water-launches-main-nahi-toh-kaun-be-campaign-reinforces-choose-bold-philosophy/"/>
    <hyperlink ref="N1224" r:id="rId1155" display="https://www.afaqs.com/people-spotting/vishal-wadhwa-elevated-to-svp-brand-digital-marketing-at-sbi-card-12548569"/>
    <hyperlink ref="N1225" r:id="rId1156" display="https://www.afaqs.com/marketing/sbi-lifes-ad-trades-fear-for-fun-with-rishabh-pant-and-ravindra-jadeja-11016724"/>
    <hyperlink ref="N1226" r:id="rId1157" display="https://www.afaqs.com/people-spotting/former-myntra-ceo-nandita-sinha-named-swiggy-instamart-ceo-12204634"/>
    <hyperlink ref="N1227" r:id="rId1158" display="https://www.socialsamosa.com/industry-updates/swiss-beauty-vidushi-goyal-cmo-690645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59"/>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2026-09-29T12:01:27Z</dcterms:created>
  <dc:creator>openpyxl</dc:creator>
  <dc:description/>
  <dc:language>en-US</dc:language>
  <cp:lastModifiedBy/>
  <dcterms:modified xsi:type="dcterms:W3CDTF">2026-09-29T12:01:28Z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